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alysis" sheetId="1" state="visible" r:id="rId1"/>
    <sheet name="By Category" sheetId="2" state="visible" r:id="rId2"/>
    <sheet name="Buy List Template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SAR"/>
    <numFmt numFmtId="165" formatCode="$#,##0.00"/>
    <numFmt numFmtId="166" formatCode="#,##0.00 SAR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C89B47"/>
      <sz val="11"/>
    </font>
    <font>
      <color rgb="000066FF"/>
      <u val="single"/>
    </font>
    <font>
      <b val="1"/>
      <sz val="12"/>
    </font>
    <font>
      <b val="1"/>
      <color rgb="00FFCC00"/>
    </font>
    <font>
      <i val="1"/>
      <color rgb="006B6B74"/>
    </font>
    <font>
      <b val="1"/>
    </font>
    <font>
      <b val="1"/>
      <color rgb="000066FF"/>
      <sz val="16"/>
    </font>
  </fonts>
  <fills count="4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5F5F7"/>
      </patternFill>
    </fill>
  </fills>
  <borders count="3">
    <border>
      <left/>
      <right/>
      <top/>
      <bottom/>
      <diagonal/>
    </border>
    <border>
      <left style="thin">
        <color rgb="002A2519"/>
      </left>
      <right style="thin">
        <color rgb="002A2519"/>
      </right>
      <top style="medium">
        <color rgb="00C89B47"/>
      </top>
      <bottom style="medium">
        <color rgb="00C89B47"/>
      </bottom>
    </border>
    <border>
      <top style="medium">
        <color rgb="00C89B47"/>
      </top>
      <bottom style="medium">
        <color rgb="00C89B4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2" borderId="2" pivotButton="0" quotePrefix="0" xfId="0"/>
    <xf numFmtId="164" fontId="4" fillId="2" borderId="2" pivotButton="0" quotePrefix="0" xfId="0"/>
    <xf numFmtId="167" fontId="4" fillId="2" borderId="2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2" borderId="0" pivotButton="0" quotePrefix="0" xfId="0"/>
    <xf numFmtId="164" fontId="4" fillId="2" borderId="0" pivotButton="0" quotePrefix="0" xfId="0"/>
    <xf numFmtId="167" fontId="4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b val="1"/>
        <color rgb="00E8734A"/>
      </font>
      <fill>
        <patternFill patternType="solid">
          <fgColor rgb="00FFE8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ogen.store/wp-content/uploads/adobe.png?wsr" TargetMode="External" Id="rId1" /><Relationship Type="http://schemas.openxmlformats.org/officeDocument/2006/relationships/hyperlink" Target="https://neogen.store/wp-content/uploads/kaspersky.png?wsr" TargetMode="External" Id="rId2" /><Relationship Type="http://schemas.openxmlformats.org/officeDocument/2006/relationships/hyperlink" Target="https://neogen.store/wp-content/uploads/apple.png?wsr" TargetMode="External" Id="rId3" /><Relationship Type="http://schemas.openxmlformats.org/officeDocument/2006/relationships/hyperlink" Target="https://neogen.store/wp-content/uploads/google-play.png?wsr" TargetMode="External" Id="rId4" /><Relationship Type="http://schemas.openxmlformats.org/officeDocument/2006/relationships/hyperlink" Target="https://neogen.store/wp-content/uploads/netflix.png?wsr" TargetMode="External" Id="rId5" /><Relationship Type="http://schemas.openxmlformats.org/officeDocument/2006/relationships/hyperlink" Target="https://neogen.store/wp-content/uploads/xbox-gp.png?wsr" TargetMode="External" Id="rId6" /><Relationship Type="http://schemas.openxmlformats.org/officeDocument/2006/relationships/hyperlink" Target="https://neogen.store/wp-content/uploads/steam50.png?wsr" TargetMode="External" Id="rId7" /><Relationship Type="http://schemas.openxmlformats.org/officeDocument/2006/relationships/hyperlink" Target="https://neogen.store/wp-content/uploads/psn50.png?wsr" TargetMode="External" Id="rId8" /><Relationship Type="http://schemas.openxmlformats.org/officeDocument/2006/relationships/hyperlink" Target="https://neogen.store/wp-content/uploads/office2024.png?wsr" TargetMode="External" Id="rId9" /><Relationship Type="http://schemas.openxmlformats.org/officeDocument/2006/relationships/hyperlink" Target="https://neogen.store/wp-content/uploads/windows11.png?wsr" TargetMode="External" Id="rId10" /><Relationship Type="http://schemas.openxmlformats.org/officeDocument/2006/relationships/hyperlink" Target="https://neogen.store/wp-content/uploads/GM-RTR-ASU-001-1.jpg?wsr" TargetMode="External" Id="rId11" /><Relationship Type="http://schemas.openxmlformats.org/officeDocument/2006/relationships/hyperlink" Target="https://neogen.store/wp-content/uploads/GM-PGA-JSA-001-1.jpg?wsr" TargetMode="External" Id="rId12" /><Relationship Type="http://schemas.openxmlformats.org/officeDocument/2006/relationships/hyperlink" Target="https://neogen.store/wp-content/uploads/GM-CMP-NZX-001-1.jpg?wsr" TargetMode="External" Id="rId13" /><Relationship Type="http://schemas.openxmlformats.org/officeDocument/2006/relationships/hyperlink" Target="https://neogen.store/wp-content/uploads/GM-CMP-COR-001-1.jpg?wsr" TargetMode="External" Id="rId14" /><Relationship Type="http://schemas.openxmlformats.org/officeDocument/2006/relationships/hyperlink" Target="https://neogen.store/wp-content/uploads/GM-GPU-GIG-001-1.jpg?wsr" TargetMode="External" Id="rId15" /><Relationship Type="http://schemas.openxmlformats.org/officeDocument/2006/relationships/hyperlink" Target="https://neogen.store/wp-content/uploads/GM-GPU-NVD-002-1.jpg?wsr" TargetMode="External" Id="rId16" /><Relationship Type="http://schemas.openxmlformats.org/officeDocument/2006/relationships/hyperlink" Target="https://neogen.store/wp-content/uploads/GM-GPU-NVD-001-1.jpg?wsr" TargetMode="External" Id="rId17" /><Relationship Type="http://schemas.openxmlformats.org/officeDocument/2006/relationships/hyperlink" Target="https://neogen.store/wp-content/uploads/GM-STR-HPX-001-1.jpg?wsr" TargetMode="External" Id="rId18" /><Relationship Type="http://schemas.openxmlformats.org/officeDocument/2006/relationships/hyperlink" Target="https://neogen.store/wp-content/uploads/GM-STR-ELG-001-1.jpg?wsr" TargetMode="External" Id="rId19" /><Relationship Type="http://schemas.openxmlformats.org/officeDocument/2006/relationships/hyperlink" Target="https://neogen.store/wp-content/uploads/GM-CAP-AVR-001-1.jpg?wsr" TargetMode="External" Id="rId20" /><Relationship Type="http://schemas.openxmlformats.org/officeDocument/2006/relationships/hyperlink" Target="https://neogen.store/wp-content/uploads/GM-CAP-ELG-001-1.jpg?wsr" TargetMode="External" Id="rId21" /><Relationship Type="http://schemas.openxmlformats.org/officeDocument/2006/relationships/hyperlink" Target="https://neogen.store/wp-content/uploads/GM-CTR-SON-001-1.jpg?wsr" TargetMode="External" Id="rId22" /><Relationship Type="http://schemas.openxmlformats.org/officeDocument/2006/relationships/hyperlink" Target="https://neogen.store/wp-content/uploads/GM-CTR-MSF-001-1.jpg?wsr" TargetMode="External" Id="rId23" /><Relationship Type="http://schemas.openxmlformats.org/officeDocument/2006/relationships/hyperlink" Target="https://neogen.store/wp-content/uploads/GM-RGB-GOV-001-1.jpg?wsr" TargetMode="External" Id="rId24" /><Relationship Type="http://schemas.openxmlformats.org/officeDocument/2006/relationships/hyperlink" Target="https://neogen.store/wp-content/uploads/GM-RGB-COR-001-1.jpg?wsr" TargetMode="External" Id="rId25" /><Relationship Type="http://schemas.openxmlformats.org/officeDocument/2006/relationships/hyperlink" Target="https://neogen.store/wp-content/uploads/GM-CHR-RAZ-001-1.jpg?wsr" TargetMode="External" Id="rId26" /><Relationship Type="http://schemas.openxmlformats.org/officeDocument/2006/relationships/hyperlink" Target="https://neogen.store/wp-content/uploads/GM-CHR-SEC-001-1.jpg?wsr" TargetMode="External" Id="rId27" /><Relationship Type="http://schemas.openxmlformats.org/officeDocument/2006/relationships/hyperlink" Target="https://neogen.store/wp-content/uploads/GM-HST-RAZ-001-1.jpg?wsr" TargetMode="External" Id="rId28" /><Relationship Type="http://schemas.openxmlformats.org/officeDocument/2006/relationships/hyperlink" Target="https://neogen.store/wp-content/uploads/GM-HST-STS-001-1.jpg?wsr" TargetMode="External" Id="rId29" /><Relationship Type="http://schemas.openxmlformats.org/officeDocument/2006/relationships/hyperlink" Target="https://neogen.store/wp-content/uploads/GM-HST-HPX-001-1.jpg?wsr" TargetMode="External" Id="rId30" /><Relationship Type="http://schemas.openxmlformats.org/officeDocument/2006/relationships/hyperlink" Target="https://neogen.store/wp-content/uploads/GM-MOU-RAZ-002-1.jpg?wsr" TargetMode="External" Id="rId31" /><Relationship Type="http://schemas.openxmlformats.org/officeDocument/2006/relationships/hyperlink" Target="https://neogen.store/wp-content/uploads/GM-MOU-LOG-001-1.jpg?wsr" TargetMode="External" Id="rId32" /><Relationship Type="http://schemas.openxmlformats.org/officeDocument/2006/relationships/hyperlink" Target="https://neogen.store/wp-content/uploads/GM-MOU-RAZ-001-1.jpg?wsr" TargetMode="External" Id="rId33" /><Relationship Type="http://schemas.openxmlformats.org/officeDocument/2006/relationships/hyperlink" Target="https://neogen.store/wp-content/uploads/GM-KBD-KEY-001-1.jpg?wsr" TargetMode="External" Id="rId34" /><Relationship Type="http://schemas.openxmlformats.org/officeDocument/2006/relationships/hyperlink" Target="https://neogen.store/wp-content/uploads/GM-KBD-LOG-001-1.jpg?wsr" TargetMode="External" Id="rId35" /><Relationship Type="http://schemas.openxmlformats.org/officeDocument/2006/relationships/hyperlink" Target="https://neogen.store/wp-content/uploads/GM-KBD-COR-001-1.jpg?wsr" TargetMode="External" Id="rId36" /><Relationship Type="http://schemas.openxmlformats.org/officeDocument/2006/relationships/hyperlink" Target="https://neogen.store/wp-content/uploads/GM-KBD-RAZ-001-1.jpg?wsr" TargetMode="External" Id="rId37" /><Relationship Type="http://schemas.openxmlformats.org/officeDocument/2006/relationships/hyperlink" Target="https://neogen.store/wp-content/uploads/GM-MON-DEL-001-1.jpg?wsr" TargetMode="External" Id="rId38" /><Relationship Type="http://schemas.openxmlformats.org/officeDocument/2006/relationships/hyperlink" Target="https://neogen.store/wp-content/uploads/GM-MON-LGE-001-1.jpg?wsr" TargetMode="External" Id="rId39" /><Relationship Type="http://schemas.openxmlformats.org/officeDocument/2006/relationships/hyperlink" Target="https://neogen.store/wp-content/uploads/GM-MON-SAM-002-1.jpg?wsr" TargetMode="External" Id="rId40" /><Relationship Type="http://schemas.openxmlformats.org/officeDocument/2006/relationships/hyperlink" Target="https://neogen.store/wp-content/uploads/GM-MON-SAM-001-1.jpg?wsr" TargetMode="External" Id="rId41" /><Relationship Type="http://schemas.openxmlformats.org/officeDocument/2006/relationships/hyperlink" Target="https://neogen.store/wp-content/uploads/GM-MON-ASU-001-1.jpg?wsr" TargetMode="External" Id="rId42" /><Relationship Type="http://schemas.openxmlformats.org/officeDocument/2006/relationships/hyperlink" Target="https://neogen.store/wp-content/uploads/NT-MPC-DEL-001-1.jpg?wsr" TargetMode="External" Id="rId43" /><Relationship Type="http://schemas.openxmlformats.org/officeDocument/2006/relationships/hyperlink" Target="https://neogen.store/wp-content/uploads/NT-MPC-BLK-002-1.jpg?wsr" TargetMode="External" Id="rId44" /><Relationship Type="http://schemas.openxmlformats.org/officeDocument/2006/relationships/hyperlink" Target="https://neogen.store/wp-content/uploads/NT-MPC-BLK-001-1.jpg?wsr" TargetMode="External" Id="rId45" /><Relationship Type="http://schemas.openxmlformats.org/officeDocument/2006/relationships/hyperlink" Target="https://neogen.store/wp-content/uploads/NT-MPC-MNF-001-1.jpg?wsr" TargetMode="External" Id="rId46" /><Relationship Type="http://schemas.openxmlformats.org/officeDocument/2006/relationships/hyperlink" Target="https://neogen.store/wp-content/uploads/NT-POE-TPL-001-1.jpg?wsr" TargetMode="External" Id="rId47" /><Relationship Type="http://schemas.openxmlformats.org/officeDocument/2006/relationships/hyperlink" Target="https://neogen.store/wp-content/uploads/NT-POE-UBQ-001-1.jpg?wsr" TargetMode="External" Id="rId48" /><Relationship Type="http://schemas.openxmlformats.org/officeDocument/2006/relationships/hyperlink" Target="https://neogen.store/wp-content/uploads/NT-KVM-ATN-001-1.jpg?wsr" TargetMode="External" Id="rId49" /><Relationship Type="http://schemas.openxmlformats.org/officeDocument/2006/relationships/hyperlink" Target="https://neogen.store/wp-content/uploads/NT-KVM-TES-001-1.jpg?wsr" TargetMode="External" Id="rId50" /><Relationship Type="http://schemas.openxmlformats.org/officeDocument/2006/relationships/hyperlink" Target="https://neogen.store/wp-content/uploads/NT-FWL-FTN-001-1.jpg?wsr" TargetMode="External" Id="rId51" /><Relationship Type="http://schemas.openxmlformats.org/officeDocument/2006/relationships/hyperlink" Target="https://neogen.store/wp-content/uploads/NT-FWL-NGT-002-1.jpg?wsr" TargetMode="External" Id="rId52" /><Relationship Type="http://schemas.openxmlformats.org/officeDocument/2006/relationships/hyperlink" Target="https://neogen.store/wp-content/uploads/NT-FWL-NGT-001-1.jpg?wsr" TargetMode="External" Id="rId53" /><Relationship Type="http://schemas.openxmlformats.org/officeDocument/2006/relationships/hyperlink" Target="https://neogen.store/wp-content/uploads/NT-CBL-GEN-001-1.jpg?wsr" TargetMode="External" Id="rId54" /><Relationship Type="http://schemas.openxmlformats.org/officeDocument/2006/relationships/hyperlink" Target="https://neogen.store/wp-content/uploads/NT-CBL-FSC-001-1.jpg?wsr" TargetMode="External" Id="rId55" /><Relationship Type="http://schemas.openxmlformats.org/officeDocument/2006/relationships/hyperlink" Target="https://neogen.store/wp-content/uploads/NT-SFP-FSC-001-1.jpg?wsr" TargetMode="External" Id="rId56" /><Relationship Type="http://schemas.openxmlformats.org/officeDocument/2006/relationships/hyperlink" Target="https://neogen.store/wp-content/uploads/NT-SRV-NVP-001-1.jpg?wsr" TargetMode="External" Id="rId57" /><Relationship Type="http://schemas.openxmlformats.org/officeDocument/2006/relationships/hyperlink" Target="https://neogen.store/wp-content/uploads/NT-SRV-CBM-001-1.jpg?wsr" TargetMode="External" Id="rId58" /><Relationship Type="http://schemas.openxmlformats.org/officeDocument/2006/relationships/hyperlink" Target="https://neogen.store/wp-content/uploads/NT-SRV-STC-001-1.jpg?wsr" TargetMode="External" Id="rId59" /><Relationship Type="http://schemas.openxmlformats.org/officeDocument/2006/relationships/hyperlink" Target="https://neogen.store/wp-content/uploads/NT-UPS-APC-002-1.jpg?wsr" TargetMode="External" Id="rId60" /><Relationship Type="http://schemas.openxmlformats.org/officeDocument/2006/relationships/hyperlink" Target="https://neogen.store/wp-content/uploads/NT-UPS-CYB-001-1.jpg?wsr" TargetMode="External" Id="rId61" /><Relationship Type="http://schemas.openxmlformats.org/officeDocument/2006/relationships/hyperlink" Target="https://neogen.store/wp-content/uploads/NT-UPS-APC-001-1.jpg?wsr" TargetMode="External" Id="rId62" /><Relationship Type="http://schemas.openxmlformats.org/officeDocument/2006/relationships/hyperlink" Target="https://neogen.store/wp-content/uploads/NT-NAS-QNP-002-1.jpg?wsr" TargetMode="External" Id="rId63" /><Relationship Type="http://schemas.openxmlformats.org/officeDocument/2006/relationships/hyperlink" Target="https://neogen.store/wp-content/uploads/NT-NAS-QNP-001-1.jpg?wsr" TargetMode="External" Id="rId64" /><Relationship Type="http://schemas.openxmlformats.org/officeDocument/2006/relationships/hyperlink" Target="https://neogen.store/wp-content/uploads/NT-NAS-SYN-002-1.jpg?wsr" TargetMode="External" Id="rId65" /><Relationship Type="http://schemas.openxmlformats.org/officeDocument/2006/relationships/hyperlink" Target="https://neogen.store/wp-content/uploads/NT-NAS-SYN-001-1.jpg?wsr" TargetMode="External" Id="rId66" /><Relationship Type="http://schemas.openxmlformats.org/officeDocument/2006/relationships/hyperlink" Target="https://neogen.store/wp-content/uploads/NT-WAP-TPL-002-1.jpg?wsr" TargetMode="External" Id="rId67" /><Relationship Type="http://schemas.openxmlformats.org/officeDocument/2006/relationships/hyperlink" Target="https://neogen.store/wp-content/uploads/NT-WAP-TPL-001-1.jpg?wsr" TargetMode="External" Id="rId68" /><Relationship Type="http://schemas.openxmlformats.org/officeDocument/2006/relationships/hyperlink" Target="https://neogen.store/wp-content/uploads/NT-WAP-UBQ-002-1.jpg?wsr" TargetMode="External" Id="rId69" /><Relationship Type="http://schemas.openxmlformats.org/officeDocument/2006/relationships/hyperlink" Target="https://neogen.store/wp-content/uploads/NT-WAP-UBQ-001-1.jpg?wsr" TargetMode="External" Id="rId70" /><Relationship Type="http://schemas.openxmlformats.org/officeDocument/2006/relationships/hyperlink" Target="https://neogen.store/wp-content/uploads/NT-NET-UBQ-001-1.jpg?wsr" TargetMode="External" Id="rId71" /><Relationship Type="http://schemas.openxmlformats.org/officeDocument/2006/relationships/hyperlink" Target="https://neogen.store/wp-content/uploads/NT-NET-MKT-004-1.jpg?wsr" TargetMode="External" Id="rId72" /><Relationship Type="http://schemas.openxmlformats.org/officeDocument/2006/relationships/hyperlink" Target="https://neogen.store/wp-content/uploads/NT-NET-MKT-003-1.jpg?wsr" TargetMode="External" Id="rId73" /><Relationship Type="http://schemas.openxmlformats.org/officeDocument/2006/relationships/hyperlink" Target="https://neogen.store/wp-content/uploads/NT-NET-MKT-002-1.jpg?wsr" TargetMode="External" Id="rId74" /><Relationship Type="http://schemas.openxmlformats.org/officeDocument/2006/relationships/hyperlink" Target="https://neogen.store/wp-content/uploads/NT-NET-MKT-001-1.jpg?wsr" TargetMode="External" Id="rId75" /><Relationship Type="http://schemas.openxmlformats.org/officeDocument/2006/relationships/hyperlink" Target="https://neogen.store/wp-content/uploads/SH-SWB-SWBT-003-1.jpg?wsr" TargetMode="External" Id="rId76" /><Relationship Type="http://schemas.openxmlformats.org/officeDocument/2006/relationships/hyperlink" Target="https://neogen.store/wp-content/uploads/SH-SWB-SWBT-002-1.jpg?wsr" TargetMode="External" Id="rId77" /><Relationship Type="http://schemas.openxmlformats.org/officeDocument/2006/relationships/hyperlink" Target="https://neogen.store/wp-content/uploads/SH-SWB-SWBT-001-1.jpg?wsr" TargetMode="External" Id="rId78" /><Relationship Type="http://schemas.openxmlformats.org/officeDocument/2006/relationships/hyperlink" Target="https://neogen.store/wp-content/uploads/SH-HUB-HUBI-001-1.jpg?wsr" TargetMode="External" Id="rId79" /><Relationship Type="http://schemas.openxmlformats.org/officeDocument/2006/relationships/hyperlink" Target="https://neogen.store/wp-content/uploads/SH-HUB-HASS-001-1.jpg?wsr" TargetMode="External" Id="rId80" /><Relationship Type="http://schemas.openxmlformats.org/officeDocument/2006/relationships/hyperlink" Target="https://neogen.store/wp-content/uploads/SH-HUB-AQRA-001-1.jpg?wsr" TargetMode="External" Id="rId81" /><Relationship Type="http://schemas.openxmlformats.org/officeDocument/2006/relationships/hyperlink" Target="https://neogen.store/wp-content/uploads/SH-BLD-IKEA-001-1.jpg?wsr" TargetMode="External" Id="rId82" /><Relationship Type="http://schemas.openxmlformats.org/officeDocument/2006/relationships/hyperlink" Target="https://neogen.store/wp-content/uploads/SH-BLD-SWBT-001-1.jpg?wsr" TargetMode="External" Id="rId83" /><Relationship Type="http://schemas.openxmlformats.org/officeDocument/2006/relationships/hyperlink" Target="https://neogen.store/wp-content/uploads/SH-VDB-EUFY-001-1.jpg?wsr" TargetMode="External" Id="rId84" /><Relationship Type="http://schemas.openxmlformats.org/officeDocument/2006/relationships/hyperlink" Target="https://neogen.store/wp-content/uploads/SH-VDB-RING-001-1.jpg?wsr" TargetMode="External" Id="rId85" /><Relationship Type="http://schemas.openxmlformats.org/officeDocument/2006/relationships/hyperlink" Target="https://neogen.store/wp-content/uploads/SH-CAM-RELK-001-1.jpg?wsr" TargetMode="External" Id="rId86" /><Relationship Type="http://schemas.openxmlformats.org/officeDocument/2006/relationships/hyperlink" Target="https://neogen.store/wp-content/uploads/SH-CAM-EUFY-001-1.jpg?wsr" TargetMode="External" Id="rId87" /><Relationship Type="http://schemas.openxmlformats.org/officeDocument/2006/relationships/hyperlink" Target="https://neogen.store/wp-content/uploads/SH-CAM-ARLO-001-1.jpg?wsr" TargetMode="External" Id="rId88" /><Relationship Type="http://schemas.openxmlformats.org/officeDocument/2006/relationships/hyperlink" Target="https://neogen.store/wp-content/uploads/SH-CAM-RING-001-1.jpg?wsr" TargetMode="External" Id="rId89" /><Relationship Type="http://schemas.openxmlformats.org/officeDocument/2006/relationships/hyperlink" Target="https://neogen.store/wp-content/uploads/SH-PLG-MERS-001-1.jpg?wsr" TargetMode="External" Id="rId90" /><Relationship Type="http://schemas.openxmlformats.org/officeDocument/2006/relationships/hyperlink" Target="https://neogen.store/wp-content/uploads/SH-PLG-TPLK-001-1.jpg?wsr" TargetMode="External" Id="rId91" /><Relationship Type="http://schemas.openxmlformats.org/officeDocument/2006/relationships/hyperlink" Target="https://neogen.store/wp-content/uploads/SH-THR-ECOB-001-1.jpg?wsr" TargetMode="External" Id="rId92" /><Relationship Type="http://schemas.openxmlformats.org/officeDocument/2006/relationships/hyperlink" Target="https://neogen.store/wp-content/uploads/SH-THR-NEST-001-1.jpg?wsr" TargetMode="External" Id="rId93" /><Relationship Type="http://schemas.openxmlformats.org/officeDocument/2006/relationships/hyperlink" Target="https://neogen.store/wp-content/uploads/SH-RVC-ECVX-001-1.jpg?wsr" TargetMode="External" Id="rId94" /><Relationship Type="http://schemas.openxmlformats.org/officeDocument/2006/relationships/hyperlink" Target="https://neogen.store/wp-content/uploads/SH-RVC-DREM-001-1.jpg?wsr" TargetMode="External" Id="rId95" /><Relationship Type="http://schemas.openxmlformats.org/officeDocument/2006/relationships/hyperlink" Target="https://neogen.store/wp-content/uploads/SH-RVC-RBRC-001-1.jpg?wsr" TargetMode="External" Id="rId96" /><Relationship Type="http://schemas.openxmlformats.org/officeDocument/2006/relationships/hyperlink" Target="https://neogen.store/wp-content/uploads/SH-LGT-GOVE-002-1.jpg?wsr" TargetMode="External" Id="rId97" /><Relationship Type="http://schemas.openxmlformats.org/officeDocument/2006/relationships/hyperlink" Target="https://neogen.store/wp-content/uploads/SH-LGT-GOVE-001-1.jpg?wsr" TargetMode="External" Id="rId98" /><Relationship Type="http://schemas.openxmlformats.org/officeDocument/2006/relationships/hyperlink" Target="https://neogen.store/wp-content/uploads/SH-LGT-LIFX-001-1.jpg?wsr" TargetMode="External" Id="rId99" /><Relationship Type="http://schemas.openxmlformats.org/officeDocument/2006/relationships/hyperlink" Target="https://neogen.store/wp-content/uploads/SH-LGT-PHUE-002-1.jpg?wsr" TargetMode="External" Id="rId100" /><Relationship Type="http://schemas.openxmlformats.org/officeDocument/2006/relationships/hyperlink" Target="https://neogen.store/wp-content/uploads/SH-LGT-PHUE-001-1.jpg?wsr" TargetMode="External" Id="rId101" /><Relationship Type="http://schemas.openxmlformats.org/officeDocument/2006/relationships/hyperlink" Target="https://neogen.store/wp-content/uploads/SH-LCK-AUGS-001-1.jpg?wsr" TargetMode="External" Id="rId102" /><Relationship Type="http://schemas.openxmlformats.org/officeDocument/2006/relationships/hyperlink" Target="https://neogen.store/wp-content/uploads/SH-LCK-AQRA-001-1.jpg?wsr" TargetMode="External" Id="rId103" /><Relationship Type="http://schemas.openxmlformats.org/officeDocument/2006/relationships/hyperlink" Target="https://neogen.store/wp-content/uploads/SH-LCK-YALE-001-1.jpg?wsr" TargetMode="External" Id="rId104" /><Relationship Type="http://schemas.openxmlformats.org/officeDocument/2006/relationships/hyperlink" Target="https://neogen.store/wp-content/uploads/SH-DSP-GGLE-001-1.jpg?wsr" TargetMode="External" Id="rId105" /><Relationship Type="http://schemas.openxmlformats.org/officeDocument/2006/relationships/hyperlink" Target="https://neogen.store/wp-content/uploads/SH-DSP-AMZN-001-1.jpg?wsr" TargetMode="External" Id="rId106" /><Relationship Type="http://schemas.openxmlformats.org/officeDocument/2006/relationships/hyperlink" Target="https://neogen.store/wp-content/uploads/SH-SPK-AMZN-002-1.jpg?wsr" TargetMode="External" Id="rId107" /><Relationship Type="http://schemas.openxmlformats.org/officeDocument/2006/relationships/hyperlink" Target="https://neogen.store/wp-content/uploads/SH-SPK-GGLE-001-1.jpg?wsr" TargetMode="External" Id="rId108" /><Relationship Type="http://schemas.openxmlformats.org/officeDocument/2006/relationships/hyperlink" Target="https://neogen.store/wp-content/uploads/SH-SPK-APPL-001-1.jpg?wsr" TargetMode="External" Id="rId109" /><Relationship Type="http://schemas.openxmlformats.org/officeDocument/2006/relationships/hyperlink" Target="https://neogen.store/wp-content/uploads/SH-SPK-AMZN-001-1.jpg?wsr" TargetMode="External" Id="rId110" /><Relationship Type="http://schemas.openxmlformats.org/officeDocument/2006/relationships/hyperlink" Target="https://neogen.store/wp-content/uploads/NG-SEC-007.jpg?wsr" TargetMode="External" Id="rId111" /><Relationship Type="http://schemas.openxmlformats.org/officeDocument/2006/relationships/hyperlink" Target="https://neogen.store/wp-content/uploads/NG-SEC-006.jpg?wsr" TargetMode="External" Id="rId112" /><Relationship Type="http://schemas.openxmlformats.org/officeDocument/2006/relationships/hyperlink" Target="https://neogen.store/wp-content/uploads/NG-SEC-005.jpg?wsr" TargetMode="External" Id="rId113" /><Relationship Type="http://schemas.openxmlformats.org/officeDocument/2006/relationships/hyperlink" Target="https://neogen.store/wp-content/uploads/NG-SEC-004.jpg?wsr" TargetMode="External" Id="rId114" /><Relationship Type="http://schemas.openxmlformats.org/officeDocument/2006/relationships/hyperlink" Target="https://neogen.store/wp-content/uploads/NG-SEC-003.jpg?wsr" TargetMode="External" Id="rId115" /><Relationship Type="http://schemas.openxmlformats.org/officeDocument/2006/relationships/hyperlink" Target="https://neogen.store/wp-content/uploads/NG-SEC-002.jpg?wsr" TargetMode="External" Id="rId116" /><Relationship Type="http://schemas.openxmlformats.org/officeDocument/2006/relationships/hyperlink" Target="https://neogen.store/wp-content/uploads/NG-SEC-001.jpg?wsr" TargetMode="External" Id="rId117" /><Relationship Type="http://schemas.openxmlformats.org/officeDocument/2006/relationships/hyperlink" Target="https://neogen.store/wp-content/uploads/NG-DRN-008.jpg?wsr" TargetMode="External" Id="rId118" /><Relationship Type="http://schemas.openxmlformats.org/officeDocument/2006/relationships/hyperlink" Target="https://neogen.store/wp-content/uploads/NG-DRN-007.jpg?wsr" TargetMode="External" Id="rId119" /><Relationship Type="http://schemas.openxmlformats.org/officeDocument/2006/relationships/hyperlink" Target="https://neogen.store/wp-content/uploads/NG-DRN-006.jpg?wsr" TargetMode="External" Id="rId120" /><Relationship Type="http://schemas.openxmlformats.org/officeDocument/2006/relationships/hyperlink" Target="https://neogen.store/wp-content/uploads/NG-DRN-005.jpg?wsr" TargetMode="External" Id="rId121" /><Relationship Type="http://schemas.openxmlformats.org/officeDocument/2006/relationships/hyperlink" Target="https://neogen.store/wp-content/uploads/NG-DRN-004.jpg?wsr" TargetMode="External" Id="rId122" /><Relationship Type="http://schemas.openxmlformats.org/officeDocument/2006/relationships/hyperlink" Target="https://neogen.store/wp-content/uploads/NG-DRN-003.jpg?wsr" TargetMode="External" Id="rId123" /><Relationship Type="http://schemas.openxmlformats.org/officeDocument/2006/relationships/hyperlink" Target="https://neogen.store/wp-content/uploads/NG-DRN-002.jpg?wsr" TargetMode="External" Id="rId124" /><Relationship Type="http://schemas.openxmlformats.org/officeDocument/2006/relationships/hyperlink" Target="https://neogen.store/wp-content/uploads/NG-DRN-001.jpg?wsr" TargetMode="External" Id="rId125" /><Relationship Type="http://schemas.openxmlformats.org/officeDocument/2006/relationships/hyperlink" Target="https://neogen.store/wp-content/uploads/NG-CBL-008.jpg?wsr" TargetMode="External" Id="rId126" /><Relationship Type="http://schemas.openxmlformats.org/officeDocument/2006/relationships/hyperlink" Target="https://neogen.store/wp-content/uploads/NG-CBL-007.jpg?wsr" TargetMode="External" Id="rId127" /><Relationship Type="http://schemas.openxmlformats.org/officeDocument/2006/relationships/hyperlink" Target="https://neogen.store/wp-content/uploads/NG-CBL-006.jpg?wsr" TargetMode="External" Id="rId128" /><Relationship Type="http://schemas.openxmlformats.org/officeDocument/2006/relationships/hyperlink" Target="https://neogen.store/wp-content/uploads/NG-CBL-005.jpg?wsr" TargetMode="External" Id="rId129" /><Relationship Type="http://schemas.openxmlformats.org/officeDocument/2006/relationships/hyperlink" Target="https://neogen.store/wp-content/uploads/NG-CBL-004.jpg?wsr" TargetMode="External" Id="rId130" /><Relationship Type="http://schemas.openxmlformats.org/officeDocument/2006/relationships/hyperlink" Target="https://neogen.store/wp-content/uploads/NG-CBL-003.jpg?wsr" TargetMode="External" Id="rId131" /><Relationship Type="http://schemas.openxmlformats.org/officeDocument/2006/relationships/hyperlink" Target="https://neogen.store/wp-content/uploads/NG-CBL-002.jpg?wsr" TargetMode="External" Id="rId132" /><Relationship Type="http://schemas.openxmlformats.org/officeDocument/2006/relationships/hyperlink" Target="https://neogen.store/wp-content/uploads/NG-CBL-001.jpg?wsr" TargetMode="External" Id="rId133" /><Relationship Type="http://schemas.openxmlformats.org/officeDocument/2006/relationships/hyperlink" Target="https://neogen.store/wp-content/uploads/NG-3DP-008.jpg?wsr" TargetMode="External" Id="rId134" /><Relationship Type="http://schemas.openxmlformats.org/officeDocument/2006/relationships/hyperlink" Target="https://neogen.store/wp-content/uploads/NG-3DP-007.jpg?wsr" TargetMode="External" Id="rId135" /><Relationship Type="http://schemas.openxmlformats.org/officeDocument/2006/relationships/hyperlink" Target="https://neogen.store/wp-content/uploads/NG-3DP-006.jpg?wsr" TargetMode="External" Id="rId136" /><Relationship Type="http://schemas.openxmlformats.org/officeDocument/2006/relationships/hyperlink" Target="https://neogen.store/wp-content/uploads/NG-3DP-005.jpg?wsr" TargetMode="External" Id="rId137" /><Relationship Type="http://schemas.openxmlformats.org/officeDocument/2006/relationships/hyperlink" Target="https://neogen.store/wp-content/uploads/NG-3DP-004.jpg?wsr" TargetMode="External" Id="rId138" /><Relationship Type="http://schemas.openxmlformats.org/officeDocument/2006/relationships/hyperlink" Target="https://neogen.store/wp-content/uploads/NG-3DP-003.jpg?wsr" TargetMode="External" Id="rId139" /><Relationship Type="http://schemas.openxmlformats.org/officeDocument/2006/relationships/hyperlink" Target="https://neogen.store/wp-content/uploads/NG-3DP-002.jpg?wsr" TargetMode="External" Id="rId140" /><Relationship Type="http://schemas.openxmlformats.org/officeDocument/2006/relationships/hyperlink" Target="https://neogen.store/wp-content/uploads/NG-3DP-001.jpg?wsr" TargetMode="External" Id="rId141" /><Relationship Type="http://schemas.openxmlformats.org/officeDocument/2006/relationships/hyperlink" Target="https://neogen.store/wp-content/uploads/NG-ACC-010.jpg?wsr" TargetMode="External" Id="rId142" /><Relationship Type="http://schemas.openxmlformats.org/officeDocument/2006/relationships/hyperlink" Target="https://neogen.store/wp-content/uploads/NG-ACC-009.jpg?wsr" TargetMode="External" Id="rId143" /><Relationship Type="http://schemas.openxmlformats.org/officeDocument/2006/relationships/hyperlink" Target="https://neogen.store/wp-content/uploads/NG-ACC-008.jpg?wsr" TargetMode="External" Id="rId144" /><Relationship Type="http://schemas.openxmlformats.org/officeDocument/2006/relationships/hyperlink" Target="https://neogen.store/wp-content/uploads/NG-ACC-007.jpg?wsr" TargetMode="External" Id="rId145" /><Relationship Type="http://schemas.openxmlformats.org/officeDocument/2006/relationships/hyperlink" Target="https://neogen.store/wp-content/uploads/NG-ACC-006.jpg?wsr" TargetMode="External" Id="rId146" /><Relationship Type="http://schemas.openxmlformats.org/officeDocument/2006/relationships/hyperlink" Target="https://neogen.store/wp-content/uploads/NG-MKR-010.jpg?wsr" TargetMode="External" Id="rId147" /><Relationship Type="http://schemas.openxmlformats.org/officeDocument/2006/relationships/hyperlink" Target="https://neogen.store/wp-content/uploads/NG-MKR-009.jpg?wsr" TargetMode="External" Id="rId148" /><Relationship Type="http://schemas.openxmlformats.org/officeDocument/2006/relationships/hyperlink" Target="https://neogen.store/wp-content/uploads/NG-MKR-008.jpg?wsr" TargetMode="External" Id="rId149" /><Relationship Type="http://schemas.openxmlformats.org/officeDocument/2006/relationships/hyperlink" Target="https://neogen.store/wp-content/uploads/NG-MKR-007.jpg?wsr" TargetMode="External" Id="rId150" /><Relationship Type="http://schemas.openxmlformats.org/officeDocument/2006/relationships/hyperlink" Target="https://neogen.store/wp-content/uploads/NG-MKR-006.jpg?wsr" TargetMode="External" Id="rId151" /><Relationship Type="http://schemas.openxmlformats.org/officeDocument/2006/relationships/hyperlink" Target="https://neogen.store/wp-content/uploads/NG-GAM-012.jpg?wsr" TargetMode="External" Id="rId152" /><Relationship Type="http://schemas.openxmlformats.org/officeDocument/2006/relationships/hyperlink" Target="https://neogen.store/wp-content/uploads/NG-GAM-011.jpg?wsr" TargetMode="External" Id="rId153" /><Relationship Type="http://schemas.openxmlformats.org/officeDocument/2006/relationships/hyperlink" Target="https://neogen.store/wp-content/uploads/NG-GAM-010.jpg?wsr" TargetMode="External" Id="rId154" /><Relationship Type="http://schemas.openxmlformats.org/officeDocument/2006/relationships/hyperlink" Target="https://neogen.store/wp-content/uploads/NG-GAM-009.jpg?wsr" TargetMode="External" Id="rId155" /><Relationship Type="http://schemas.openxmlformats.org/officeDocument/2006/relationships/hyperlink" Target="https://neogen.store/wp-content/uploads/NG-GAM-008.jpg?wsr" TargetMode="External" Id="rId156" /><Relationship Type="http://schemas.openxmlformats.org/officeDocument/2006/relationships/hyperlink" Target="https://neogen.store/wp-content/uploads/NG-GAM-007.jpg?wsr" TargetMode="External" Id="rId157" /><Relationship Type="http://schemas.openxmlformats.org/officeDocument/2006/relationships/hyperlink" Target="https://neogen.store/wp-content/uploads/NG-GAM-006.jpg?wsr" TargetMode="External" Id="rId158" /><Relationship Type="http://schemas.openxmlformats.org/officeDocument/2006/relationships/hyperlink" Target="https://neogen.store/wp-content/uploads/NG-GAM-005.jpg?wsr" TargetMode="External" Id="rId159" /><Relationship Type="http://schemas.openxmlformats.org/officeDocument/2006/relationships/hyperlink" Target="https://neogen.store/wp-content/uploads/NG-GAM-004.jpg?wsr" TargetMode="External" Id="rId160" /><Relationship Type="http://schemas.openxmlformats.org/officeDocument/2006/relationships/hyperlink" Target="https://neogen.store/wp-content/uploads/NG-GAM-003.jpg?wsr" TargetMode="External" Id="rId161" /><Relationship Type="http://schemas.openxmlformats.org/officeDocument/2006/relationships/hyperlink" Target="https://neogen.store/wp-content/uploads/NG-GAM-002.jpg?wsr" TargetMode="External" Id="rId162" /><Relationship Type="http://schemas.openxmlformats.org/officeDocument/2006/relationships/hyperlink" Target="https://neogen.store/wp-content/uploads/NG-GAM-001.jpg?wsr" TargetMode="External" Id="rId163" /><Relationship Type="http://schemas.openxmlformats.org/officeDocument/2006/relationships/hyperlink" Target="https://neogen.store/wp-content/uploads/NG-NET-012.jpg?wsr" TargetMode="External" Id="rId164" /><Relationship Type="http://schemas.openxmlformats.org/officeDocument/2006/relationships/hyperlink" Target="https://neogen.store/wp-content/uploads/NG-NET-011.jpg?wsr" TargetMode="External" Id="rId165" /><Relationship Type="http://schemas.openxmlformats.org/officeDocument/2006/relationships/hyperlink" Target="https://neogen.store/wp-content/uploads/NG-NET-010.jpg?wsr" TargetMode="External" Id="rId166" /><Relationship Type="http://schemas.openxmlformats.org/officeDocument/2006/relationships/hyperlink" Target="https://neogen.store/wp-content/uploads/NG-NET-009.jpg?wsr" TargetMode="External" Id="rId167" /><Relationship Type="http://schemas.openxmlformats.org/officeDocument/2006/relationships/hyperlink" Target="https://neogen.store/wp-content/uploads/NG-NET-008.jpg?wsr" TargetMode="External" Id="rId168" /><Relationship Type="http://schemas.openxmlformats.org/officeDocument/2006/relationships/hyperlink" Target="https://neogen.store/wp-content/uploads/NG-NET-007.jpg?wsr" TargetMode="External" Id="rId169" /><Relationship Type="http://schemas.openxmlformats.org/officeDocument/2006/relationships/hyperlink" Target="https://neogen.store/wp-content/uploads/NG-NET-006.jpg?wsr" TargetMode="External" Id="rId170" /><Relationship Type="http://schemas.openxmlformats.org/officeDocument/2006/relationships/hyperlink" Target="https://neogen.store/wp-content/uploads/NG-NET-005.jpg?wsr" TargetMode="External" Id="rId171" /><Relationship Type="http://schemas.openxmlformats.org/officeDocument/2006/relationships/hyperlink" Target="https://neogen.store/wp-content/uploads/NG-NET-004.jpg?wsr" TargetMode="External" Id="rId172" /><Relationship Type="http://schemas.openxmlformats.org/officeDocument/2006/relationships/hyperlink" Target="https://neogen.store/wp-content/uploads/NG-NET-003.jpg?wsr" TargetMode="External" Id="rId173" /><Relationship Type="http://schemas.openxmlformats.org/officeDocument/2006/relationships/hyperlink" Target="https://neogen.store/wp-content/uploads/NG-NET-002.jpg?wsr" TargetMode="External" Id="rId174" /><Relationship Type="http://schemas.openxmlformats.org/officeDocument/2006/relationships/hyperlink" Target="https://neogen.store/wp-content/uploads/NG-NET-001.jpg?wsr" TargetMode="External" Id="rId175" /><Relationship Type="http://schemas.openxmlformats.org/officeDocument/2006/relationships/hyperlink" Target="https://neogen.store/wp-content/uploads/NG-SH-015.jpg?wsr" TargetMode="External" Id="rId176" /><Relationship Type="http://schemas.openxmlformats.org/officeDocument/2006/relationships/hyperlink" Target="https://neogen.store/wp-content/uploads/NG-SH-014.jpg?wsr" TargetMode="External" Id="rId177" /><Relationship Type="http://schemas.openxmlformats.org/officeDocument/2006/relationships/hyperlink" Target="https://neogen.store/wp-content/uploads/NG-SH-013.jpg?wsr" TargetMode="External" Id="rId178" /><Relationship Type="http://schemas.openxmlformats.org/officeDocument/2006/relationships/hyperlink" Target="https://neogen.store/wp-content/uploads/NG-SH-012.jpg?wsr" TargetMode="External" Id="rId179" /><Relationship Type="http://schemas.openxmlformats.org/officeDocument/2006/relationships/hyperlink" Target="https://neogen.store/wp-content/uploads/NG-SH-011.jpg?wsr" TargetMode="External" Id="rId180" /><Relationship Type="http://schemas.openxmlformats.org/officeDocument/2006/relationships/hyperlink" Target="https://neogen.store/wp-content/uploads/NG-SH-010.jpg?wsr" TargetMode="External" Id="rId181" /><Relationship Type="http://schemas.openxmlformats.org/officeDocument/2006/relationships/hyperlink" Target="https://neogen.store/wp-content/uploads/NG-SH-009.jpg?wsr" TargetMode="External" Id="rId182" /><Relationship Type="http://schemas.openxmlformats.org/officeDocument/2006/relationships/hyperlink" Target="https://neogen.store/wp-content/uploads/NG-SH-008.jpg?wsr" TargetMode="External" Id="rId183" /><Relationship Type="http://schemas.openxmlformats.org/officeDocument/2006/relationships/hyperlink" Target="https://neogen.store/wp-content/uploads/NG-SH-007.jpg?wsr" TargetMode="External" Id="rId184" /><Relationship Type="http://schemas.openxmlformats.org/officeDocument/2006/relationships/hyperlink" Target="https://neogen.store/wp-content/uploads/NG-SH-006.jpg?wsr" TargetMode="External" Id="rId185" /><Relationship Type="http://schemas.openxmlformats.org/officeDocument/2006/relationships/hyperlink" Target="https://neogen.store/wp-content/uploads/NG-ENT-010.jpg?wsr" TargetMode="External" Id="rId186" /><Relationship Type="http://schemas.openxmlformats.org/officeDocument/2006/relationships/hyperlink" Target="https://neogen.store/wp-content/uploads/NG-ENT-009.jpg?wsr" TargetMode="External" Id="rId187" /><Relationship Type="http://schemas.openxmlformats.org/officeDocument/2006/relationships/hyperlink" Target="https://neogen.store/wp-content/uploads/NG-ENT-008.jpg?wsr" TargetMode="External" Id="rId188" /><Relationship Type="http://schemas.openxmlformats.org/officeDocument/2006/relationships/hyperlink" Target="https://neogen.store/wp-content/uploads/NG-ENT-007.jpg?wsr" TargetMode="External" Id="rId189" /><Relationship Type="http://schemas.openxmlformats.org/officeDocument/2006/relationships/hyperlink" Target="https://neogen.store/wp-content/uploads/NG-ENT-006.jpg?wsr" TargetMode="External" Id="rId190" /><Relationship Type="http://schemas.openxmlformats.org/officeDocument/2006/relationships/hyperlink" Target="https://neogen.store/wp-content/uploads/NG-ACC-005.jpg?wsr" TargetMode="External" Id="rId191" /><Relationship Type="http://schemas.openxmlformats.org/officeDocument/2006/relationships/hyperlink" Target="https://neogen.store/wp-content/uploads/NG-ACC-004.jpg?wsr" TargetMode="External" Id="rId192" /><Relationship Type="http://schemas.openxmlformats.org/officeDocument/2006/relationships/hyperlink" Target="https://neogen.store/wp-content/uploads/NG-ACC-003.jpg?wsr" TargetMode="External" Id="rId193" /><Relationship Type="http://schemas.openxmlformats.org/officeDocument/2006/relationships/hyperlink" Target="https://neogen.store/wp-content/uploads/NG-ACC-002.jpg?wsr" TargetMode="External" Id="rId194" /><Relationship Type="http://schemas.openxmlformats.org/officeDocument/2006/relationships/hyperlink" Target="https://neogen.store/wp-content/uploads/NG-ACC-001.jpg?wsr" TargetMode="External" Id="rId195" /><Relationship Type="http://schemas.openxmlformats.org/officeDocument/2006/relationships/hyperlink" Target="https://neogen.store/wp-content/uploads/NG-MKR-005.jpg?wsr" TargetMode="External" Id="rId196" /><Relationship Type="http://schemas.openxmlformats.org/officeDocument/2006/relationships/hyperlink" Target="https://neogen.store/wp-content/uploads/NG-MKR-004.jpg?wsr" TargetMode="External" Id="rId197" /><Relationship Type="http://schemas.openxmlformats.org/officeDocument/2006/relationships/hyperlink" Target="https://neogen.store/wp-content/uploads/NG-MKR-003.jpg?wsr" TargetMode="External" Id="rId198" /><Relationship Type="http://schemas.openxmlformats.org/officeDocument/2006/relationships/hyperlink" Target="https://neogen.store/wp-content/uploads/NG-MKR-002.jpg?wsr" TargetMode="External" Id="rId199" /><Relationship Type="http://schemas.openxmlformats.org/officeDocument/2006/relationships/hyperlink" Target="https://neogen.store/wp-content/uploads/NG-MKR-001.jpg?wsr" TargetMode="External" Id="rId200" /><Relationship Type="http://schemas.openxmlformats.org/officeDocument/2006/relationships/hyperlink" Target="https://neogen.store/wp-content/uploads/NG-SH-005.jpg?wsr" TargetMode="External" Id="rId201" /><Relationship Type="http://schemas.openxmlformats.org/officeDocument/2006/relationships/hyperlink" Target="https://neogen.store/wp-content/uploads/NG-SH-004.jpg?wsr" TargetMode="External" Id="rId202" /><Relationship Type="http://schemas.openxmlformats.org/officeDocument/2006/relationships/hyperlink" Target="https://neogen.store/wp-content/uploads/NG-SH-003.jpg?wsr" TargetMode="External" Id="rId203" /><Relationship Type="http://schemas.openxmlformats.org/officeDocument/2006/relationships/hyperlink" Target="https://neogen.store/wp-content/uploads/NG-SH-002.jpg?wsr" TargetMode="External" Id="rId204" /><Relationship Type="http://schemas.openxmlformats.org/officeDocument/2006/relationships/hyperlink" Target="https://neogen.store/wp-content/uploads/NG-SH-001.jpg?wsr" TargetMode="External" Id="rId205" /><Relationship Type="http://schemas.openxmlformats.org/officeDocument/2006/relationships/hyperlink" Target="https://neogen.store/wp-content/uploads/NG-ENT-005.jpg?wsr" TargetMode="External" Id="rId206" /><Relationship Type="http://schemas.openxmlformats.org/officeDocument/2006/relationships/hyperlink" Target="https://neogen.store/wp-content/uploads/NG-ENT-004.jpg?wsr" TargetMode="External" Id="rId207" /><Relationship Type="http://schemas.openxmlformats.org/officeDocument/2006/relationships/hyperlink" Target="https://neogen.store/wp-content/uploads/NG-ENT-003.jpg?wsr" TargetMode="External" Id="rId208" /><Relationship Type="http://schemas.openxmlformats.org/officeDocument/2006/relationships/hyperlink" Target="https://neogen.store/wp-content/uploads/NG-ENT-001.jpg?wsr" TargetMode="External" Id="rId2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5" customWidth="1" min="3" max="3"/>
    <col width="22" customWidth="1" min="4" max="4"/>
    <col width="10" customWidth="1" min="5" max="5"/>
    <col width="14" customWidth="1" min="6" max="6"/>
    <col width="14" customWidth="1" min="7" max="7"/>
    <col width="13" customWidth="1" min="8" max="8"/>
    <col width="14" customWidth="1" min="9" max="9"/>
    <col width="16" customWidth="1" min="10" max="10"/>
    <col width="16" customWidth="1" min="11" max="11"/>
    <col width="11" customWidth="1" min="12" max="12"/>
    <col width="13" customWidth="1" min="13" max="13"/>
    <col width="8" customWidth="1" min="14" max="14"/>
  </cols>
  <sheetData>
    <row r="1" ht="42" customHeight="1">
      <c r="A1" s="1" t="inlineStr">
        <is>
          <t>#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Sale Price (SAR)</t>
        </is>
      </c>
      <c r="G1" s="1" t="inlineStr">
        <is>
          <t>Regular Price (SAR)</t>
        </is>
      </c>
      <c r="H1" s="1" t="inlineStr">
        <is>
          <t>Est. Cost (USD)</t>
        </is>
      </c>
      <c r="I1" s="1" t="inlineStr">
        <is>
          <t>Est. Cost (SAR)</t>
        </is>
      </c>
      <c r="J1" s="1" t="inlineStr">
        <is>
          <t>Buy Cost SAR (edit)</t>
        </is>
      </c>
      <c r="K1" s="1" t="inlineStr">
        <is>
          <t>Profit per Unit (SAR)</t>
        </is>
      </c>
      <c r="L1" s="1" t="inlineStr">
        <is>
          <t>Margin %</t>
        </is>
      </c>
      <c r="M1" s="1" t="inlineStr">
        <is>
          <t>Stock Status</t>
        </is>
      </c>
      <c r="N1" s="1" t="inlineStr">
        <is>
          <t>Image</t>
        </is>
      </c>
    </row>
    <row r="2">
      <c r="A2" s="2" t="n">
        <v>1</v>
      </c>
      <c r="B2" s="2" t="inlineStr">
        <is>
          <t>GC-SW-ACC1</t>
        </is>
      </c>
      <c r="C2" s="2" t="inlineStr">
        <is>
          <t>Adobe Creative Cloud 1 Year | أدوبي كرييتف كلاود</t>
        </is>
      </c>
      <c r="D2" s="2" t="inlineStr">
        <is>
          <t>Gift Cards &amp;amp; Software Keys</t>
        </is>
      </c>
      <c r="E2" s="2" t="inlineStr">
        <is>
          <t>publish</t>
        </is>
      </c>
      <c r="F2" s="3" t="n">
        <v>1999</v>
      </c>
      <c r="G2" s="3" t="n">
        <v>2499</v>
      </c>
      <c r="H2" s="4" t="n">
        <v>346.49</v>
      </c>
      <c r="I2" s="5" t="n">
        <v>1299.34</v>
      </c>
      <c r="J2" s="5" t="n">
        <v>1299.34</v>
      </c>
      <c r="K2" s="5">
        <f>F2-J2</f>
        <v/>
      </c>
      <c r="L2" s="6">
        <f>IF(J2=0,0,(F2-J2)/J2)</f>
        <v/>
      </c>
      <c r="M2" s="2" t="inlineStr">
        <is>
          <t>instock</t>
        </is>
      </c>
      <c r="N2" s="7" t="inlineStr">
        <is>
          <t>🖼</t>
        </is>
      </c>
    </row>
    <row r="3">
      <c r="A3" t="n">
        <v>2</v>
      </c>
      <c r="B3" t="inlineStr">
        <is>
          <t>GC-SW-KTS1</t>
        </is>
      </c>
      <c r="C3" t="inlineStr">
        <is>
          <t>Kaspersky Total Security 1 Year | كاسبرسكي</t>
        </is>
      </c>
      <c r="D3" t="inlineStr">
        <is>
          <t>Gift Cards &amp;amp; Software Keys</t>
        </is>
      </c>
      <c r="E3" t="inlineStr">
        <is>
          <t>publish</t>
        </is>
      </c>
      <c r="F3" s="8" t="n">
        <v>119</v>
      </c>
      <c r="G3" s="8" t="n">
        <v>149</v>
      </c>
      <c r="H3" s="9" t="n">
        <v>12.53</v>
      </c>
      <c r="I3" s="10" t="n">
        <v>46.99</v>
      </c>
      <c r="J3" s="10" t="n">
        <v>46.99</v>
      </c>
      <c r="K3" s="10">
        <f>F3-J3</f>
        <v/>
      </c>
      <c r="L3" s="11">
        <f>IF(J3=0,0,(F3-J3)/J3)</f>
        <v/>
      </c>
      <c r="M3" t="inlineStr">
        <is>
          <t>instock</t>
        </is>
      </c>
      <c r="N3" s="12" t="inlineStr">
        <is>
          <t>🖼</t>
        </is>
      </c>
    </row>
    <row r="4">
      <c r="A4" s="2" t="n">
        <v>3</v>
      </c>
      <c r="B4" s="2" t="inlineStr">
        <is>
          <t>GC-APL-100</t>
        </is>
      </c>
      <c r="C4" s="2" t="inlineStr">
        <is>
          <t>Apple Gift Card $100 | بطاقة آبل</t>
        </is>
      </c>
      <c r="D4" s="2" t="inlineStr">
        <is>
          <t>Gift Cards &amp;amp; Software Keys</t>
        </is>
      </c>
      <c r="E4" s="2" t="inlineStr">
        <is>
          <t>publish</t>
        </is>
      </c>
      <c r="F4" s="3" t="n">
        <v>389</v>
      </c>
      <c r="G4" s="3" t="n">
        <v>389</v>
      </c>
      <c r="H4" s="4" t="n">
        <v>53.19</v>
      </c>
      <c r="I4" s="5" t="n">
        <v>199.46</v>
      </c>
      <c r="J4" s="5" t="n">
        <v>199.46</v>
      </c>
      <c r="K4" s="5">
        <f>F4-J4</f>
        <v/>
      </c>
      <c r="L4" s="6">
        <f>IF(J4=0,0,(F4-J4)/J4)</f>
        <v/>
      </c>
      <c r="M4" s="2" t="inlineStr">
        <is>
          <t>instock</t>
        </is>
      </c>
      <c r="N4" s="7" t="inlineStr">
        <is>
          <t>🖼</t>
        </is>
      </c>
    </row>
    <row r="5">
      <c r="A5" t="n">
        <v>4</v>
      </c>
      <c r="B5" t="inlineStr">
        <is>
          <t>GC-GP-50</t>
        </is>
      </c>
      <c r="C5" t="inlineStr">
        <is>
          <t>Google Play $50 Gift Card | بطاقة قوقل بلاي</t>
        </is>
      </c>
      <c r="D5" t="inlineStr">
        <is>
          <t>Gift Cards &amp;amp; Software Keys</t>
        </is>
      </c>
      <c r="E5" t="inlineStr">
        <is>
          <t>publish</t>
        </is>
      </c>
      <c r="F5" s="8" t="n">
        <v>199</v>
      </c>
      <c r="G5" s="8" t="n">
        <v>199</v>
      </c>
      <c r="H5" s="9" t="n">
        <v>23.2</v>
      </c>
      <c r="I5" s="10" t="n">
        <v>87</v>
      </c>
      <c r="J5" s="10" t="n">
        <v>87</v>
      </c>
      <c r="K5" s="10">
        <f>F5-J5</f>
        <v/>
      </c>
      <c r="L5" s="11">
        <f>IF(J5=0,0,(F5-J5)/J5)</f>
        <v/>
      </c>
      <c r="M5" t="inlineStr">
        <is>
          <t>instock</t>
        </is>
      </c>
      <c r="N5" s="12" t="inlineStr">
        <is>
          <t>🖼</t>
        </is>
      </c>
    </row>
    <row r="6">
      <c r="A6" s="2" t="n">
        <v>5</v>
      </c>
      <c r="B6" s="2" t="inlineStr">
        <is>
          <t>GC-NFX-100</t>
        </is>
      </c>
      <c r="C6" s="2" t="inlineStr">
        <is>
          <t>Netflix Gift Card $100 | بطاقة نتفلكس</t>
        </is>
      </c>
      <c r="D6" s="2" t="inlineStr">
        <is>
          <t>Gift Cards &amp;amp; Software Keys</t>
        </is>
      </c>
      <c r="E6" s="2" t="inlineStr">
        <is>
          <t>publish</t>
        </is>
      </c>
      <c r="F6" s="3" t="n">
        <v>389</v>
      </c>
      <c r="G6" s="3" t="n">
        <v>389</v>
      </c>
      <c r="H6" s="4" t="n">
        <v>53.19</v>
      </c>
      <c r="I6" s="5" t="n">
        <v>199.46</v>
      </c>
      <c r="J6" s="5" t="n">
        <v>199.46</v>
      </c>
      <c r="K6" s="5">
        <f>F6-J6</f>
        <v/>
      </c>
      <c r="L6" s="6">
        <f>IF(J6=0,0,(F6-J6)/J6)</f>
        <v/>
      </c>
      <c r="M6" s="2" t="inlineStr">
        <is>
          <t>instock</t>
        </is>
      </c>
      <c r="N6" s="7" t="inlineStr">
        <is>
          <t>🖼</t>
        </is>
      </c>
    </row>
    <row r="7">
      <c r="A7" t="n">
        <v>6</v>
      </c>
      <c r="B7" t="inlineStr">
        <is>
          <t>GC-XBX-GPU3</t>
        </is>
      </c>
      <c r="C7" t="inlineStr">
        <is>
          <t>Xbox Game Pass Ultimate 3 Months | قيم باس</t>
        </is>
      </c>
      <c r="D7" t="inlineStr">
        <is>
          <t>Gift Cards &amp;amp; Software Keys</t>
        </is>
      </c>
      <c r="E7" t="inlineStr">
        <is>
          <t>publish</t>
        </is>
      </c>
      <c r="F7" s="8" t="n">
        <v>149</v>
      </c>
      <c r="G7" s="8" t="n">
        <v>179</v>
      </c>
      <c r="H7" s="9" t="n">
        <v>16.53</v>
      </c>
      <c r="I7" s="10" t="n">
        <v>61.99</v>
      </c>
      <c r="J7" s="10" t="n">
        <v>61.99</v>
      </c>
      <c r="K7" s="10">
        <f>F7-J7</f>
        <v/>
      </c>
      <c r="L7" s="11">
        <f>IF(J7=0,0,(F7-J7)/J7)</f>
        <v/>
      </c>
      <c r="M7" t="inlineStr">
        <is>
          <t>instock</t>
        </is>
      </c>
      <c r="N7" s="12" t="inlineStr">
        <is>
          <t>🖼</t>
        </is>
      </c>
    </row>
    <row r="8">
      <c r="A8" s="2" t="n">
        <v>7</v>
      </c>
      <c r="B8" s="2" t="inlineStr">
        <is>
          <t>GC-STM-50</t>
        </is>
      </c>
      <c r="C8" s="2" t="inlineStr">
        <is>
          <t>Steam Wallet $50 Gift Card | بطاقة ستيم</t>
        </is>
      </c>
      <c r="D8" s="2" t="inlineStr">
        <is>
          <t>Gift Cards &amp;amp; Software Keys</t>
        </is>
      </c>
      <c r="E8" s="2" t="inlineStr">
        <is>
          <t>publish</t>
        </is>
      </c>
      <c r="F8" s="3" t="n">
        <v>199</v>
      </c>
      <c r="G8" s="3" t="n">
        <v>199</v>
      </c>
      <c r="H8" s="4" t="n">
        <v>23.2</v>
      </c>
      <c r="I8" s="5" t="n">
        <v>87</v>
      </c>
      <c r="J8" s="5" t="n">
        <v>87</v>
      </c>
      <c r="K8" s="5">
        <f>F8-J8</f>
        <v/>
      </c>
      <c r="L8" s="6">
        <f>IF(J8=0,0,(F8-J8)/J8)</f>
        <v/>
      </c>
      <c r="M8" s="2" t="inlineStr">
        <is>
          <t>instock</t>
        </is>
      </c>
      <c r="N8" s="7" t="inlineStr">
        <is>
          <t>🖼</t>
        </is>
      </c>
    </row>
    <row r="9">
      <c r="A9" t="n">
        <v>8</v>
      </c>
      <c r="B9" t="inlineStr">
        <is>
          <t>GC-PSN-50</t>
        </is>
      </c>
      <c r="C9" t="inlineStr">
        <is>
          <t>PlayStation Store $50 Gift Card | بطاقة بلايستيشن</t>
        </is>
      </c>
      <c r="D9" t="inlineStr">
        <is>
          <t>Gift Cards &amp;amp; Software Keys</t>
        </is>
      </c>
      <c r="E9" t="inlineStr">
        <is>
          <t>publish</t>
        </is>
      </c>
      <c r="F9" s="8" t="n">
        <v>199</v>
      </c>
      <c r="G9" s="8" t="n">
        <v>199</v>
      </c>
      <c r="H9" s="9" t="n">
        <v>23.2</v>
      </c>
      <c r="I9" s="10" t="n">
        <v>87</v>
      </c>
      <c r="J9" s="10" t="n">
        <v>87</v>
      </c>
      <c r="K9" s="10">
        <f>F9-J9</f>
        <v/>
      </c>
      <c r="L9" s="11">
        <f>IF(J9=0,0,(F9-J9)/J9)</f>
        <v/>
      </c>
      <c r="M9" t="inlineStr">
        <is>
          <t>instock</t>
        </is>
      </c>
      <c r="N9" s="12" t="inlineStr">
        <is>
          <t>🖼</t>
        </is>
      </c>
    </row>
    <row r="10">
      <c r="A10" s="2" t="n">
        <v>9</v>
      </c>
      <c r="B10" s="2" t="inlineStr">
        <is>
          <t>GC-SW-OFF24</t>
        </is>
      </c>
      <c r="C10" s="2" t="inlineStr">
        <is>
          <t>Microsoft Office 2024 Pro Plus | أوفيس 2024 برو</t>
        </is>
      </c>
      <c r="D10" s="2" t="inlineStr">
        <is>
          <t>Gift Cards &amp;amp; Software Keys</t>
        </is>
      </c>
      <c r="E10" s="2" t="inlineStr">
        <is>
          <t>publish</t>
        </is>
      </c>
      <c r="F10" s="3" t="n">
        <v>349</v>
      </c>
      <c r="G10" s="3" t="n">
        <v>399</v>
      </c>
      <c r="H10" s="4" t="n">
        <v>47.26</v>
      </c>
      <c r="I10" s="5" t="n">
        <v>177.22</v>
      </c>
      <c r="J10" s="5" t="n">
        <v>177.22</v>
      </c>
      <c r="K10" s="5">
        <f>F10-J10</f>
        <v/>
      </c>
      <c r="L10" s="6">
        <f>IF(J10=0,0,(F10-J10)/J10)</f>
        <v/>
      </c>
      <c r="M10" s="2" t="inlineStr">
        <is>
          <t>instock</t>
        </is>
      </c>
      <c r="N10" s="7" t="inlineStr">
        <is>
          <t>🖼</t>
        </is>
      </c>
    </row>
    <row r="11">
      <c r="A11" t="n">
        <v>10</v>
      </c>
      <c r="B11" t="inlineStr">
        <is>
          <t>GC-SW-WIN11</t>
        </is>
      </c>
      <c r="C11" t="inlineStr">
        <is>
          <t>Windows 11 Pro License Key | مفتاح ويندوز 11 برو</t>
        </is>
      </c>
      <c r="D11" t="inlineStr">
        <is>
          <t>Gift Cards &amp;amp; Software Keys</t>
        </is>
      </c>
      <c r="E11" t="inlineStr">
        <is>
          <t>publish</t>
        </is>
      </c>
      <c r="F11" s="8" t="n">
        <v>199</v>
      </c>
      <c r="G11" s="8" t="n">
        <v>249</v>
      </c>
      <c r="H11" s="9" t="n">
        <v>23.2</v>
      </c>
      <c r="I11" s="10" t="n">
        <v>87</v>
      </c>
      <c r="J11" s="10" t="n">
        <v>87</v>
      </c>
      <c r="K11" s="10">
        <f>F11-J11</f>
        <v/>
      </c>
      <c r="L11" s="11">
        <f>IF(J11=0,0,(F11-J11)/J11)</f>
        <v/>
      </c>
      <c r="M11" t="inlineStr">
        <is>
          <t>instock</t>
        </is>
      </c>
      <c r="N11" s="12" t="inlineStr">
        <is>
          <t>🖼</t>
        </is>
      </c>
    </row>
    <row r="12">
      <c r="A12" s="2" t="n">
        <v>11</v>
      </c>
      <c r="B12" s="2" t="inlineStr">
        <is>
          <t>GM-RTR-ASU-001</t>
        </is>
      </c>
      <c r="C12" s="2" t="inlineStr">
        <is>
          <t>ASUS ROG Rapture GT-BE19000AI (WiFi 7)</t>
        </is>
      </c>
      <c r="D12" s="2" t="inlineStr">
        <is>
          <t>Gaming</t>
        </is>
      </c>
      <c r="E12" s="2" t="inlineStr">
        <is>
          <t>publish</t>
        </is>
      </c>
      <c r="F12" s="3" t="n">
        <v>4799</v>
      </c>
      <c r="G12" s="3" t="n">
        <v>4799</v>
      </c>
      <c r="H12" s="4" t="n">
        <v>844.27</v>
      </c>
      <c r="I12" s="5" t="n">
        <v>3166.01</v>
      </c>
      <c r="J12" s="5" t="n">
        <v>3166.01</v>
      </c>
      <c r="K12" s="5">
        <f>F12-J12</f>
        <v/>
      </c>
      <c r="L12" s="6">
        <f>IF(J12=0,0,(F12-J12)/J12)</f>
        <v/>
      </c>
      <c r="M12" s="2" t="inlineStr">
        <is>
          <t>instock</t>
        </is>
      </c>
      <c r="N12" s="7" t="inlineStr">
        <is>
          <t>🖼</t>
        </is>
      </c>
    </row>
    <row r="13">
      <c r="A13" t="n">
        <v>12</v>
      </c>
      <c r="B13" t="inlineStr">
        <is>
          <t>GM-PGA-JSA-001</t>
        </is>
      </c>
      <c r="C13" t="inlineStr">
        <is>
          <t>JSAUX 6-in-1 Dock (Steam Deck/ROG Ally)</t>
        </is>
      </c>
      <c r="D13" t="inlineStr">
        <is>
          <t>Gaming</t>
        </is>
      </c>
      <c r="E13" t="inlineStr">
        <is>
          <t>publish</t>
        </is>
      </c>
      <c r="F13" s="8" t="n">
        <v>459</v>
      </c>
      <c r="G13" s="8" t="n">
        <v>529</v>
      </c>
      <c r="H13" s="9" t="n">
        <v>63.56</v>
      </c>
      <c r="I13" s="10" t="n">
        <v>238.35</v>
      </c>
      <c r="J13" s="10" t="n">
        <v>238.35</v>
      </c>
      <c r="K13" s="10">
        <f>F13-J13</f>
        <v/>
      </c>
      <c r="L13" s="11">
        <f>IF(J13=0,0,(F13-J13)/J13)</f>
        <v/>
      </c>
      <c r="M13" t="inlineStr">
        <is>
          <t>instock</t>
        </is>
      </c>
      <c r="N13" s="12" t="inlineStr">
        <is>
          <t>🖼</t>
        </is>
      </c>
    </row>
    <row r="14">
      <c r="A14" s="2" t="n">
        <v>13</v>
      </c>
      <c r="B14" s="2" t="inlineStr">
        <is>
          <t>GM-CMP-NZX-001</t>
        </is>
      </c>
      <c r="C14" s="2" t="inlineStr">
        <is>
          <t>NZXT H9 Elite Mid-Tower ATX Case</t>
        </is>
      </c>
      <c r="D14" s="2" t="inlineStr">
        <is>
          <t>Hardware</t>
        </is>
      </c>
      <c r="E14" s="2" t="inlineStr">
        <is>
          <t>publish</t>
        </is>
      </c>
      <c r="F14" s="3" t="n">
        <v>1349</v>
      </c>
      <c r="G14" s="3" t="n">
        <v>1349</v>
      </c>
      <c r="H14" s="4" t="n">
        <v>218.17</v>
      </c>
      <c r="I14" s="5" t="n">
        <v>818.14</v>
      </c>
      <c r="J14" s="5" t="n">
        <v>818.14</v>
      </c>
      <c r="K14" s="5">
        <f>F14-J14</f>
        <v/>
      </c>
      <c r="L14" s="6">
        <f>IF(J14=0,0,(F14-J14)/J14)</f>
        <v/>
      </c>
      <c r="M14" s="2" t="inlineStr">
        <is>
          <t>instock</t>
        </is>
      </c>
      <c r="N14" s="7" t="inlineStr">
        <is>
          <t>🖼</t>
        </is>
      </c>
    </row>
    <row r="15">
      <c r="A15" t="n">
        <v>14</v>
      </c>
      <c r="B15" t="inlineStr">
        <is>
          <t>GM-CMP-COR-001</t>
        </is>
      </c>
      <c r="C15" t="inlineStr">
        <is>
          <t>Corsair iCUE H150i RGB Elite (360mm AIO)</t>
        </is>
      </c>
      <c r="D15" t="inlineStr">
        <is>
          <t>Hardware</t>
        </is>
      </c>
      <c r="E15" t="inlineStr">
        <is>
          <t>publish</t>
        </is>
      </c>
      <c r="F15" s="8" t="n">
        <v>1149</v>
      </c>
      <c r="G15" s="8" t="n">
        <v>1149</v>
      </c>
      <c r="H15" s="9" t="n">
        <v>184.83</v>
      </c>
      <c r="I15" s="10" t="n">
        <v>693.11</v>
      </c>
      <c r="J15" s="10" t="n">
        <v>693.11</v>
      </c>
      <c r="K15" s="10">
        <f>F15-J15</f>
        <v/>
      </c>
      <c r="L15" s="11">
        <f>IF(J15=0,0,(F15-J15)/J15)</f>
        <v/>
      </c>
      <c r="M15" t="inlineStr">
        <is>
          <t>instock</t>
        </is>
      </c>
      <c r="N15" s="12" t="inlineStr">
        <is>
          <t>🖼</t>
        </is>
      </c>
    </row>
    <row r="16">
      <c r="A16" s="2" t="n">
        <v>15</v>
      </c>
      <c r="B16" s="2" t="inlineStr">
        <is>
          <t>GM-GPU-GIG-001</t>
        </is>
      </c>
      <c r="C16" s="2" t="inlineStr">
        <is>
          <t>Gigabyte AORUS RTX 5090 Master 32GB</t>
        </is>
      </c>
      <c r="D16" s="2" t="inlineStr">
        <is>
          <t>Hardware</t>
        </is>
      </c>
      <c r="E16" s="2" t="inlineStr">
        <is>
          <t>publish</t>
        </is>
      </c>
      <c r="F16" s="3" t="n">
        <v>27999</v>
      </c>
      <c r="G16" s="3" t="n">
        <v>27999</v>
      </c>
      <c r="H16" s="4" t="n">
        <v>5510.91</v>
      </c>
      <c r="I16" s="5" t="n">
        <v>20665.91</v>
      </c>
      <c r="J16" s="5" t="n">
        <v>20665.91</v>
      </c>
      <c r="K16" s="5">
        <f>F16-J16</f>
        <v/>
      </c>
      <c r="L16" s="6">
        <f>IF(J16=0,0,(F16-J16)/J16)</f>
        <v/>
      </c>
      <c r="M16" s="2" t="inlineStr">
        <is>
          <t>instock</t>
        </is>
      </c>
      <c r="N16" s="7" t="inlineStr">
        <is>
          <t>🖼</t>
        </is>
      </c>
    </row>
    <row r="17">
      <c r="A17" t="n">
        <v>16</v>
      </c>
      <c r="B17" t="inlineStr">
        <is>
          <t>GM-GPU-NVD-002</t>
        </is>
      </c>
      <c r="C17" t="inlineStr">
        <is>
          <t>NVIDIA RTX 5080 Founders Edition (16GB)</t>
        </is>
      </c>
      <c r="D17" t="inlineStr">
        <is>
          <t>Hardware</t>
        </is>
      </c>
      <c r="E17" t="inlineStr">
        <is>
          <t>publish</t>
        </is>
      </c>
      <c r="F17" s="8" t="n">
        <v>6499</v>
      </c>
      <c r="G17" s="8" t="n">
        <v>6499</v>
      </c>
      <c r="H17" s="9" t="n">
        <v>1264</v>
      </c>
      <c r="I17" s="10" t="n">
        <v>4740</v>
      </c>
      <c r="J17" s="10" t="n">
        <v>4740</v>
      </c>
      <c r="K17" s="10">
        <f>F17-J17</f>
        <v/>
      </c>
      <c r="L17" s="11">
        <f>IF(J17=0,0,(F17-J17)/J17)</f>
        <v/>
      </c>
      <c r="M17" t="inlineStr">
        <is>
          <t>instock</t>
        </is>
      </c>
      <c r="N17" s="12" t="inlineStr">
        <is>
          <t>🖼</t>
        </is>
      </c>
    </row>
    <row r="18">
      <c r="A18" s="2" t="n">
        <v>17</v>
      </c>
      <c r="B18" s="2" t="inlineStr">
        <is>
          <t>GM-GPU-NVD-001</t>
        </is>
      </c>
      <c r="C18" s="2" t="inlineStr">
        <is>
          <t>NVIDIA RTX 5090 Founders Edition (32GB)</t>
        </is>
      </c>
      <c r="D18" s="2" t="inlineStr">
        <is>
          <t>Hardware</t>
        </is>
      </c>
      <c r="E18" s="2" t="inlineStr">
        <is>
          <t>publish</t>
        </is>
      </c>
      <c r="F18" s="3" t="n">
        <v>22999</v>
      </c>
      <c r="G18" s="3" t="n">
        <v>26449</v>
      </c>
      <c r="H18" s="4" t="n">
        <v>4523.26</v>
      </c>
      <c r="I18" s="5" t="n">
        <v>16962.23</v>
      </c>
      <c r="J18" s="5" t="n">
        <v>16962.23</v>
      </c>
      <c r="K18" s="5">
        <f>F18-J18</f>
        <v/>
      </c>
      <c r="L18" s="6">
        <f>IF(J18=0,0,(F18-J18)/J18)</f>
        <v/>
      </c>
      <c r="M18" s="2" t="inlineStr">
        <is>
          <t>instock</t>
        </is>
      </c>
      <c r="N18" s="7" t="inlineStr">
        <is>
          <t>🖼</t>
        </is>
      </c>
    </row>
    <row r="19">
      <c r="A19" t="n">
        <v>18</v>
      </c>
      <c r="B19" t="inlineStr">
        <is>
          <t>GM-STR-HPX-001</t>
        </is>
      </c>
      <c r="C19" t="inlineStr">
        <is>
          <t>HyperX QuadCast S USB Microphone</t>
        </is>
      </c>
      <c r="D19" t="inlineStr">
        <is>
          <t>Gaming</t>
        </is>
      </c>
      <c r="E19" t="inlineStr">
        <is>
          <t>publish</t>
        </is>
      </c>
      <c r="F19" s="8" t="n">
        <v>949</v>
      </c>
      <c r="G19" s="8" t="n">
        <v>1099</v>
      </c>
      <c r="H19" s="9" t="n">
        <v>151.5</v>
      </c>
      <c r="I19" s="10" t="n">
        <v>568.12</v>
      </c>
      <c r="J19" s="10" t="n">
        <v>568.12</v>
      </c>
      <c r="K19" s="10">
        <f>F19-J19</f>
        <v/>
      </c>
      <c r="L19" s="11">
        <f>IF(J19=0,0,(F19-J19)/J19)</f>
        <v/>
      </c>
      <c r="M19" t="inlineStr">
        <is>
          <t>instock</t>
        </is>
      </c>
      <c r="N19" s="12" t="inlineStr">
        <is>
          <t>🖼</t>
        </is>
      </c>
    </row>
    <row r="20">
      <c r="A20" s="2" t="n">
        <v>19</v>
      </c>
      <c r="B20" s="2" t="inlineStr">
        <is>
          <t>GM-STR-ELG-001</t>
        </is>
      </c>
      <c r="C20" s="2" t="inlineStr">
        <is>
          <t>Elgato Stream Deck MK.2</t>
        </is>
      </c>
      <c r="D20" s="2" t="inlineStr">
        <is>
          <t>Gaming</t>
        </is>
      </c>
      <c r="E20" s="2" t="inlineStr">
        <is>
          <t>publish</t>
        </is>
      </c>
      <c r="F20" s="3" t="n">
        <v>949</v>
      </c>
      <c r="G20" s="3" t="n">
        <v>1099</v>
      </c>
      <c r="H20" s="4" t="n">
        <v>151.5</v>
      </c>
      <c r="I20" s="5" t="n">
        <v>568.12</v>
      </c>
      <c r="J20" s="5" t="n">
        <v>568.12</v>
      </c>
      <c r="K20" s="5">
        <f>F20-J20</f>
        <v/>
      </c>
      <c r="L20" s="6">
        <f>IF(J20=0,0,(F20-J20)/J20)</f>
        <v/>
      </c>
      <c r="M20" s="2" t="inlineStr">
        <is>
          <t>instock</t>
        </is>
      </c>
      <c r="N20" s="7" t="inlineStr">
        <is>
          <t>🖼</t>
        </is>
      </c>
    </row>
    <row r="21">
      <c r="A21" t="n">
        <v>20</v>
      </c>
      <c r="B21" t="inlineStr">
        <is>
          <t>GM-CAP-AVR-001</t>
        </is>
      </c>
      <c r="C21" t="inlineStr">
        <is>
          <t>AVerMedia Live Gamer Ultra S</t>
        </is>
      </c>
      <c r="D21" t="inlineStr">
        <is>
          <t>Gaming</t>
        </is>
      </c>
      <c r="E21" t="inlineStr">
        <is>
          <t>publish</t>
        </is>
      </c>
      <c r="F21" s="8" t="n">
        <v>1049</v>
      </c>
      <c r="G21" s="8" t="n">
        <v>1049</v>
      </c>
      <c r="H21" s="9" t="n">
        <v>168.17</v>
      </c>
      <c r="I21" s="10" t="n">
        <v>630.64</v>
      </c>
      <c r="J21" s="10" t="n">
        <v>630.64</v>
      </c>
      <c r="K21" s="10">
        <f>F21-J21</f>
        <v/>
      </c>
      <c r="L21" s="11">
        <f>IF(J21=0,0,(F21-J21)/J21)</f>
        <v/>
      </c>
      <c r="M21" t="inlineStr">
        <is>
          <t>instock</t>
        </is>
      </c>
      <c r="N21" s="12" t="inlineStr">
        <is>
          <t>🖼</t>
        </is>
      </c>
    </row>
    <row r="22">
      <c r="A22" s="2" t="n">
        <v>21</v>
      </c>
      <c r="B22" s="2" t="inlineStr">
        <is>
          <t>GM-CAP-ELG-001</t>
        </is>
      </c>
      <c r="C22" s="2" t="inlineStr">
        <is>
          <t>Elgato HD60 X Capture Card</t>
        </is>
      </c>
      <c r="D22" s="2" t="inlineStr">
        <is>
          <t>Gaming</t>
        </is>
      </c>
      <c r="E22" s="2" t="inlineStr">
        <is>
          <t>publish</t>
        </is>
      </c>
      <c r="F22" s="3" t="n">
        <v>1099</v>
      </c>
      <c r="G22" s="3" t="n">
        <v>1099</v>
      </c>
      <c r="H22" s="4" t="n">
        <v>176.5</v>
      </c>
      <c r="I22" s="5" t="n">
        <v>661.88</v>
      </c>
      <c r="J22" s="5" t="n">
        <v>661.88</v>
      </c>
      <c r="K22" s="5">
        <f>F22-J22</f>
        <v/>
      </c>
      <c r="L22" s="6">
        <f>IF(J22=0,0,(F22-J22)/J22)</f>
        <v/>
      </c>
      <c r="M22" s="2" t="inlineStr">
        <is>
          <t>instock</t>
        </is>
      </c>
      <c r="N22" s="7" t="inlineStr">
        <is>
          <t>🖼</t>
        </is>
      </c>
    </row>
    <row r="23">
      <c r="A23" t="n">
        <v>22</v>
      </c>
      <c r="B23" t="inlineStr">
        <is>
          <t>GM-CTR-SON-001</t>
        </is>
      </c>
      <c r="C23" t="inlineStr">
        <is>
          <t>Sony DualSense Edge Controller</t>
        </is>
      </c>
      <c r="D23" t="inlineStr">
        <is>
          <t>Gaming</t>
        </is>
      </c>
      <c r="E23" t="inlineStr">
        <is>
          <t>publish</t>
        </is>
      </c>
      <c r="F23" s="8" t="n">
        <v>1349</v>
      </c>
      <c r="G23" s="8" t="n">
        <v>1559</v>
      </c>
      <c r="H23" s="9" t="n">
        <v>218.17</v>
      </c>
      <c r="I23" s="10" t="n">
        <v>818.14</v>
      </c>
      <c r="J23" s="10" t="n">
        <v>818.14</v>
      </c>
      <c r="K23" s="10">
        <f>F23-J23</f>
        <v/>
      </c>
      <c r="L23" s="11">
        <f>IF(J23=0,0,(F23-J23)/J23)</f>
        <v/>
      </c>
      <c r="M23" t="inlineStr">
        <is>
          <t>instock</t>
        </is>
      </c>
      <c r="N23" s="12" t="inlineStr">
        <is>
          <t>🖼</t>
        </is>
      </c>
    </row>
    <row r="24">
      <c r="A24" s="2" t="n">
        <v>23</v>
      </c>
      <c r="B24" s="2" t="inlineStr">
        <is>
          <t>GM-CTR-MSF-001</t>
        </is>
      </c>
      <c r="C24" s="2" t="inlineStr">
        <is>
          <t>Xbox Elite Controller Series 2 Core</t>
        </is>
      </c>
      <c r="D24" s="2" t="inlineStr">
        <is>
          <t>Gaming</t>
        </is>
      </c>
      <c r="E24" s="2" t="inlineStr">
        <is>
          <t>publish</t>
        </is>
      </c>
      <c r="F24" s="3" t="n">
        <v>1149</v>
      </c>
      <c r="G24" s="3" t="n">
        <v>1149</v>
      </c>
      <c r="H24" s="4" t="n">
        <v>184.83</v>
      </c>
      <c r="I24" s="5" t="n">
        <v>693.11</v>
      </c>
      <c r="J24" s="5" t="n">
        <v>693.11</v>
      </c>
      <c r="K24" s="5">
        <f>F24-J24</f>
        <v/>
      </c>
      <c r="L24" s="6">
        <f>IF(J24=0,0,(F24-J24)/J24)</f>
        <v/>
      </c>
      <c r="M24" s="2" t="inlineStr">
        <is>
          <t>instock</t>
        </is>
      </c>
      <c r="N24" s="7" t="inlineStr">
        <is>
          <t>🖼</t>
        </is>
      </c>
    </row>
    <row r="25">
      <c r="A25" t="n">
        <v>24</v>
      </c>
      <c r="B25" t="inlineStr">
        <is>
          <t>GM-RGB-GOV-001</t>
        </is>
      </c>
      <c r="C25" t="inlineStr">
        <is>
          <t>Govee DreamView G1 Pro Gaming Light</t>
        </is>
      </c>
      <c r="D25" t="inlineStr">
        <is>
          <t>Gaming</t>
        </is>
      </c>
      <c r="E25" t="inlineStr">
        <is>
          <t>publish</t>
        </is>
      </c>
      <c r="F25" s="8" t="n">
        <v>749</v>
      </c>
      <c r="G25" s="8" t="n">
        <v>749</v>
      </c>
      <c r="H25" s="9" t="n">
        <v>118.17</v>
      </c>
      <c r="I25" s="10" t="n">
        <v>443.14</v>
      </c>
      <c r="J25" s="10" t="n">
        <v>443.14</v>
      </c>
      <c r="K25" s="10">
        <f>F25-J25</f>
        <v/>
      </c>
      <c r="L25" s="11">
        <f>IF(J25=0,0,(F25-J25)/J25)</f>
        <v/>
      </c>
      <c r="M25" t="inlineStr">
        <is>
          <t>instock</t>
        </is>
      </c>
      <c r="N25" s="12" t="inlineStr">
        <is>
          <t>🖼</t>
        </is>
      </c>
    </row>
    <row r="26">
      <c r="A26" s="2" t="n">
        <v>25</v>
      </c>
      <c r="B26" s="2" t="inlineStr">
        <is>
          <t>GM-RGB-COR-001</t>
        </is>
      </c>
      <c r="C26" s="2" t="inlineStr">
        <is>
          <t>Corsair iCUE LC100 Lighting Panels</t>
        </is>
      </c>
      <c r="D26" s="2" t="inlineStr">
        <is>
          <t>Gaming</t>
        </is>
      </c>
      <c r="E26" s="2" t="inlineStr">
        <is>
          <t>publish</t>
        </is>
      </c>
      <c r="F26" s="3" t="n">
        <v>549</v>
      </c>
      <c r="G26" s="3" t="n">
        <v>549</v>
      </c>
      <c r="H26" s="4" t="n">
        <v>76.89</v>
      </c>
      <c r="I26" s="5" t="n">
        <v>288.34</v>
      </c>
      <c r="J26" s="5" t="n">
        <v>288.34</v>
      </c>
      <c r="K26" s="5">
        <f>F26-J26</f>
        <v/>
      </c>
      <c r="L26" s="6">
        <f>IF(J26=0,0,(F26-J26)/J26)</f>
        <v/>
      </c>
      <c r="M26" s="2" t="inlineStr">
        <is>
          <t>instock</t>
        </is>
      </c>
      <c r="N26" s="7" t="inlineStr">
        <is>
          <t>🖼</t>
        </is>
      </c>
    </row>
    <row r="27">
      <c r="A27" t="n">
        <v>26</v>
      </c>
      <c r="B27" t="inlineStr">
        <is>
          <t>GM-CHR-RAZ-001</t>
        </is>
      </c>
      <c r="C27" t="inlineStr">
        <is>
          <t>Razer Iskur V2 NewGen</t>
        </is>
      </c>
      <c r="D27" t="inlineStr">
        <is>
          <t>Gaming</t>
        </is>
      </c>
      <c r="E27" t="inlineStr">
        <is>
          <t>publish</t>
        </is>
      </c>
      <c r="F27" s="8" t="n">
        <v>3199</v>
      </c>
      <c r="G27" s="8" t="n">
        <v>3199</v>
      </c>
      <c r="H27" s="9" t="n">
        <v>559.8200000000001</v>
      </c>
      <c r="I27" s="10" t="n">
        <v>2099.33</v>
      </c>
      <c r="J27" s="10" t="n">
        <v>2099.33</v>
      </c>
      <c r="K27" s="10">
        <f>F27-J27</f>
        <v/>
      </c>
      <c r="L27" s="11">
        <f>IF(J27=0,0,(F27-J27)/J27)</f>
        <v/>
      </c>
      <c r="M27" t="inlineStr">
        <is>
          <t>instock</t>
        </is>
      </c>
      <c r="N27" s="12" t="inlineStr">
        <is>
          <t>🖼</t>
        </is>
      </c>
    </row>
    <row r="28">
      <c r="A28" s="2" t="n">
        <v>27</v>
      </c>
      <c r="B28" s="2" t="inlineStr">
        <is>
          <t>GM-CHR-SEC-001</t>
        </is>
      </c>
      <c r="C28" s="2" t="inlineStr">
        <is>
          <t>Secretlab Titan Evo</t>
        </is>
      </c>
      <c r="D28" s="2" t="inlineStr">
        <is>
          <t>Gaming</t>
        </is>
      </c>
      <c r="E28" s="2" t="inlineStr">
        <is>
          <t>publish</t>
        </is>
      </c>
      <c r="F28" s="3" t="n">
        <v>3499</v>
      </c>
      <c r="G28" s="3" t="n">
        <v>3499</v>
      </c>
      <c r="H28" s="4" t="n">
        <v>613.16</v>
      </c>
      <c r="I28" s="5" t="n">
        <v>2299.35</v>
      </c>
      <c r="J28" s="5" t="n">
        <v>2299.35</v>
      </c>
      <c r="K28" s="5">
        <f>F28-J28</f>
        <v/>
      </c>
      <c r="L28" s="6">
        <f>IF(J28=0,0,(F28-J28)/J28)</f>
        <v/>
      </c>
      <c r="M28" s="2" t="inlineStr">
        <is>
          <t>instock</t>
        </is>
      </c>
      <c r="N28" s="7" t="inlineStr">
        <is>
          <t>🖼</t>
        </is>
      </c>
    </row>
    <row r="29">
      <c r="A29" t="n">
        <v>28</v>
      </c>
      <c r="B29" t="inlineStr">
        <is>
          <t>GM-HST-RAZ-001</t>
        </is>
      </c>
      <c r="C29" t="inlineStr">
        <is>
          <t>Razer BlackShark V2 Pro 2023</t>
        </is>
      </c>
      <c r="D29" t="inlineStr">
        <is>
          <t>Gaming</t>
        </is>
      </c>
      <c r="E29" t="inlineStr">
        <is>
          <t>publish</t>
        </is>
      </c>
      <c r="F29" s="8" t="n">
        <v>999</v>
      </c>
      <c r="G29" s="8" t="n">
        <v>1149</v>
      </c>
      <c r="H29" s="9" t="n">
        <v>159.83</v>
      </c>
      <c r="I29" s="10" t="n">
        <v>599.36</v>
      </c>
      <c r="J29" s="10" t="n">
        <v>599.36</v>
      </c>
      <c r="K29" s="10">
        <f>F29-J29</f>
        <v/>
      </c>
      <c r="L29" s="11">
        <f>IF(J29=0,0,(F29-J29)/J29)</f>
        <v/>
      </c>
      <c r="M29" t="inlineStr">
        <is>
          <t>instock</t>
        </is>
      </c>
      <c r="N29" s="12" t="inlineStr">
        <is>
          <t>🖼</t>
        </is>
      </c>
    </row>
    <row r="30">
      <c r="A30" s="2" t="n">
        <v>29</v>
      </c>
      <c r="B30" s="2" t="inlineStr">
        <is>
          <t>GM-HST-STS-001</t>
        </is>
      </c>
      <c r="C30" s="2" t="inlineStr">
        <is>
          <t>SteelSeries Arctis Nova 7 Wireless</t>
        </is>
      </c>
      <c r="D30" s="2" t="inlineStr">
        <is>
          <t>Gaming</t>
        </is>
      </c>
      <c r="E30" s="2" t="inlineStr">
        <is>
          <t>publish</t>
        </is>
      </c>
      <c r="F30" s="3" t="n">
        <v>1149</v>
      </c>
      <c r="G30" s="3" t="n">
        <v>1149</v>
      </c>
      <c r="H30" s="4" t="n">
        <v>184.83</v>
      </c>
      <c r="I30" s="5" t="n">
        <v>693.11</v>
      </c>
      <c r="J30" s="5" t="n">
        <v>693.11</v>
      </c>
      <c r="K30" s="5">
        <f>F30-J30</f>
        <v/>
      </c>
      <c r="L30" s="6">
        <f>IF(J30=0,0,(F30-J30)/J30)</f>
        <v/>
      </c>
      <c r="M30" s="2" t="inlineStr">
        <is>
          <t>instock</t>
        </is>
      </c>
      <c r="N30" s="7" t="inlineStr">
        <is>
          <t>🖼</t>
        </is>
      </c>
    </row>
    <row r="31">
      <c r="A31" t="n">
        <v>30</v>
      </c>
      <c r="B31" t="inlineStr">
        <is>
          <t>GM-HST-HPX-001</t>
        </is>
      </c>
      <c r="C31" t="inlineStr">
        <is>
          <t>HyperX Cloud Alpha Wireless (300hr)</t>
        </is>
      </c>
      <c r="D31" t="inlineStr">
        <is>
          <t>Gaming</t>
        </is>
      </c>
      <c r="E31" t="inlineStr">
        <is>
          <t>publish</t>
        </is>
      </c>
      <c r="F31" s="8" t="n">
        <v>1199</v>
      </c>
      <c r="G31" s="8" t="n">
        <v>1199</v>
      </c>
      <c r="H31" s="9" t="n">
        <v>193.17</v>
      </c>
      <c r="I31" s="10" t="n">
        <v>724.39</v>
      </c>
      <c r="J31" s="10" t="n">
        <v>724.39</v>
      </c>
      <c r="K31" s="10">
        <f>F31-J31</f>
        <v/>
      </c>
      <c r="L31" s="11">
        <f>IF(J31=0,0,(F31-J31)/J31)</f>
        <v/>
      </c>
      <c r="M31" t="inlineStr">
        <is>
          <t>instock</t>
        </is>
      </c>
      <c r="N31" s="12" t="inlineStr">
        <is>
          <t>🖼</t>
        </is>
      </c>
    </row>
    <row r="32">
      <c r="A32" s="2" t="n">
        <v>31</v>
      </c>
      <c r="B32" s="2" t="inlineStr">
        <is>
          <t>GM-MOU-RAZ-002</t>
        </is>
      </c>
      <c r="C32" s="2" t="inlineStr">
        <is>
          <t>Razer Viper V3 Pro (54g Wireless)</t>
        </is>
      </c>
      <c r="D32" s="2" t="inlineStr">
        <is>
          <t>Gaming</t>
        </is>
      </c>
      <c r="E32" s="2" t="inlineStr">
        <is>
          <t>publish</t>
        </is>
      </c>
      <c r="F32" s="3" t="n">
        <v>1049</v>
      </c>
      <c r="G32" s="3" t="n">
        <v>1209</v>
      </c>
      <c r="H32" s="4" t="n">
        <v>168.17</v>
      </c>
      <c r="I32" s="5" t="n">
        <v>630.64</v>
      </c>
      <c r="J32" s="5" t="n">
        <v>630.64</v>
      </c>
      <c r="K32" s="5">
        <f>F32-J32</f>
        <v/>
      </c>
      <c r="L32" s="6">
        <f>IF(J32=0,0,(F32-J32)/J32)</f>
        <v/>
      </c>
      <c r="M32" s="2" t="inlineStr">
        <is>
          <t>instock</t>
        </is>
      </c>
      <c r="N32" s="7" t="inlineStr">
        <is>
          <t>🖼</t>
        </is>
      </c>
    </row>
    <row r="33">
      <c r="A33" t="n">
        <v>32</v>
      </c>
      <c r="B33" t="inlineStr">
        <is>
          <t>GM-MOU-LOG-001</t>
        </is>
      </c>
      <c r="C33" t="inlineStr">
        <is>
          <t>Logitech G Pro X Superlight 2 DEX</t>
        </is>
      </c>
      <c r="D33" t="inlineStr">
        <is>
          <t>Gaming</t>
        </is>
      </c>
      <c r="E33" t="inlineStr">
        <is>
          <t>publish</t>
        </is>
      </c>
      <c r="F33" s="8" t="n">
        <v>1099</v>
      </c>
      <c r="G33" s="8" t="n">
        <v>1099</v>
      </c>
      <c r="H33" s="9" t="n">
        <v>176.5</v>
      </c>
      <c r="I33" s="10" t="n">
        <v>661.88</v>
      </c>
      <c r="J33" s="10" t="n">
        <v>661.88</v>
      </c>
      <c r="K33" s="10">
        <f>F33-J33</f>
        <v/>
      </c>
      <c r="L33" s="11">
        <f>IF(J33=0,0,(F33-J33)/J33)</f>
        <v/>
      </c>
      <c r="M33" t="inlineStr">
        <is>
          <t>instock</t>
        </is>
      </c>
      <c r="N33" s="12" t="inlineStr">
        <is>
          <t>🖼</t>
        </is>
      </c>
    </row>
    <row r="34">
      <c r="A34" s="2" t="n">
        <v>33</v>
      </c>
      <c r="B34" s="2" t="inlineStr">
        <is>
          <t>GM-MOU-RAZ-001</t>
        </is>
      </c>
      <c r="C34" s="2" t="inlineStr">
        <is>
          <t>Razer DeathAdder V4 Pro (57g Wireless)</t>
        </is>
      </c>
      <c r="D34" s="2" t="inlineStr">
        <is>
          <t>Gaming</t>
        </is>
      </c>
      <c r="E34" s="2" t="inlineStr">
        <is>
          <t>publish</t>
        </is>
      </c>
      <c r="F34" s="3" t="n">
        <v>1149</v>
      </c>
      <c r="G34" s="3" t="n">
        <v>1329</v>
      </c>
      <c r="H34" s="4" t="n">
        <v>184.83</v>
      </c>
      <c r="I34" s="5" t="n">
        <v>693.11</v>
      </c>
      <c r="J34" s="5" t="n">
        <v>693.11</v>
      </c>
      <c r="K34" s="5">
        <f>F34-J34</f>
        <v/>
      </c>
      <c r="L34" s="6">
        <f>IF(J34=0,0,(F34-J34)/J34)</f>
        <v/>
      </c>
      <c r="M34" s="2" t="inlineStr">
        <is>
          <t>instock</t>
        </is>
      </c>
      <c r="N34" s="7" t="inlineStr">
        <is>
          <t>🖼</t>
        </is>
      </c>
    </row>
    <row r="35">
      <c r="A35" t="n">
        <v>34</v>
      </c>
      <c r="B35" t="inlineStr">
        <is>
          <t>GM-KBD-KEY-001</t>
        </is>
      </c>
      <c r="C35" t="inlineStr">
        <is>
          <t>Keychron K10 HE (Arabic Layout)</t>
        </is>
      </c>
      <c r="D35" t="inlineStr">
        <is>
          <t>Gaming</t>
        </is>
      </c>
      <c r="E35" t="inlineStr">
        <is>
          <t>publish</t>
        </is>
      </c>
      <c r="F35" s="8" t="n">
        <v>999</v>
      </c>
      <c r="G35" s="8" t="n">
        <v>1149</v>
      </c>
      <c r="H35" s="9" t="n">
        <v>159.83</v>
      </c>
      <c r="I35" s="10" t="n">
        <v>599.36</v>
      </c>
      <c r="J35" s="10" t="n">
        <v>599.36</v>
      </c>
      <c r="K35" s="10">
        <f>F35-J35</f>
        <v/>
      </c>
      <c r="L35" s="11">
        <f>IF(J35=0,0,(F35-J35)/J35)</f>
        <v/>
      </c>
      <c r="M35" t="inlineStr">
        <is>
          <t>instock</t>
        </is>
      </c>
      <c r="N35" s="12" t="inlineStr">
        <is>
          <t>🖼</t>
        </is>
      </c>
    </row>
    <row r="36">
      <c r="A36" s="2" t="n">
        <v>35</v>
      </c>
      <c r="B36" s="2" t="inlineStr">
        <is>
          <t>GM-KBD-LOG-001</t>
        </is>
      </c>
      <c r="C36" s="2" t="inlineStr">
        <is>
          <t>Logitech G Pro X TKL LIGHTSPEED</t>
        </is>
      </c>
      <c r="D36" s="2" t="inlineStr">
        <is>
          <t>Gaming</t>
        </is>
      </c>
      <c r="E36" s="2" t="inlineStr">
        <is>
          <t>publish</t>
        </is>
      </c>
      <c r="F36" s="3" t="n">
        <v>1199</v>
      </c>
      <c r="G36" s="3" t="n">
        <v>1379</v>
      </c>
      <c r="H36" s="4" t="n">
        <v>193.17</v>
      </c>
      <c r="I36" s="5" t="n">
        <v>724.39</v>
      </c>
      <c r="J36" s="5" t="n">
        <v>724.39</v>
      </c>
      <c r="K36" s="5">
        <f>F36-J36</f>
        <v/>
      </c>
      <c r="L36" s="6">
        <f>IF(J36=0,0,(F36-J36)/J36)</f>
        <v/>
      </c>
      <c r="M36" s="2" t="inlineStr">
        <is>
          <t>instock</t>
        </is>
      </c>
      <c r="N36" s="7" t="inlineStr">
        <is>
          <t>🖼</t>
        </is>
      </c>
    </row>
    <row r="37">
      <c r="A37" t="n">
        <v>36</v>
      </c>
      <c r="B37" t="inlineStr">
        <is>
          <t>GM-KBD-COR-001</t>
        </is>
      </c>
      <c r="C37" t="inlineStr">
        <is>
          <t>Corsair K70 MAX RGB</t>
        </is>
      </c>
      <c r="D37" t="inlineStr">
        <is>
          <t>Gaming</t>
        </is>
      </c>
      <c r="E37" t="inlineStr">
        <is>
          <t>publish</t>
        </is>
      </c>
      <c r="F37" s="8" t="n">
        <v>1299</v>
      </c>
      <c r="G37" s="8" t="n">
        <v>1299</v>
      </c>
      <c r="H37" s="9" t="n">
        <v>209.83</v>
      </c>
      <c r="I37" s="10" t="n">
        <v>786.86</v>
      </c>
      <c r="J37" s="10" t="n">
        <v>786.86</v>
      </c>
      <c r="K37" s="10">
        <f>F37-J37</f>
        <v/>
      </c>
      <c r="L37" s="11">
        <f>IF(J37=0,0,(F37-J37)/J37)</f>
        <v/>
      </c>
      <c r="M37" t="inlineStr">
        <is>
          <t>instock</t>
        </is>
      </c>
      <c r="N37" s="12" t="inlineStr">
        <is>
          <t>🖼</t>
        </is>
      </c>
    </row>
    <row r="38">
      <c r="A38" s="2" t="n">
        <v>37</v>
      </c>
      <c r="B38" s="2" t="inlineStr">
        <is>
          <t>GM-KBD-RAZ-001</t>
        </is>
      </c>
      <c r="C38" s="2" t="inlineStr">
        <is>
          <t>Razer Huntsman V3 Pro TKL</t>
        </is>
      </c>
      <c r="D38" s="2" t="inlineStr">
        <is>
          <t>Gaming</t>
        </is>
      </c>
      <c r="E38" s="2" t="inlineStr">
        <is>
          <t>publish</t>
        </is>
      </c>
      <c r="F38" s="3" t="n">
        <v>1349</v>
      </c>
      <c r="G38" s="3" t="n">
        <v>1559</v>
      </c>
      <c r="H38" s="4" t="n">
        <v>218.17</v>
      </c>
      <c r="I38" s="5" t="n">
        <v>818.14</v>
      </c>
      <c r="J38" s="5" t="n">
        <v>818.14</v>
      </c>
      <c r="K38" s="5">
        <f>F38-J38</f>
        <v/>
      </c>
      <c r="L38" s="6">
        <f>IF(J38=0,0,(F38-J38)/J38)</f>
        <v/>
      </c>
      <c r="M38" s="2" t="inlineStr">
        <is>
          <t>instock</t>
        </is>
      </c>
      <c r="N38" s="7" t="inlineStr">
        <is>
          <t>🖼</t>
        </is>
      </c>
    </row>
    <row r="39">
      <c r="A39" t="n">
        <v>38</v>
      </c>
      <c r="B39" t="inlineStr">
        <is>
          <t>GM-MON-DEL-001</t>
        </is>
      </c>
      <c r="C39" t="inlineStr">
        <is>
          <t>Dell Alienware AW2725DF (27" QD-OLED 360Hz)</t>
        </is>
      </c>
      <c r="D39" t="inlineStr">
        <is>
          <t>Gaming</t>
        </is>
      </c>
      <c r="E39" t="inlineStr">
        <is>
          <t>publish</t>
        </is>
      </c>
      <c r="F39" s="8" t="n">
        <v>5599</v>
      </c>
      <c r="G39" s="8" t="n">
        <v>5599</v>
      </c>
      <c r="H39" s="9" t="n">
        <v>986.49</v>
      </c>
      <c r="I39" s="10" t="n">
        <v>3699.34</v>
      </c>
      <c r="J39" s="10" t="n">
        <v>3699.34</v>
      </c>
      <c r="K39" s="10">
        <f>F39-J39</f>
        <v/>
      </c>
      <c r="L39" s="11">
        <f>IF(J39=0,0,(F39-J39)/J39)</f>
        <v/>
      </c>
      <c r="M39" t="inlineStr">
        <is>
          <t>instock</t>
        </is>
      </c>
      <c r="N39" s="12" t="inlineStr">
        <is>
          <t>🖼</t>
        </is>
      </c>
    </row>
    <row r="40">
      <c r="A40" s="2" t="n">
        <v>39</v>
      </c>
      <c r="B40" s="2" t="inlineStr">
        <is>
          <t>GM-MON-LGE-001</t>
        </is>
      </c>
      <c r="C40" s="2" t="inlineStr">
        <is>
          <t>LG UltraGear OLED 27GR95QE-B (27" QHD 240Hz)</t>
        </is>
      </c>
      <c r="D40" s="2" t="inlineStr">
        <is>
          <t>Gaming</t>
        </is>
      </c>
      <c r="E40" s="2" t="inlineStr">
        <is>
          <t>publish</t>
        </is>
      </c>
      <c r="F40" s="3" t="n">
        <v>4899</v>
      </c>
      <c r="G40" s="3" t="n">
        <v>5639</v>
      </c>
      <c r="H40" s="4" t="n">
        <v>862.04</v>
      </c>
      <c r="I40" s="5" t="n">
        <v>3232.65</v>
      </c>
      <c r="J40" s="5" t="n">
        <v>3232.65</v>
      </c>
      <c r="K40" s="5">
        <f>F40-J40</f>
        <v/>
      </c>
      <c r="L40" s="6">
        <f>IF(J40=0,0,(F40-J40)/J40)</f>
        <v/>
      </c>
      <c r="M40" s="2" t="inlineStr">
        <is>
          <t>instock</t>
        </is>
      </c>
      <c r="N40" s="7" t="inlineStr">
        <is>
          <t>🖼</t>
        </is>
      </c>
    </row>
    <row r="41">
      <c r="A41" t="n">
        <v>40</v>
      </c>
      <c r="B41" t="inlineStr">
        <is>
          <t>GM-MON-SAM-002</t>
        </is>
      </c>
      <c r="C41" t="inlineStr">
        <is>
          <t>Samsung Odyssey G7 G70D (32" 4K 144Hz)</t>
        </is>
      </c>
      <c r="D41" t="inlineStr">
        <is>
          <t>Gaming</t>
        </is>
      </c>
      <c r="E41" t="inlineStr">
        <is>
          <t>publish</t>
        </is>
      </c>
      <c r="F41" s="8" t="n">
        <v>3499</v>
      </c>
      <c r="G41" s="8" t="n">
        <v>3499</v>
      </c>
      <c r="H41" s="9" t="n">
        <v>613.16</v>
      </c>
      <c r="I41" s="10" t="n">
        <v>2299.35</v>
      </c>
      <c r="J41" s="10" t="n">
        <v>2299.35</v>
      </c>
      <c r="K41" s="10">
        <f>F41-J41</f>
        <v/>
      </c>
      <c r="L41" s="11">
        <f>IF(J41=0,0,(F41-J41)/J41)</f>
        <v/>
      </c>
      <c r="M41" t="inlineStr">
        <is>
          <t>instock</t>
        </is>
      </c>
      <c r="N41" s="12" t="inlineStr">
        <is>
          <t>🖼</t>
        </is>
      </c>
    </row>
    <row r="42">
      <c r="A42" s="2" t="n">
        <v>41</v>
      </c>
      <c r="B42" s="2" t="inlineStr">
        <is>
          <t>GM-MON-SAM-001</t>
        </is>
      </c>
      <c r="C42" s="2" t="inlineStr">
        <is>
          <t>Samsung Odyssey OLED G8 (34" UWQHD 175Hz)</t>
        </is>
      </c>
      <c r="D42" s="2" t="inlineStr">
        <is>
          <t>Gaming</t>
        </is>
      </c>
      <c r="E42" s="2" t="inlineStr">
        <is>
          <t>publish</t>
        </is>
      </c>
      <c r="F42" s="3" t="n">
        <v>7799</v>
      </c>
      <c r="G42" s="3" t="n">
        <v>7799</v>
      </c>
      <c r="H42" s="4" t="n">
        <v>1520.79</v>
      </c>
      <c r="I42" s="5" t="n">
        <v>5702.96</v>
      </c>
      <c r="J42" s="5" t="n">
        <v>5702.96</v>
      </c>
      <c r="K42" s="5">
        <f>F42-J42</f>
        <v/>
      </c>
      <c r="L42" s="6">
        <f>IF(J42=0,0,(F42-J42)/J42)</f>
        <v/>
      </c>
      <c r="M42" s="2" t="inlineStr">
        <is>
          <t>instock</t>
        </is>
      </c>
      <c r="N42" s="7" t="inlineStr">
        <is>
          <t>🖼</t>
        </is>
      </c>
    </row>
    <row r="43">
      <c r="A43" t="n">
        <v>42</v>
      </c>
      <c r="B43" t="inlineStr">
        <is>
          <t>GM-MON-ASU-001</t>
        </is>
      </c>
      <c r="C43" t="inlineStr">
        <is>
          <t>ASUS ROG Swift OLED PG27AQDM (27" QHD 240Hz)</t>
        </is>
      </c>
      <c r="D43" t="inlineStr">
        <is>
          <t>Gaming</t>
        </is>
      </c>
      <c r="E43" t="inlineStr">
        <is>
          <t>publish</t>
        </is>
      </c>
      <c r="F43" s="8" t="n">
        <v>5399</v>
      </c>
      <c r="G43" s="8" t="n">
        <v>6209</v>
      </c>
      <c r="H43" s="9" t="n">
        <v>950.9299999999999</v>
      </c>
      <c r="I43" s="10" t="n">
        <v>3565.99</v>
      </c>
      <c r="J43" s="10" t="n">
        <v>3565.99</v>
      </c>
      <c r="K43" s="10">
        <f>F43-J43</f>
        <v/>
      </c>
      <c r="L43" s="11">
        <f>IF(J43=0,0,(F43-J43)/J43)</f>
        <v/>
      </c>
      <c r="M43" t="inlineStr">
        <is>
          <t>instock</t>
        </is>
      </c>
      <c r="N43" s="12" t="inlineStr">
        <is>
          <t>🖼</t>
        </is>
      </c>
    </row>
    <row r="44">
      <c r="A44" s="2" t="n">
        <v>43</v>
      </c>
      <c r="B44" s="2" t="inlineStr">
        <is>
          <t>NT-MPC-DEL-001</t>
        </is>
      </c>
      <c r="C44" s="2" t="inlineStr">
        <is>
          <t>Dell OptiPlex 7070 Micro (Refurb)</t>
        </is>
      </c>
      <c r="D44" s="2" t="inlineStr">
        <is>
          <t>Homelab</t>
        </is>
      </c>
      <c r="E44" s="2" t="inlineStr">
        <is>
          <t>publish</t>
        </is>
      </c>
      <c r="F44" s="3" t="n">
        <v>1549</v>
      </c>
      <c r="G44" s="3" t="n">
        <v>1549</v>
      </c>
      <c r="H44" s="4" t="n">
        <v>251.5</v>
      </c>
      <c r="I44" s="5" t="n">
        <v>943.12</v>
      </c>
      <c r="J44" s="5" t="n">
        <v>943.12</v>
      </c>
      <c r="K44" s="5">
        <f>F44-J44</f>
        <v/>
      </c>
      <c r="L44" s="6">
        <f>IF(J44=0,0,(F44-J44)/J44)</f>
        <v/>
      </c>
      <c r="M44" s="2" t="inlineStr">
        <is>
          <t>instock</t>
        </is>
      </c>
      <c r="N44" s="7" t="inlineStr">
        <is>
          <t>🖼</t>
        </is>
      </c>
    </row>
    <row r="45">
      <c r="A45" t="n">
        <v>44</v>
      </c>
      <c r="B45" t="inlineStr">
        <is>
          <t>NT-MPC-BLK-002</t>
        </is>
      </c>
      <c r="C45" t="inlineStr">
        <is>
          <t>Beelink EQ12 (Intel N100)</t>
        </is>
      </c>
      <c r="D45" t="inlineStr">
        <is>
          <t>Homelab</t>
        </is>
      </c>
      <c r="E45" t="inlineStr">
        <is>
          <t>publish</t>
        </is>
      </c>
      <c r="F45" s="8" t="n">
        <v>999</v>
      </c>
      <c r="G45" s="8" t="n">
        <v>999</v>
      </c>
      <c r="H45" s="9" t="n">
        <v>159.83</v>
      </c>
      <c r="I45" s="10" t="n">
        <v>599.36</v>
      </c>
      <c r="J45" s="10" t="n">
        <v>599.36</v>
      </c>
      <c r="K45" s="10">
        <f>F45-J45</f>
        <v/>
      </c>
      <c r="L45" s="11">
        <f>IF(J45=0,0,(F45-J45)/J45)</f>
        <v/>
      </c>
      <c r="M45" t="inlineStr">
        <is>
          <t>instock</t>
        </is>
      </c>
      <c r="N45" s="12" t="inlineStr">
        <is>
          <t>🖼</t>
        </is>
      </c>
    </row>
    <row r="46">
      <c r="A46" s="2" t="n">
        <v>45</v>
      </c>
      <c r="B46" s="2" t="inlineStr">
        <is>
          <t>NT-MPC-BLK-001</t>
        </is>
      </c>
      <c r="C46" s="2" t="inlineStr">
        <is>
          <t>Beelink SER7 (Ryzen 7 7735HS)</t>
        </is>
      </c>
      <c r="D46" s="2" t="inlineStr">
        <is>
          <t>Homelab</t>
        </is>
      </c>
      <c r="E46" s="2" t="inlineStr">
        <is>
          <t>publish</t>
        </is>
      </c>
      <c r="F46" s="3" t="n">
        <v>2399</v>
      </c>
      <c r="G46" s="3" t="n">
        <v>2399</v>
      </c>
      <c r="H46" s="4" t="n">
        <v>417.6</v>
      </c>
      <c r="I46" s="5" t="n">
        <v>1566</v>
      </c>
      <c r="J46" s="5" t="n">
        <v>1566</v>
      </c>
      <c r="K46" s="5">
        <f>F46-J46</f>
        <v/>
      </c>
      <c r="L46" s="6">
        <f>IF(J46=0,0,(F46-J46)/J46)</f>
        <v/>
      </c>
      <c r="M46" s="2" t="inlineStr">
        <is>
          <t>instock</t>
        </is>
      </c>
      <c r="N46" s="7" t="inlineStr">
        <is>
          <t>🖼</t>
        </is>
      </c>
    </row>
    <row r="47">
      <c r="A47" t="n">
        <v>46</v>
      </c>
      <c r="B47" t="inlineStr">
        <is>
          <t>NT-MPC-MNF-001</t>
        </is>
      </c>
      <c r="C47" t="inlineStr">
        <is>
          <t>MinisForum MS-01 (Homelab Server)</t>
        </is>
      </c>
      <c r="D47" t="inlineStr">
        <is>
          <t>Homelab</t>
        </is>
      </c>
      <c r="E47" t="inlineStr">
        <is>
          <t>publish</t>
        </is>
      </c>
      <c r="F47" s="8" t="n">
        <v>3999</v>
      </c>
      <c r="G47" s="8" t="n">
        <v>4599</v>
      </c>
      <c r="H47" s="9" t="n">
        <v>702.04</v>
      </c>
      <c r="I47" s="10" t="n">
        <v>2632.65</v>
      </c>
      <c r="J47" s="10" t="n">
        <v>2632.65</v>
      </c>
      <c r="K47" s="10">
        <f>F47-J47</f>
        <v/>
      </c>
      <c r="L47" s="11">
        <f>IF(J47=0,0,(F47-J47)/J47)</f>
        <v/>
      </c>
      <c r="M47" t="inlineStr">
        <is>
          <t>instock</t>
        </is>
      </c>
      <c r="N47" s="12" t="inlineStr">
        <is>
          <t>🖼</t>
        </is>
      </c>
    </row>
    <row r="48">
      <c r="A48" s="2" t="n">
        <v>47</v>
      </c>
      <c r="B48" s="2" t="inlineStr">
        <is>
          <t>NT-POE-TPL-001</t>
        </is>
      </c>
      <c r="C48" s="2" t="inlineStr">
        <is>
          <t>TP-Link TL-SG1005P 5-Port PoE</t>
        </is>
      </c>
      <c r="D48" s="2" t="inlineStr">
        <is>
          <t>Networking</t>
        </is>
      </c>
      <c r="E48" s="2" t="inlineStr">
        <is>
          <t>publish</t>
        </is>
      </c>
      <c r="F48" s="3" t="n">
        <v>299</v>
      </c>
      <c r="G48" s="3" t="n">
        <v>299</v>
      </c>
      <c r="H48" s="4" t="n">
        <v>39.85</v>
      </c>
      <c r="I48" s="5" t="n">
        <v>149.44</v>
      </c>
      <c r="J48" s="5" t="n">
        <v>149.44</v>
      </c>
      <c r="K48" s="5">
        <f>F48-J48</f>
        <v/>
      </c>
      <c r="L48" s="6">
        <f>IF(J48=0,0,(F48-J48)/J48)</f>
        <v/>
      </c>
      <c r="M48" s="2" t="inlineStr">
        <is>
          <t>instock</t>
        </is>
      </c>
      <c r="N48" s="7" t="inlineStr">
        <is>
          <t>🖼</t>
        </is>
      </c>
    </row>
    <row r="49">
      <c r="A49" t="n">
        <v>48</v>
      </c>
      <c r="B49" t="inlineStr">
        <is>
          <t>NT-POE-UBQ-001</t>
        </is>
      </c>
      <c r="C49" t="inlineStr">
        <is>
          <t>Ubiquiti USW-Lite-8-PoE</t>
        </is>
      </c>
      <c r="D49" t="inlineStr">
        <is>
          <t>Networking</t>
        </is>
      </c>
      <c r="E49" t="inlineStr">
        <is>
          <t>publish</t>
        </is>
      </c>
      <c r="F49" s="8" t="n">
        <v>849</v>
      </c>
      <c r="G49" s="8" t="n">
        <v>849</v>
      </c>
      <c r="H49" s="9" t="n">
        <v>134.83</v>
      </c>
      <c r="I49" s="10" t="n">
        <v>505.61</v>
      </c>
      <c r="J49" s="10" t="n">
        <v>505.61</v>
      </c>
      <c r="K49" s="10">
        <f>F49-J49</f>
        <v/>
      </c>
      <c r="L49" s="11">
        <f>IF(J49=0,0,(F49-J49)/J49)</f>
        <v/>
      </c>
      <c r="M49" t="inlineStr">
        <is>
          <t>instock</t>
        </is>
      </c>
      <c r="N49" s="12" t="inlineStr">
        <is>
          <t>🖼</t>
        </is>
      </c>
    </row>
    <row r="50">
      <c r="A50" s="2" t="n">
        <v>49</v>
      </c>
      <c r="B50" s="2" t="inlineStr">
        <is>
          <t>NT-KVM-ATN-001</t>
        </is>
      </c>
      <c r="C50" s="2" t="inlineStr">
        <is>
          <t>ATEN CS1924M 4-Port DP KVM</t>
        </is>
      </c>
      <c r="D50" s="2" t="inlineStr">
        <is>
          <t>Homelab</t>
        </is>
      </c>
      <c r="E50" s="2" t="inlineStr">
        <is>
          <t>publish</t>
        </is>
      </c>
      <c r="F50" s="3" t="n">
        <v>2399</v>
      </c>
      <c r="G50" s="3" t="n">
        <v>2399</v>
      </c>
      <c r="H50" s="4" t="n">
        <v>417.6</v>
      </c>
      <c r="I50" s="5" t="n">
        <v>1566</v>
      </c>
      <c r="J50" s="5" t="n">
        <v>1566</v>
      </c>
      <c r="K50" s="5">
        <f>F50-J50</f>
        <v/>
      </c>
      <c r="L50" s="6">
        <f>IF(J50=0,0,(F50-J50)/J50)</f>
        <v/>
      </c>
      <c r="M50" s="2" t="inlineStr">
        <is>
          <t>instock</t>
        </is>
      </c>
      <c r="N50" s="7" t="inlineStr">
        <is>
          <t>🖼</t>
        </is>
      </c>
    </row>
    <row r="51">
      <c r="A51" t="n">
        <v>50</v>
      </c>
      <c r="B51" t="inlineStr">
        <is>
          <t>NT-KVM-TES-001</t>
        </is>
      </c>
      <c r="C51" t="inlineStr">
        <is>
          <t>TESmart HKS0401A1U 4-Port HDMI KVM</t>
        </is>
      </c>
      <c r="D51" t="inlineStr">
        <is>
          <t>Homelab</t>
        </is>
      </c>
      <c r="E51" t="inlineStr">
        <is>
          <t>publish</t>
        </is>
      </c>
      <c r="F51" s="8" t="n">
        <v>599</v>
      </c>
      <c r="G51" s="8" t="n">
        <v>689</v>
      </c>
      <c r="H51" s="9" t="n">
        <v>84.3</v>
      </c>
      <c r="I51" s="10" t="n">
        <v>316.12</v>
      </c>
      <c r="J51" s="10" t="n">
        <v>316.12</v>
      </c>
      <c r="K51" s="10">
        <f>F51-J51</f>
        <v/>
      </c>
      <c r="L51" s="11">
        <f>IF(J51=0,0,(F51-J51)/J51)</f>
        <v/>
      </c>
      <c r="M51" t="inlineStr">
        <is>
          <t>instock</t>
        </is>
      </c>
      <c r="N51" s="12" t="inlineStr">
        <is>
          <t>🖼</t>
        </is>
      </c>
    </row>
    <row r="52">
      <c r="A52" s="2" t="n">
        <v>51</v>
      </c>
      <c r="B52" s="2" t="inlineStr">
        <is>
          <t>NT-FWL-FTN-001</t>
        </is>
      </c>
      <c r="C52" s="2" t="inlineStr">
        <is>
          <t>Fortinet FortiGate 60F</t>
        </is>
      </c>
      <c r="D52" s="2" t="inlineStr">
        <is>
          <t>Homelab</t>
        </is>
      </c>
      <c r="E52" s="2" t="inlineStr">
        <is>
          <t>publish</t>
        </is>
      </c>
      <c r="F52" s="3" t="n">
        <v>5499</v>
      </c>
      <c r="G52" s="3" t="n">
        <v>6329</v>
      </c>
      <c r="H52" s="4" t="n">
        <v>968.71</v>
      </c>
      <c r="I52" s="5" t="n">
        <v>3632.66</v>
      </c>
      <c r="J52" s="5" t="n">
        <v>3632.66</v>
      </c>
      <c r="K52" s="5">
        <f>F52-J52</f>
        <v/>
      </c>
      <c r="L52" s="6">
        <f>IF(J52=0,0,(F52-J52)/J52)</f>
        <v/>
      </c>
      <c r="M52" s="2" t="inlineStr">
        <is>
          <t>instock</t>
        </is>
      </c>
      <c r="N52" s="7" t="inlineStr">
        <is>
          <t>🖼</t>
        </is>
      </c>
    </row>
    <row r="53">
      <c r="A53" t="n">
        <v>52</v>
      </c>
      <c r="B53" t="inlineStr">
        <is>
          <t>NT-FWL-NGT-002</t>
        </is>
      </c>
      <c r="C53" t="inlineStr">
        <is>
          <t>Netgate 2100 MAX pfSense+ Gateway</t>
        </is>
      </c>
      <c r="D53" t="inlineStr">
        <is>
          <t>Homelab</t>
        </is>
      </c>
      <c r="E53" t="inlineStr">
        <is>
          <t>publish</t>
        </is>
      </c>
      <c r="F53" s="8" t="n">
        <v>2499</v>
      </c>
      <c r="G53" s="8" t="n">
        <v>2499</v>
      </c>
      <c r="H53" s="9" t="n">
        <v>435.38</v>
      </c>
      <c r="I53" s="10" t="n">
        <v>1632.67</v>
      </c>
      <c r="J53" s="10" t="n">
        <v>1632.67</v>
      </c>
      <c r="K53" s="10">
        <f>F53-J53</f>
        <v/>
      </c>
      <c r="L53" s="11">
        <f>IF(J53=0,0,(F53-J53)/J53)</f>
        <v/>
      </c>
      <c r="M53" t="inlineStr">
        <is>
          <t>instock</t>
        </is>
      </c>
      <c r="N53" s="12" t="inlineStr">
        <is>
          <t>🖼</t>
        </is>
      </c>
    </row>
    <row r="54">
      <c r="A54" s="2" t="n">
        <v>53</v>
      </c>
      <c r="B54" s="2" t="inlineStr">
        <is>
          <t>NT-FWL-NGT-001</t>
        </is>
      </c>
      <c r="C54" s="2" t="inlineStr">
        <is>
          <t>Netgate 4200 MAX pfSense+ Gateway</t>
        </is>
      </c>
      <c r="D54" s="2" t="inlineStr">
        <is>
          <t>Homelab</t>
        </is>
      </c>
      <c r="E54" s="2" t="inlineStr">
        <is>
          <t>publish</t>
        </is>
      </c>
      <c r="F54" s="3" t="n">
        <v>3399</v>
      </c>
      <c r="G54" s="3" t="n">
        <v>3399</v>
      </c>
      <c r="H54" s="4" t="n">
        <v>595.38</v>
      </c>
      <c r="I54" s="5" t="n">
        <v>2232.68</v>
      </c>
      <c r="J54" s="5" t="n">
        <v>2232.68</v>
      </c>
      <c r="K54" s="5">
        <f>F54-J54</f>
        <v/>
      </c>
      <c r="L54" s="6">
        <f>IF(J54=0,0,(F54-J54)/J54)</f>
        <v/>
      </c>
      <c r="M54" s="2" t="inlineStr">
        <is>
          <t>instock</t>
        </is>
      </c>
      <c r="N54" s="7" t="inlineStr">
        <is>
          <t>🖼</t>
        </is>
      </c>
    </row>
    <row r="55">
      <c r="A55" t="n">
        <v>54</v>
      </c>
      <c r="B55" t="inlineStr">
        <is>
          <t>NT-CBL-GEN-001</t>
        </is>
      </c>
      <c r="C55" t="inlineStr">
        <is>
          <t>Cat6a Shielded Bulk Cable (305m)</t>
        </is>
      </c>
      <c r="D55" t="inlineStr">
        <is>
          <t>Networking</t>
        </is>
      </c>
      <c r="E55" t="inlineStr">
        <is>
          <t>publish</t>
        </is>
      </c>
      <c r="F55" s="8" t="n">
        <v>849</v>
      </c>
      <c r="G55" s="8" t="n">
        <v>849</v>
      </c>
      <c r="H55" s="9" t="n">
        <v>134.83</v>
      </c>
      <c r="I55" s="10" t="n">
        <v>505.61</v>
      </c>
      <c r="J55" s="10" t="n">
        <v>505.61</v>
      </c>
      <c r="K55" s="10">
        <f>F55-J55</f>
        <v/>
      </c>
      <c r="L55" s="11">
        <f>IF(J55=0,0,(F55-J55)/J55)</f>
        <v/>
      </c>
      <c r="M55" t="inlineStr">
        <is>
          <t>instock</t>
        </is>
      </c>
      <c r="N55" s="12" t="inlineStr">
        <is>
          <t>🖼</t>
        </is>
      </c>
    </row>
    <row r="56">
      <c r="A56" s="2" t="n">
        <v>55</v>
      </c>
      <c r="B56" s="2" t="inlineStr">
        <is>
          <t>NT-CBL-FSC-001</t>
        </is>
      </c>
      <c r="C56" s="2" t="inlineStr">
        <is>
          <t>10G SFP+ DAC Twinax Cable (1m)</t>
        </is>
      </c>
      <c r="D56" s="2" t="inlineStr">
        <is>
          <t>Networking</t>
        </is>
      </c>
      <c r="E56" s="2" t="inlineStr">
        <is>
          <t>publish</t>
        </is>
      </c>
      <c r="F56" s="3" t="n">
        <v>139</v>
      </c>
      <c r="G56" s="3" t="n">
        <v>139</v>
      </c>
      <c r="H56" s="4" t="n">
        <v>15.2</v>
      </c>
      <c r="I56" s="5" t="n">
        <v>57</v>
      </c>
      <c r="J56" s="5" t="n">
        <v>57</v>
      </c>
      <c r="K56" s="5">
        <f>F56-J56</f>
        <v/>
      </c>
      <c r="L56" s="6">
        <f>IF(J56=0,0,(F56-J56)/J56)</f>
        <v/>
      </c>
      <c r="M56" s="2" t="inlineStr">
        <is>
          <t>instock</t>
        </is>
      </c>
      <c r="N56" s="7" t="inlineStr">
        <is>
          <t>🖼</t>
        </is>
      </c>
    </row>
    <row r="57">
      <c r="A57" t="n">
        <v>56</v>
      </c>
      <c r="B57" t="inlineStr">
        <is>
          <t>NT-SFP-FSC-001</t>
        </is>
      </c>
      <c r="C57" t="inlineStr">
        <is>
          <t>FS.com 10GBASE-SR SFP+ Transceiver</t>
        </is>
      </c>
      <c r="D57" t="inlineStr">
        <is>
          <t>Networking</t>
        </is>
      </c>
      <c r="E57" t="inlineStr">
        <is>
          <t>publish</t>
        </is>
      </c>
      <c r="F57" s="8" t="n">
        <v>129</v>
      </c>
      <c r="G57" s="8" t="n">
        <v>129</v>
      </c>
      <c r="H57" s="9" t="n">
        <v>13.87</v>
      </c>
      <c r="I57" s="10" t="n">
        <v>52.01</v>
      </c>
      <c r="J57" s="10" t="n">
        <v>52.01</v>
      </c>
      <c r="K57" s="10">
        <f>F57-J57</f>
        <v/>
      </c>
      <c r="L57" s="11">
        <f>IF(J57=0,0,(F57-J57)/J57)</f>
        <v/>
      </c>
      <c r="M57" t="inlineStr">
        <is>
          <t>instock</t>
        </is>
      </c>
      <c r="N57" s="12" t="inlineStr">
        <is>
          <t>🖼</t>
        </is>
      </c>
    </row>
    <row r="58">
      <c r="A58" s="2" t="n">
        <v>57</v>
      </c>
      <c r="B58" s="2" t="inlineStr">
        <is>
          <t>NT-SRV-NVP-001</t>
        </is>
      </c>
      <c r="C58" s="2" t="inlineStr">
        <is>
          <t>NavePoint 1U Cantilever Rack Shelf</t>
        </is>
      </c>
      <c r="D58" s="2" t="inlineStr">
        <is>
          <t>Homelab</t>
        </is>
      </c>
      <c r="E58" s="2" t="inlineStr">
        <is>
          <t>publish</t>
        </is>
      </c>
      <c r="F58" s="3" t="n">
        <v>249</v>
      </c>
      <c r="G58" s="3" t="n">
        <v>249</v>
      </c>
      <c r="H58" s="4" t="n">
        <v>29.87</v>
      </c>
      <c r="I58" s="5" t="n">
        <v>112.01</v>
      </c>
      <c r="J58" s="5" t="n">
        <v>112.01</v>
      </c>
      <c r="K58" s="5">
        <f>F58-J58</f>
        <v/>
      </c>
      <c r="L58" s="6">
        <f>IF(J58=0,0,(F58-J58)/J58)</f>
        <v/>
      </c>
      <c r="M58" s="2" t="inlineStr">
        <is>
          <t>instock</t>
        </is>
      </c>
      <c r="N58" s="7" t="inlineStr">
        <is>
          <t>🖼</t>
        </is>
      </c>
    </row>
    <row r="59">
      <c r="A59" t="n">
        <v>58</v>
      </c>
      <c r="B59" t="inlineStr">
        <is>
          <t>NT-SRV-CBM-001</t>
        </is>
      </c>
      <c r="C59" t="inlineStr">
        <is>
          <t>Cable Matters 24-Port Cat6 Patch Panel (1U)</t>
        </is>
      </c>
      <c r="D59" t="inlineStr">
        <is>
          <t>Homelab</t>
        </is>
      </c>
      <c r="E59" t="inlineStr">
        <is>
          <t>publish</t>
        </is>
      </c>
      <c r="F59" s="8" t="n">
        <v>239</v>
      </c>
      <c r="G59" s="8" t="n">
        <v>239</v>
      </c>
      <c r="H59" s="9" t="n">
        <v>28.53</v>
      </c>
      <c r="I59" s="10" t="n">
        <v>106.99</v>
      </c>
      <c r="J59" s="10" t="n">
        <v>106.99</v>
      </c>
      <c r="K59" s="10">
        <f>F59-J59</f>
        <v/>
      </c>
      <c r="L59" s="11">
        <f>IF(J59=0,0,(F59-J59)/J59)</f>
        <v/>
      </c>
      <c r="M59" t="inlineStr">
        <is>
          <t>instock</t>
        </is>
      </c>
      <c r="N59" s="12" t="inlineStr">
        <is>
          <t>🖼</t>
        </is>
      </c>
    </row>
    <row r="60">
      <c r="A60" s="2" t="n">
        <v>59</v>
      </c>
      <c r="B60" s="2" t="inlineStr">
        <is>
          <t>NT-SRV-STC-001</t>
        </is>
      </c>
      <c r="C60" s="2" t="inlineStr">
        <is>
          <t>StarTech RK12WALLOA 12U Wall-Mount Rack</t>
        </is>
      </c>
      <c r="D60" s="2" t="inlineStr">
        <is>
          <t>Homelab</t>
        </is>
      </c>
      <c r="E60" s="2" t="inlineStr">
        <is>
          <t>publish</t>
        </is>
      </c>
      <c r="F60" s="3" t="n">
        <v>1399</v>
      </c>
      <c r="G60" s="3" t="n">
        <v>1399</v>
      </c>
      <c r="H60" s="4" t="n">
        <v>226.5</v>
      </c>
      <c r="I60" s="5" t="n">
        <v>849.38</v>
      </c>
      <c r="J60" s="5" t="n">
        <v>849.38</v>
      </c>
      <c r="K60" s="5">
        <f>F60-J60</f>
        <v/>
      </c>
      <c r="L60" s="6">
        <f>IF(J60=0,0,(F60-J60)/J60)</f>
        <v/>
      </c>
      <c r="M60" s="2" t="inlineStr">
        <is>
          <t>instock</t>
        </is>
      </c>
      <c r="N60" s="7" t="inlineStr">
        <is>
          <t>🖼</t>
        </is>
      </c>
    </row>
    <row r="61">
      <c r="A61" t="n">
        <v>60</v>
      </c>
      <c r="B61" t="inlineStr">
        <is>
          <t>NT-UPS-APC-002</t>
        </is>
      </c>
      <c r="C61" t="inlineStr">
        <is>
          <t>APC Back-UPS Pro BX1500M (Tower)</t>
        </is>
      </c>
      <c r="D61" t="inlineStr">
        <is>
          <t>Homelab</t>
        </is>
      </c>
      <c r="E61" t="inlineStr">
        <is>
          <t>publish</t>
        </is>
      </c>
      <c r="F61" s="8" t="n">
        <v>1599</v>
      </c>
      <c r="G61" s="8" t="n">
        <v>1839</v>
      </c>
      <c r="H61" s="9" t="n">
        <v>259.83</v>
      </c>
      <c r="I61" s="10" t="n">
        <v>974.36</v>
      </c>
      <c r="J61" s="10" t="n">
        <v>974.36</v>
      </c>
      <c r="K61" s="10">
        <f>F61-J61</f>
        <v/>
      </c>
      <c r="L61" s="11">
        <f>IF(J61=0,0,(F61-J61)/J61)</f>
        <v/>
      </c>
      <c r="M61" t="inlineStr">
        <is>
          <t>instock</t>
        </is>
      </c>
      <c r="N61" s="12" t="inlineStr">
        <is>
          <t>🖼</t>
        </is>
      </c>
    </row>
    <row r="62">
      <c r="A62" s="2" t="n">
        <v>61</v>
      </c>
      <c r="B62" s="2" t="inlineStr">
        <is>
          <t>NT-UPS-CYB-001</t>
        </is>
      </c>
      <c r="C62" s="2" t="inlineStr">
        <is>
          <t>CyberPower OR1500LCDRM1U (1500VA 1U)</t>
        </is>
      </c>
      <c r="D62" s="2" t="inlineStr">
        <is>
          <t>Homelab</t>
        </is>
      </c>
      <c r="E62" s="2" t="inlineStr">
        <is>
          <t>publish</t>
        </is>
      </c>
      <c r="F62" s="3" t="n">
        <v>2099</v>
      </c>
      <c r="G62" s="3" t="n">
        <v>2419</v>
      </c>
      <c r="H62" s="4" t="n">
        <v>364.27</v>
      </c>
      <c r="I62" s="5" t="n">
        <v>1366.01</v>
      </c>
      <c r="J62" s="5" t="n">
        <v>1366.01</v>
      </c>
      <c r="K62" s="5">
        <f>F62-J62</f>
        <v/>
      </c>
      <c r="L62" s="6">
        <f>IF(J62=0,0,(F62-J62)/J62)</f>
        <v/>
      </c>
      <c r="M62" s="2" t="inlineStr">
        <is>
          <t>instock</t>
        </is>
      </c>
      <c r="N62" s="7" t="inlineStr">
        <is>
          <t>🖼</t>
        </is>
      </c>
    </row>
    <row r="63">
      <c r="A63" t="n">
        <v>62</v>
      </c>
      <c r="B63" t="inlineStr">
        <is>
          <t>NT-UPS-APC-001</t>
        </is>
      </c>
      <c r="C63" t="inlineStr">
        <is>
          <t>APC Smart-UPS SMT1500RM2UC (1500VA Rack)</t>
        </is>
      </c>
      <c r="D63" t="inlineStr">
        <is>
          <t>Homelab</t>
        </is>
      </c>
      <c r="E63" t="inlineStr">
        <is>
          <t>publish</t>
        </is>
      </c>
      <c r="F63" s="8" t="n">
        <v>4899</v>
      </c>
      <c r="G63" s="8" t="n">
        <v>4899</v>
      </c>
      <c r="H63" s="9" t="n">
        <v>862.04</v>
      </c>
      <c r="I63" s="10" t="n">
        <v>3232.65</v>
      </c>
      <c r="J63" s="10" t="n">
        <v>3232.65</v>
      </c>
      <c r="K63" s="10">
        <f>F63-J63</f>
        <v/>
      </c>
      <c r="L63" s="11">
        <f>IF(J63=0,0,(F63-J63)/J63)</f>
        <v/>
      </c>
      <c r="M63" t="inlineStr">
        <is>
          <t>instock</t>
        </is>
      </c>
      <c r="N63" s="12" t="inlineStr">
        <is>
          <t>🖼</t>
        </is>
      </c>
    </row>
    <row r="64">
      <c r="A64" s="2" t="n">
        <v>63</v>
      </c>
      <c r="B64" s="2" t="inlineStr">
        <is>
          <t>NT-NAS-QNP-002</t>
        </is>
      </c>
      <c r="C64" s="2" t="inlineStr">
        <is>
          <t>QNAP TS-262-4G (2-Bay)</t>
        </is>
      </c>
      <c r="D64" s="2" t="inlineStr">
        <is>
          <t>Homelab</t>
        </is>
      </c>
      <c r="E64" s="2" t="inlineStr">
        <is>
          <t>publish</t>
        </is>
      </c>
      <c r="F64" s="3" t="n">
        <v>1899</v>
      </c>
      <c r="G64" s="3" t="n">
        <v>1899</v>
      </c>
      <c r="H64" s="4" t="n">
        <v>328.71</v>
      </c>
      <c r="I64" s="5" t="n">
        <v>1232.66</v>
      </c>
      <c r="J64" s="5" t="n">
        <v>1232.66</v>
      </c>
      <c r="K64" s="5">
        <f>F64-J64</f>
        <v/>
      </c>
      <c r="L64" s="6">
        <f>IF(J64=0,0,(F64-J64)/J64)</f>
        <v/>
      </c>
      <c r="M64" s="2" t="inlineStr">
        <is>
          <t>instock</t>
        </is>
      </c>
      <c r="N64" s="7" t="inlineStr">
        <is>
          <t>🖼</t>
        </is>
      </c>
    </row>
    <row r="65">
      <c r="A65" t="n">
        <v>64</v>
      </c>
      <c r="B65" t="inlineStr">
        <is>
          <t>NT-NAS-QNP-001</t>
        </is>
      </c>
      <c r="C65" t="inlineStr">
        <is>
          <t>QNAP TS-464-8G (4-Bay)</t>
        </is>
      </c>
      <c r="D65" t="inlineStr">
        <is>
          <t>Homelab</t>
        </is>
      </c>
      <c r="E65" t="inlineStr">
        <is>
          <t>publish</t>
        </is>
      </c>
      <c r="F65" s="8" t="n">
        <v>2799</v>
      </c>
      <c r="G65" s="8" t="n">
        <v>2799</v>
      </c>
      <c r="H65" s="9" t="n">
        <v>488.71</v>
      </c>
      <c r="I65" s="10" t="n">
        <v>1832.66</v>
      </c>
      <c r="J65" s="10" t="n">
        <v>1832.66</v>
      </c>
      <c r="K65" s="10">
        <f>F65-J65</f>
        <v/>
      </c>
      <c r="L65" s="11">
        <f>IF(J65=0,0,(F65-J65)/J65)</f>
        <v/>
      </c>
      <c r="M65" t="inlineStr">
        <is>
          <t>instock</t>
        </is>
      </c>
      <c r="N65" s="12" t="inlineStr">
        <is>
          <t>🖼</t>
        </is>
      </c>
    </row>
    <row r="66">
      <c r="A66" s="2" t="n">
        <v>65</v>
      </c>
      <c r="B66" s="2" t="inlineStr">
        <is>
          <t>NT-NAS-SYN-002</t>
        </is>
      </c>
      <c r="C66" s="2" t="inlineStr">
        <is>
          <t>Synology DS925+ (4-Bay)</t>
        </is>
      </c>
      <c r="D66" s="2" t="inlineStr">
        <is>
          <t>Homelab</t>
        </is>
      </c>
      <c r="E66" s="2" t="inlineStr">
        <is>
          <t>publish</t>
        </is>
      </c>
      <c r="F66" s="3" t="n">
        <v>3499</v>
      </c>
      <c r="G66" s="3" t="n">
        <v>3499</v>
      </c>
      <c r="H66" s="4" t="n">
        <v>613.16</v>
      </c>
      <c r="I66" s="5" t="n">
        <v>2299.35</v>
      </c>
      <c r="J66" s="5" t="n">
        <v>2299.35</v>
      </c>
      <c r="K66" s="5">
        <f>F66-J66</f>
        <v/>
      </c>
      <c r="L66" s="6">
        <f>IF(J66=0,0,(F66-J66)/J66)</f>
        <v/>
      </c>
      <c r="M66" s="2" t="inlineStr">
        <is>
          <t>instock</t>
        </is>
      </c>
      <c r="N66" s="7" t="inlineStr">
        <is>
          <t>🖼</t>
        </is>
      </c>
    </row>
    <row r="67">
      <c r="A67" t="n">
        <v>66</v>
      </c>
      <c r="B67" t="inlineStr">
        <is>
          <t>NT-NAS-SYN-001</t>
        </is>
      </c>
      <c r="C67" t="inlineStr">
        <is>
          <t>Synology DS225+ (2-Bay)</t>
        </is>
      </c>
      <c r="D67" t="inlineStr">
        <is>
          <t>Homelab</t>
        </is>
      </c>
      <c r="E67" t="inlineStr">
        <is>
          <t>publish</t>
        </is>
      </c>
      <c r="F67" s="8" t="n">
        <v>2099</v>
      </c>
      <c r="G67" s="8" t="n">
        <v>2419</v>
      </c>
      <c r="H67" s="9" t="n">
        <v>364.27</v>
      </c>
      <c r="I67" s="10" t="n">
        <v>1366.01</v>
      </c>
      <c r="J67" s="10" t="n">
        <v>1366.01</v>
      </c>
      <c r="K67" s="10">
        <f>F67-J67</f>
        <v/>
      </c>
      <c r="L67" s="11">
        <f>IF(J67=0,0,(F67-J67)/J67)</f>
        <v/>
      </c>
      <c r="M67" t="inlineStr">
        <is>
          <t>instock</t>
        </is>
      </c>
      <c r="N67" s="12" t="inlineStr">
        <is>
          <t>🖼</t>
        </is>
      </c>
    </row>
    <row r="68">
      <c r="A68" s="2" t="n">
        <v>67</v>
      </c>
      <c r="B68" s="2" t="inlineStr">
        <is>
          <t>NT-WAP-TPL-002</t>
        </is>
      </c>
      <c r="C68" s="2" t="inlineStr">
        <is>
          <t>TP-Link Omada EAP650</t>
        </is>
      </c>
      <c r="D68" s="2" t="inlineStr">
        <is>
          <t>Networking</t>
        </is>
      </c>
      <c r="E68" s="2" t="inlineStr">
        <is>
          <t>publish</t>
        </is>
      </c>
      <c r="F68" s="3" t="n">
        <v>799</v>
      </c>
      <c r="G68" s="3" t="n">
        <v>919</v>
      </c>
      <c r="H68" s="4" t="n">
        <v>126.5</v>
      </c>
      <c r="I68" s="5" t="n">
        <v>474.38</v>
      </c>
      <c r="J68" s="5" t="n">
        <v>474.38</v>
      </c>
      <c r="K68" s="5">
        <f>F68-J68</f>
        <v/>
      </c>
      <c r="L68" s="6">
        <f>IF(J68=0,0,(F68-J68)/J68)</f>
        <v/>
      </c>
      <c r="M68" s="2" t="inlineStr">
        <is>
          <t>instock</t>
        </is>
      </c>
      <c r="N68" s="7" t="inlineStr">
        <is>
          <t>🖼</t>
        </is>
      </c>
    </row>
    <row r="69">
      <c r="A69" t="n">
        <v>68</v>
      </c>
      <c r="B69" t="inlineStr">
        <is>
          <t>NT-WAP-TPL-001</t>
        </is>
      </c>
      <c r="C69" t="inlineStr">
        <is>
          <t>TP-Link Omada EAP610</t>
        </is>
      </c>
      <c r="D69" t="inlineStr">
        <is>
          <t>Networking</t>
        </is>
      </c>
      <c r="E69" t="inlineStr">
        <is>
          <t>publish</t>
        </is>
      </c>
      <c r="F69" s="8" t="n">
        <v>599</v>
      </c>
      <c r="G69" s="8" t="n">
        <v>689</v>
      </c>
      <c r="H69" s="9" t="n">
        <v>84.3</v>
      </c>
      <c r="I69" s="10" t="n">
        <v>316.12</v>
      </c>
      <c r="J69" s="10" t="n">
        <v>316.12</v>
      </c>
      <c r="K69" s="10">
        <f>F69-J69</f>
        <v/>
      </c>
      <c r="L69" s="11">
        <f>IF(J69=0,0,(F69-J69)/J69)</f>
        <v/>
      </c>
      <c r="M69" t="inlineStr">
        <is>
          <t>instock</t>
        </is>
      </c>
      <c r="N69" s="12" t="inlineStr">
        <is>
          <t>🖼</t>
        </is>
      </c>
    </row>
    <row r="70">
      <c r="A70" s="2" t="n">
        <v>69</v>
      </c>
      <c r="B70" s="2" t="inlineStr">
        <is>
          <t>NT-WAP-UBQ-002</t>
        </is>
      </c>
      <c r="C70" s="2" t="inlineStr">
        <is>
          <t>Ubiquiti UniFi U7 Pro</t>
        </is>
      </c>
      <c r="D70" s="2" t="inlineStr">
        <is>
          <t>Networking</t>
        </is>
      </c>
      <c r="E70" s="2" t="inlineStr">
        <is>
          <t>publish</t>
        </is>
      </c>
      <c r="F70" s="3" t="n">
        <v>1399</v>
      </c>
      <c r="G70" s="3" t="n">
        <v>1609</v>
      </c>
      <c r="H70" s="4" t="n">
        <v>226.5</v>
      </c>
      <c r="I70" s="5" t="n">
        <v>849.38</v>
      </c>
      <c r="J70" s="5" t="n">
        <v>849.38</v>
      </c>
      <c r="K70" s="5">
        <f>F70-J70</f>
        <v/>
      </c>
      <c r="L70" s="6">
        <f>IF(J70=0,0,(F70-J70)/J70)</f>
        <v/>
      </c>
      <c r="M70" s="2" t="inlineStr">
        <is>
          <t>instock</t>
        </is>
      </c>
      <c r="N70" s="7" t="inlineStr">
        <is>
          <t>🖼</t>
        </is>
      </c>
    </row>
    <row r="71">
      <c r="A71" t="n">
        <v>70</v>
      </c>
      <c r="B71" t="inlineStr">
        <is>
          <t>NT-WAP-UBQ-001</t>
        </is>
      </c>
      <c r="C71" t="inlineStr">
        <is>
          <t>Ubiquiti UniFi U6 Pro</t>
        </is>
      </c>
      <c r="D71" t="inlineStr">
        <is>
          <t>Networking</t>
        </is>
      </c>
      <c r="E71" t="inlineStr">
        <is>
          <t>publish</t>
        </is>
      </c>
      <c r="F71" s="8" t="n">
        <v>999</v>
      </c>
      <c r="G71" s="8" t="n">
        <v>1149</v>
      </c>
      <c r="H71" s="9" t="n">
        <v>159.83</v>
      </c>
      <c r="I71" s="10" t="n">
        <v>599.36</v>
      </c>
      <c r="J71" s="10" t="n">
        <v>599.36</v>
      </c>
      <c r="K71" s="10">
        <f>F71-J71</f>
        <v/>
      </c>
      <c r="L71" s="11">
        <f>IF(J71=0,0,(F71-J71)/J71)</f>
        <v/>
      </c>
      <c r="M71" t="inlineStr">
        <is>
          <t>instock</t>
        </is>
      </c>
      <c r="N71" s="12" t="inlineStr">
        <is>
          <t>🖼</t>
        </is>
      </c>
    </row>
    <row r="72">
      <c r="A72" s="2" t="n">
        <v>71</v>
      </c>
      <c r="B72" s="2" t="inlineStr">
        <is>
          <t>NT-NET-UBQ-001</t>
        </is>
      </c>
      <c r="C72" s="2" t="inlineStr">
        <is>
          <t>Ubiquiti USW-Pro-24-PoE</t>
        </is>
      </c>
      <c r="D72" s="2" t="inlineStr">
        <is>
          <t>Networking</t>
        </is>
      </c>
      <c r="E72" s="2" t="inlineStr">
        <is>
          <t>publish</t>
        </is>
      </c>
      <c r="F72" s="3" t="n">
        <v>3999</v>
      </c>
      <c r="G72" s="3" t="n">
        <v>3999</v>
      </c>
      <c r="H72" s="4" t="n">
        <v>702.04</v>
      </c>
      <c r="I72" s="5" t="n">
        <v>2632.65</v>
      </c>
      <c r="J72" s="5" t="n">
        <v>2632.65</v>
      </c>
      <c r="K72" s="5">
        <f>F72-J72</f>
        <v/>
      </c>
      <c r="L72" s="6">
        <f>IF(J72=0,0,(F72-J72)/J72)</f>
        <v/>
      </c>
      <c r="M72" s="2" t="inlineStr">
        <is>
          <t>instock</t>
        </is>
      </c>
      <c r="N72" s="7" t="inlineStr">
        <is>
          <t>🖼</t>
        </is>
      </c>
    </row>
    <row r="73">
      <c r="A73" t="n">
        <v>72</v>
      </c>
      <c r="B73" t="inlineStr">
        <is>
          <t>NT-NET-MKT-004</t>
        </is>
      </c>
      <c r="C73" t="inlineStr">
        <is>
          <t>MikroTik CRS312-4C+8XG-RM</t>
        </is>
      </c>
      <c r="D73" t="inlineStr">
        <is>
          <t>Networking</t>
        </is>
      </c>
      <c r="E73" t="inlineStr">
        <is>
          <t>publish</t>
        </is>
      </c>
      <c r="F73" s="8" t="n">
        <v>2799</v>
      </c>
      <c r="G73" s="8" t="n">
        <v>2799</v>
      </c>
      <c r="H73" s="9" t="n">
        <v>488.71</v>
      </c>
      <c r="I73" s="10" t="n">
        <v>1832.66</v>
      </c>
      <c r="J73" s="10" t="n">
        <v>1832.66</v>
      </c>
      <c r="K73" s="10">
        <f>F73-J73</f>
        <v/>
      </c>
      <c r="L73" s="11">
        <f>IF(J73=0,0,(F73-J73)/J73)</f>
        <v/>
      </c>
      <c r="M73" t="inlineStr">
        <is>
          <t>instock</t>
        </is>
      </c>
      <c r="N73" s="12" t="inlineStr">
        <is>
          <t>🖼</t>
        </is>
      </c>
    </row>
    <row r="74">
      <c r="A74" s="2" t="n">
        <v>73</v>
      </c>
      <c r="B74" s="2" t="inlineStr">
        <is>
          <t>NT-NET-MKT-003</t>
        </is>
      </c>
      <c r="C74" s="2" t="inlineStr">
        <is>
          <t>MikroTik CRS328-24P-4S+RM (PoE)</t>
        </is>
      </c>
      <c r="D74" s="2" t="inlineStr">
        <is>
          <t>Networking</t>
        </is>
      </c>
      <c r="E74" s="2" t="inlineStr">
        <is>
          <t>publish</t>
        </is>
      </c>
      <c r="F74" s="3" t="n">
        <v>2699</v>
      </c>
      <c r="G74" s="3" t="n">
        <v>3109</v>
      </c>
      <c r="H74" s="4" t="n">
        <v>470.93</v>
      </c>
      <c r="I74" s="5" t="n">
        <v>1765.99</v>
      </c>
      <c r="J74" s="5" t="n">
        <v>1765.99</v>
      </c>
      <c r="K74" s="5">
        <f>F74-J74</f>
        <v/>
      </c>
      <c r="L74" s="6">
        <f>IF(J74=0,0,(F74-J74)/J74)</f>
        <v/>
      </c>
      <c r="M74" s="2" t="inlineStr">
        <is>
          <t>instock</t>
        </is>
      </c>
      <c r="N74" s="7" t="inlineStr">
        <is>
          <t>🖼</t>
        </is>
      </c>
    </row>
    <row r="75">
      <c r="A75" t="n">
        <v>74</v>
      </c>
      <c r="B75" t="inlineStr">
        <is>
          <t>NT-NET-MKT-002</t>
        </is>
      </c>
      <c r="C75" t="inlineStr">
        <is>
          <t>MikroTik CRS326-24G-2S+RM</t>
        </is>
      </c>
      <c r="D75" t="inlineStr">
        <is>
          <t>Networking</t>
        </is>
      </c>
      <c r="E75" t="inlineStr">
        <is>
          <t>publish</t>
        </is>
      </c>
      <c r="F75" s="8" t="n">
        <v>1199</v>
      </c>
      <c r="G75" s="8" t="n">
        <v>1199</v>
      </c>
      <c r="H75" s="9" t="n">
        <v>193.17</v>
      </c>
      <c r="I75" s="10" t="n">
        <v>724.39</v>
      </c>
      <c r="J75" s="10" t="n">
        <v>724.39</v>
      </c>
      <c r="K75" s="10">
        <f>F75-J75</f>
        <v/>
      </c>
      <c r="L75" s="11">
        <f>IF(J75=0,0,(F75-J75)/J75)</f>
        <v/>
      </c>
      <c r="M75" t="inlineStr">
        <is>
          <t>instock</t>
        </is>
      </c>
      <c r="N75" s="12" t="inlineStr">
        <is>
          <t>🖼</t>
        </is>
      </c>
    </row>
    <row r="76">
      <c r="A76" s="2" t="n">
        <v>75</v>
      </c>
      <c r="B76" s="2" t="inlineStr">
        <is>
          <t>NT-NET-MKT-001</t>
        </is>
      </c>
      <c r="C76" s="2" t="inlineStr">
        <is>
          <t>MikroTik CRS305-1G-4S+IN</t>
        </is>
      </c>
      <c r="D76" s="2" t="inlineStr">
        <is>
          <t>Networking</t>
        </is>
      </c>
      <c r="E76" s="2" t="inlineStr">
        <is>
          <t>publish</t>
        </is>
      </c>
      <c r="F76" s="3" t="n">
        <v>999</v>
      </c>
      <c r="G76" s="3" t="n">
        <v>999</v>
      </c>
      <c r="H76" s="4" t="n">
        <v>159.83</v>
      </c>
      <c r="I76" s="5" t="n">
        <v>599.36</v>
      </c>
      <c r="J76" s="5" t="n">
        <v>599.36</v>
      </c>
      <c r="K76" s="5">
        <f>F76-J76</f>
        <v/>
      </c>
      <c r="L76" s="6">
        <f>IF(J76=0,0,(F76-J76)/J76)</f>
        <v/>
      </c>
      <c r="M76" s="2" t="inlineStr">
        <is>
          <t>instock</t>
        </is>
      </c>
      <c r="N76" s="7" t="inlineStr">
        <is>
          <t>🖼</t>
        </is>
      </c>
    </row>
    <row r="77">
      <c r="A77" t="n">
        <v>76</v>
      </c>
      <c r="B77" t="inlineStr">
        <is>
          <t>SH-SWB-SWBT-003</t>
        </is>
      </c>
      <c r="C77" t="inlineStr">
        <is>
          <t>SwitchBot Blind Tilt</t>
        </is>
      </c>
      <c r="D77" t="inlineStr">
        <is>
          <t>Smart Home &amp;amp; IoT</t>
        </is>
      </c>
      <c r="E77" t="inlineStr">
        <is>
          <t>publish</t>
        </is>
      </c>
      <c r="F77" s="8" t="n">
        <v>479</v>
      </c>
      <c r="G77" s="8" t="n">
        <v>479</v>
      </c>
      <c r="H77" s="9" t="n">
        <v>66.52</v>
      </c>
      <c r="I77" s="10" t="n">
        <v>249.45</v>
      </c>
      <c r="J77" s="10" t="n">
        <v>249.45</v>
      </c>
      <c r="K77" s="10">
        <f>F77-J77</f>
        <v/>
      </c>
      <c r="L77" s="11">
        <f>IF(J77=0,0,(F77-J77)/J77)</f>
        <v/>
      </c>
      <c r="M77" t="inlineStr">
        <is>
          <t>instock</t>
        </is>
      </c>
      <c r="N77" s="12" t="inlineStr">
        <is>
          <t>🖼</t>
        </is>
      </c>
    </row>
    <row r="78">
      <c r="A78" s="2" t="n">
        <v>77</v>
      </c>
      <c r="B78" s="2" t="inlineStr">
        <is>
          <t>SH-SWB-SWBT-002</t>
        </is>
      </c>
      <c r="C78" s="2" t="inlineStr">
        <is>
          <t>SwitchBot Bot (Smart Button Pusher)</t>
        </is>
      </c>
      <c r="D78" s="2" t="inlineStr">
        <is>
          <t>Smart Home &amp;amp; IoT</t>
        </is>
      </c>
      <c r="E78" s="2" t="inlineStr">
        <is>
          <t>publish</t>
        </is>
      </c>
      <c r="F78" s="3" t="n">
        <v>239</v>
      </c>
      <c r="G78" s="3" t="n">
        <v>239</v>
      </c>
      <c r="H78" s="4" t="n">
        <v>28.53</v>
      </c>
      <c r="I78" s="5" t="n">
        <v>106.99</v>
      </c>
      <c r="J78" s="5" t="n">
        <v>106.99</v>
      </c>
      <c r="K78" s="5">
        <f>F78-J78</f>
        <v/>
      </c>
      <c r="L78" s="6">
        <f>IF(J78=0,0,(F78-J78)/J78)</f>
        <v/>
      </c>
      <c r="M78" s="2" t="inlineStr">
        <is>
          <t>instock</t>
        </is>
      </c>
      <c r="N78" s="7" t="inlineStr">
        <is>
          <t>🖼</t>
        </is>
      </c>
    </row>
    <row r="79">
      <c r="A79" t="n">
        <v>78</v>
      </c>
      <c r="B79" t="inlineStr">
        <is>
          <t>SH-SWB-SWBT-001</t>
        </is>
      </c>
      <c r="C79" t="inlineStr">
        <is>
          <t>SwitchBot Hub 2 (Matter Enabled)</t>
        </is>
      </c>
      <c r="D79" t="inlineStr">
        <is>
          <t>Smart Home &amp;amp; IoT</t>
        </is>
      </c>
      <c r="E79" t="inlineStr">
        <is>
          <t>publish</t>
        </is>
      </c>
      <c r="F79" s="8" t="n">
        <v>479</v>
      </c>
      <c r="G79" s="8" t="n">
        <v>559</v>
      </c>
      <c r="H79" s="9" t="n">
        <v>66.52</v>
      </c>
      <c r="I79" s="10" t="n">
        <v>249.45</v>
      </c>
      <c r="J79" s="10" t="n">
        <v>249.45</v>
      </c>
      <c r="K79" s="10">
        <f>F79-J79</f>
        <v/>
      </c>
      <c r="L79" s="11">
        <f>IF(J79=0,0,(F79-J79)/J79)</f>
        <v/>
      </c>
      <c r="M79" t="inlineStr">
        <is>
          <t>instock</t>
        </is>
      </c>
      <c r="N79" s="12" t="inlineStr">
        <is>
          <t>🖼</t>
        </is>
      </c>
    </row>
    <row r="80">
      <c r="A80" s="2" t="n">
        <v>79</v>
      </c>
      <c r="B80" s="2" t="inlineStr">
        <is>
          <t>SH-HUB-HUBI-001</t>
        </is>
      </c>
      <c r="C80" s="2" t="inlineStr">
        <is>
          <t>Hubitat Elevation C-8 Pro</t>
        </is>
      </c>
      <c r="D80" s="2" t="inlineStr">
        <is>
          <t>Smart Home &amp;amp; IoT</t>
        </is>
      </c>
      <c r="E80" s="2" t="inlineStr">
        <is>
          <t>publish</t>
        </is>
      </c>
      <c r="F80" s="3" t="n">
        <v>1199</v>
      </c>
      <c r="G80" s="3" t="n">
        <v>1199</v>
      </c>
      <c r="H80" s="4" t="n">
        <v>193.17</v>
      </c>
      <c r="I80" s="5" t="n">
        <v>724.39</v>
      </c>
      <c r="J80" s="5" t="n">
        <v>724.39</v>
      </c>
      <c r="K80" s="5">
        <f>F80-J80</f>
        <v/>
      </c>
      <c r="L80" s="6">
        <f>IF(J80=0,0,(F80-J80)/J80)</f>
        <v/>
      </c>
      <c r="M80" s="2" t="inlineStr">
        <is>
          <t>instock</t>
        </is>
      </c>
      <c r="N80" s="7" t="inlineStr">
        <is>
          <t>🖼</t>
        </is>
      </c>
    </row>
    <row r="81">
      <c r="A81" t="n">
        <v>80</v>
      </c>
      <c r="B81" t="inlineStr">
        <is>
          <t>SH-HUB-HASS-001</t>
        </is>
      </c>
      <c r="C81" t="inlineStr">
        <is>
          <t>Home Assistant Green</t>
        </is>
      </c>
      <c r="D81" t="inlineStr">
        <is>
          <t>Smart Home &amp;amp; IoT</t>
        </is>
      </c>
      <c r="E81" t="inlineStr">
        <is>
          <t>publish</t>
        </is>
      </c>
      <c r="F81" s="8" t="n">
        <v>699</v>
      </c>
      <c r="G81" s="8" t="n">
        <v>699</v>
      </c>
      <c r="H81" s="9" t="n">
        <v>99.11</v>
      </c>
      <c r="I81" s="10" t="n">
        <v>371.66</v>
      </c>
      <c r="J81" s="10" t="n">
        <v>371.66</v>
      </c>
      <c r="K81" s="10">
        <f>F81-J81</f>
        <v/>
      </c>
      <c r="L81" s="11">
        <f>IF(J81=0,0,(F81-J81)/J81)</f>
        <v/>
      </c>
      <c r="M81" t="inlineStr">
        <is>
          <t>instock</t>
        </is>
      </c>
      <c r="N81" s="12" t="inlineStr">
        <is>
          <t>🖼</t>
        </is>
      </c>
    </row>
    <row r="82">
      <c r="A82" s="2" t="n">
        <v>81</v>
      </c>
      <c r="B82" s="2" t="inlineStr">
        <is>
          <t>SH-HUB-AQRA-001</t>
        </is>
      </c>
      <c r="C82" s="2" t="inlineStr">
        <is>
          <t>Aqara Hub M3</t>
        </is>
      </c>
      <c r="D82" s="2" t="inlineStr">
        <is>
          <t>Smart Home &amp;amp; IoT</t>
        </is>
      </c>
      <c r="E82" s="2" t="inlineStr">
        <is>
          <t>publish</t>
        </is>
      </c>
      <c r="F82" s="3" t="n">
        <v>899</v>
      </c>
      <c r="G82" s="3" t="n">
        <v>1039</v>
      </c>
      <c r="H82" s="4" t="n">
        <v>143.17</v>
      </c>
      <c r="I82" s="5" t="n">
        <v>536.89</v>
      </c>
      <c r="J82" s="5" t="n">
        <v>536.89</v>
      </c>
      <c r="K82" s="5">
        <f>F82-J82</f>
        <v/>
      </c>
      <c r="L82" s="6">
        <f>IF(J82=0,0,(F82-J82)/J82)</f>
        <v/>
      </c>
      <c r="M82" s="2" t="inlineStr">
        <is>
          <t>instock</t>
        </is>
      </c>
      <c r="N82" s="7" t="inlineStr">
        <is>
          <t>🖼</t>
        </is>
      </c>
    </row>
    <row r="83">
      <c r="A83" t="n">
        <v>82</v>
      </c>
      <c r="B83" t="inlineStr">
        <is>
          <t>SH-BLD-IKEA-001</t>
        </is>
      </c>
      <c r="C83" t="inlineStr">
        <is>
          <t>IKEA FYRTUR Blackout Smart Roller Blind</t>
        </is>
      </c>
      <c r="D83" t="inlineStr">
        <is>
          <t>Smart Home &amp;amp; IoT</t>
        </is>
      </c>
      <c r="E83" t="inlineStr">
        <is>
          <t>publish</t>
        </is>
      </c>
      <c r="F83" s="8" t="n">
        <v>949</v>
      </c>
      <c r="G83" s="8" t="n">
        <v>1099</v>
      </c>
      <c r="H83" s="9" t="n">
        <v>151.5</v>
      </c>
      <c r="I83" s="10" t="n">
        <v>568.12</v>
      </c>
      <c r="J83" s="10" t="n">
        <v>568.12</v>
      </c>
      <c r="K83" s="10">
        <f>F83-J83</f>
        <v/>
      </c>
      <c r="L83" s="11">
        <f>IF(J83=0,0,(F83-J83)/J83)</f>
        <v/>
      </c>
      <c r="M83" t="inlineStr">
        <is>
          <t>instock</t>
        </is>
      </c>
      <c r="N83" s="12" t="inlineStr">
        <is>
          <t>🖼</t>
        </is>
      </c>
    </row>
    <row r="84">
      <c r="A84" s="2" t="n">
        <v>83</v>
      </c>
      <c r="B84" s="2" t="inlineStr">
        <is>
          <t>SH-BLD-SWBT-001</t>
        </is>
      </c>
      <c r="C84" s="2" t="inlineStr">
        <is>
          <t>SwitchBot Curtain 3</t>
        </is>
      </c>
      <c r="D84" s="2" t="inlineStr">
        <is>
          <t>Smart Home &amp;amp; IoT</t>
        </is>
      </c>
      <c r="E84" s="2" t="inlineStr">
        <is>
          <t>publish</t>
        </is>
      </c>
      <c r="F84" s="3" t="n">
        <v>649</v>
      </c>
      <c r="G84" s="3" t="n">
        <v>649</v>
      </c>
      <c r="H84" s="4" t="n">
        <v>91.7</v>
      </c>
      <c r="I84" s="5" t="n">
        <v>343.88</v>
      </c>
      <c r="J84" s="5" t="n">
        <v>343.88</v>
      </c>
      <c r="K84" s="5">
        <f>F84-J84</f>
        <v/>
      </c>
      <c r="L84" s="6">
        <f>IF(J84=0,0,(F84-J84)/J84)</f>
        <v/>
      </c>
      <c r="M84" s="2" t="inlineStr">
        <is>
          <t>instock</t>
        </is>
      </c>
      <c r="N84" s="7" t="inlineStr">
        <is>
          <t>🖼</t>
        </is>
      </c>
    </row>
    <row r="85">
      <c r="A85" t="n">
        <v>84</v>
      </c>
      <c r="B85" t="inlineStr">
        <is>
          <t>SH-VDB-EUFY-001</t>
        </is>
      </c>
      <c r="C85" t="inlineStr">
        <is>
          <t>Eufy Video Doorbell E340 (Dual Camera)</t>
        </is>
      </c>
      <c r="D85" t="inlineStr">
        <is>
          <t>Smart Home &amp;amp; IoT</t>
        </is>
      </c>
      <c r="E85" t="inlineStr">
        <is>
          <t>publish</t>
        </is>
      </c>
      <c r="F85" s="8" t="n">
        <v>999</v>
      </c>
      <c r="G85" s="8" t="n">
        <v>999</v>
      </c>
      <c r="H85" s="9" t="n">
        <v>159.83</v>
      </c>
      <c r="I85" s="10" t="n">
        <v>599.36</v>
      </c>
      <c r="J85" s="10" t="n">
        <v>599.36</v>
      </c>
      <c r="K85" s="10">
        <f>F85-J85</f>
        <v/>
      </c>
      <c r="L85" s="11">
        <f>IF(J85=0,0,(F85-J85)/J85)</f>
        <v/>
      </c>
      <c r="M85" t="inlineStr">
        <is>
          <t>instock</t>
        </is>
      </c>
      <c r="N85" s="12" t="inlineStr">
        <is>
          <t>🖼</t>
        </is>
      </c>
    </row>
    <row r="86">
      <c r="A86" s="2" t="n">
        <v>85</v>
      </c>
      <c r="B86" s="2" t="inlineStr">
        <is>
          <t>SH-VDB-RING-001</t>
        </is>
      </c>
      <c r="C86" s="2" t="inlineStr">
        <is>
          <t>Ring Battery Doorbell Plus</t>
        </is>
      </c>
      <c r="D86" s="2" t="inlineStr">
        <is>
          <t>Smart Home &amp;amp; IoT</t>
        </is>
      </c>
      <c r="E86" s="2" t="inlineStr">
        <is>
          <t>publish</t>
        </is>
      </c>
      <c r="F86" s="3" t="n">
        <v>999</v>
      </c>
      <c r="G86" s="3" t="n">
        <v>999</v>
      </c>
      <c r="H86" s="4" t="n">
        <v>159.83</v>
      </c>
      <c r="I86" s="5" t="n">
        <v>599.36</v>
      </c>
      <c r="J86" s="5" t="n">
        <v>599.36</v>
      </c>
      <c r="K86" s="5">
        <f>F86-J86</f>
        <v/>
      </c>
      <c r="L86" s="6">
        <f>IF(J86=0,0,(F86-J86)/J86)</f>
        <v/>
      </c>
      <c r="M86" s="2" t="inlineStr">
        <is>
          <t>instock</t>
        </is>
      </c>
      <c r="N86" s="7" t="inlineStr">
        <is>
          <t>🖼</t>
        </is>
      </c>
    </row>
    <row r="87">
      <c r="A87" t="n">
        <v>86</v>
      </c>
      <c r="B87" t="inlineStr">
        <is>
          <t>SH-CAM-RELK-001</t>
        </is>
      </c>
      <c r="C87" t="inlineStr">
        <is>
          <t>Reolink Argus 4 Pro (4K)</t>
        </is>
      </c>
      <c r="D87" t="inlineStr">
        <is>
          <t>Smart Home &amp;amp; IoT</t>
        </is>
      </c>
      <c r="E87" t="inlineStr">
        <is>
          <t>publish</t>
        </is>
      </c>
      <c r="F87" s="8" t="n">
        <v>899</v>
      </c>
      <c r="G87" s="8" t="n">
        <v>1039</v>
      </c>
      <c r="H87" s="9" t="n">
        <v>143.17</v>
      </c>
      <c r="I87" s="10" t="n">
        <v>536.89</v>
      </c>
      <c r="J87" s="10" t="n">
        <v>536.89</v>
      </c>
      <c r="K87" s="10">
        <f>F87-J87</f>
        <v/>
      </c>
      <c r="L87" s="11">
        <f>IF(J87=0,0,(F87-J87)/J87)</f>
        <v/>
      </c>
      <c r="M87" t="inlineStr">
        <is>
          <t>instock</t>
        </is>
      </c>
      <c r="N87" s="12" t="inlineStr">
        <is>
          <t>🖼</t>
        </is>
      </c>
    </row>
    <row r="88">
      <c r="A88" s="2" t="n">
        <v>87</v>
      </c>
      <c r="B88" s="2" t="inlineStr">
        <is>
          <t>SH-CAM-EUFY-001</t>
        </is>
      </c>
      <c r="C88" s="2" t="inlineStr">
        <is>
          <t>Eufy eufyCam 3 (4K + HomeBase 3 Kit)</t>
        </is>
      </c>
      <c r="D88" s="2" t="inlineStr">
        <is>
          <t>Smart Home &amp;amp; IoT</t>
        </is>
      </c>
      <c r="E88" s="2" t="inlineStr">
        <is>
          <t>publish</t>
        </is>
      </c>
      <c r="F88" s="3" t="n">
        <v>1649</v>
      </c>
      <c r="G88" s="3" t="n">
        <v>1649</v>
      </c>
      <c r="H88" s="4" t="n">
        <v>268.17</v>
      </c>
      <c r="I88" s="5" t="n">
        <v>1005.64</v>
      </c>
      <c r="J88" s="5" t="n">
        <v>1005.64</v>
      </c>
      <c r="K88" s="5">
        <f>F88-J88</f>
        <v/>
      </c>
      <c r="L88" s="6">
        <f>IF(J88=0,0,(F88-J88)/J88)</f>
        <v/>
      </c>
      <c r="M88" s="2" t="inlineStr">
        <is>
          <t>instock</t>
        </is>
      </c>
      <c r="N88" s="7" t="inlineStr">
        <is>
          <t>🖼</t>
        </is>
      </c>
    </row>
    <row r="89">
      <c r="A89" t="n">
        <v>88</v>
      </c>
      <c r="B89" t="inlineStr">
        <is>
          <t>SH-CAM-ARLO-001</t>
        </is>
      </c>
      <c r="C89" t="inlineStr">
        <is>
          <t>Arlo Pro 5 2K Spotlight Camera</t>
        </is>
      </c>
      <c r="D89" t="inlineStr">
        <is>
          <t>Smart Home &amp;amp; IoT</t>
        </is>
      </c>
      <c r="E89" t="inlineStr">
        <is>
          <t>publish</t>
        </is>
      </c>
      <c r="F89" s="8" t="n">
        <v>1549</v>
      </c>
      <c r="G89" s="8" t="n">
        <v>1549</v>
      </c>
      <c r="H89" s="9" t="n">
        <v>251.5</v>
      </c>
      <c r="I89" s="10" t="n">
        <v>943.12</v>
      </c>
      <c r="J89" s="10" t="n">
        <v>943.12</v>
      </c>
      <c r="K89" s="10">
        <f>F89-J89</f>
        <v/>
      </c>
      <c r="L89" s="11">
        <f>IF(J89=0,0,(F89-J89)/J89)</f>
        <v/>
      </c>
      <c r="M89" t="inlineStr">
        <is>
          <t>instock</t>
        </is>
      </c>
      <c r="N89" s="12" t="inlineStr">
        <is>
          <t>🖼</t>
        </is>
      </c>
    </row>
    <row r="90">
      <c r="A90" s="2" t="n">
        <v>89</v>
      </c>
      <c r="B90" s="2" t="inlineStr">
        <is>
          <t>SH-CAM-RING-001</t>
        </is>
      </c>
      <c r="C90" s="2" t="inlineStr">
        <is>
          <t>Ring Indoor Cam (2nd Gen)</t>
        </is>
      </c>
      <c r="D90" s="2" t="inlineStr">
        <is>
          <t>Smart Home &amp;amp; IoT</t>
        </is>
      </c>
      <c r="E90" s="2" t="inlineStr">
        <is>
          <t>publish</t>
        </is>
      </c>
      <c r="F90" s="3" t="n">
        <v>479</v>
      </c>
      <c r="G90" s="3" t="n">
        <v>479</v>
      </c>
      <c r="H90" s="4" t="n">
        <v>66.52</v>
      </c>
      <c r="I90" s="5" t="n">
        <v>249.45</v>
      </c>
      <c r="J90" s="5" t="n">
        <v>249.45</v>
      </c>
      <c r="K90" s="5">
        <f>F90-J90</f>
        <v/>
      </c>
      <c r="L90" s="6">
        <f>IF(J90=0,0,(F90-J90)/J90)</f>
        <v/>
      </c>
      <c r="M90" s="2" t="inlineStr">
        <is>
          <t>instock</t>
        </is>
      </c>
      <c r="N90" s="7" t="inlineStr">
        <is>
          <t>🖼</t>
        </is>
      </c>
    </row>
    <row r="91">
      <c r="A91" t="n">
        <v>90</v>
      </c>
      <c r="B91" t="inlineStr">
        <is>
          <t>SH-PLG-MERS-001</t>
        </is>
      </c>
      <c r="C91" t="inlineStr">
        <is>
          <t>Meross Smart Plug Mini MSS110 (HomeKit)</t>
        </is>
      </c>
      <c r="D91" t="inlineStr">
        <is>
          <t>Smart Home &amp;amp; IoT</t>
        </is>
      </c>
      <c r="E91" t="inlineStr">
        <is>
          <t>publish</t>
        </is>
      </c>
      <c r="F91" s="8" t="n">
        <v>159</v>
      </c>
      <c r="G91" s="8" t="n">
        <v>159</v>
      </c>
      <c r="H91" s="9" t="n">
        <v>17.87</v>
      </c>
      <c r="I91" s="10" t="n">
        <v>67.01000000000001</v>
      </c>
      <c r="J91" s="10" t="n">
        <v>67.01000000000001</v>
      </c>
      <c r="K91" s="10">
        <f>F91-J91</f>
        <v/>
      </c>
      <c r="L91" s="11">
        <f>IF(J91=0,0,(F91-J91)/J91)</f>
        <v/>
      </c>
      <c r="M91" t="inlineStr">
        <is>
          <t>instock</t>
        </is>
      </c>
      <c r="N91" s="12" t="inlineStr">
        <is>
          <t>🖼</t>
        </is>
      </c>
    </row>
    <row r="92">
      <c r="A92" s="2" t="n">
        <v>91</v>
      </c>
      <c r="B92" s="2" t="inlineStr">
        <is>
          <t>SH-PLG-TPLK-001</t>
        </is>
      </c>
      <c r="C92" s="2" t="inlineStr">
        <is>
          <t>TP-Link Tapo P125M Smart Plug (Matter, 2-pack)</t>
        </is>
      </c>
      <c r="D92" s="2" t="inlineStr">
        <is>
          <t>Smart Home &amp;amp; IoT</t>
        </is>
      </c>
      <c r="E92" s="2" t="inlineStr">
        <is>
          <t>publish</t>
        </is>
      </c>
      <c r="F92" s="3" t="n">
        <v>149</v>
      </c>
      <c r="G92" s="3" t="n">
        <v>149</v>
      </c>
      <c r="H92" s="4" t="n">
        <v>16.53</v>
      </c>
      <c r="I92" s="5" t="n">
        <v>61.99</v>
      </c>
      <c r="J92" s="5" t="n">
        <v>61.99</v>
      </c>
      <c r="K92" s="5">
        <f>F92-J92</f>
        <v/>
      </c>
      <c r="L92" s="6">
        <f>IF(J92=0,0,(F92-J92)/J92)</f>
        <v/>
      </c>
      <c r="M92" s="2" t="inlineStr">
        <is>
          <t>instock</t>
        </is>
      </c>
      <c r="N92" s="7" t="inlineStr">
        <is>
          <t>🖼</t>
        </is>
      </c>
    </row>
    <row r="93">
      <c r="A93" t="n">
        <v>92</v>
      </c>
      <c r="B93" t="inlineStr">
        <is>
          <t>SH-THR-ECOB-001</t>
        </is>
      </c>
      <c r="C93" t="inlineStr">
        <is>
          <t>Ecobee Smart Thermostat Premium</t>
        </is>
      </c>
      <c r="D93" t="inlineStr">
        <is>
          <t>Smart Home &amp;amp; IoT</t>
        </is>
      </c>
      <c r="E93" t="inlineStr">
        <is>
          <t>publish</t>
        </is>
      </c>
      <c r="F93" s="8" t="n">
        <v>1549</v>
      </c>
      <c r="G93" s="8" t="n">
        <v>1549</v>
      </c>
      <c r="H93" s="9" t="n">
        <v>251.5</v>
      </c>
      <c r="I93" s="10" t="n">
        <v>943.12</v>
      </c>
      <c r="J93" s="10" t="n">
        <v>943.12</v>
      </c>
      <c r="K93" s="10">
        <f>F93-J93</f>
        <v/>
      </c>
      <c r="L93" s="11">
        <f>IF(J93=0,0,(F93-J93)/J93)</f>
        <v/>
      </c>
      <c r="M93" t="inlineStr">
        <is>
          <t>instock</t>
        </is>
      </c>
      <c r="N93" s="12" t="inlineStr">
        <is>
          <t>🖼</t>
        </is>
      </c>
    </row>
    <row r="94">
      <c r="A94" s="2" t="n">
        <v>93</v>
      </c>
      <c r="B94" s="2" t="inlineStr">
        <is>
          <t>SH-THR-NEST-001</t>
        </is>
      </c>
      <c r="C94" s="2" t="inlineStr">
        <is>
          <t>Google Nest Learning Thermostat (4th Gen)</t>
        </is>
      </c>
      <c r="D94" s="2" t="inlineStr">
        <is>
          <t>Smart Home &amp;amp; IoT</t>
        </is>
      </c>
      <c r="E94" s="2" t="inlineStr">
        <is>
          <t>publish</t>
        </is>
      </c>
      <c r="F94" s="3" t="n">
        <v>1699</v>
      </c>
      <c r="G94" s="3" t="n">
        <v>1699</v>
      </c>
      <c r="H94" s="4" t="n">
        <v>276.5</v>
      </c>
      <c r="I94" s="5" t="n">
        <v>1036.88</v>
      </c>
      <c r="J94" s="5" t="n">
        <v>1036.88</v>
      </c>
      <c r="K94" s="5">
        <f>F94-J94</f>
        <v/>
      </c>
      <c r="L94" s="6">
        <f>IF(J94=0,0,(F94-J94)/J94)</f>
        <v/>
      </c>
      <c r="M94" s="2" t="inlineStr">
        <is>
          <t>instock</t>
        </is>
      </c>
      <c r="N94" s="7" t="inlineStr">
        <is>
          <t>🖼</t>
        </is>
      </c>
    </row>
    <row r="95">
      <c r="A95" t="n">
        <v>94</v>
      </c>
      <c r="B95" t="inlineStr">
        <is>
          <t>SH-RVC-ECVX-001</t>
        </is>
      </c>
      <c r="C95" t="inlineStr">
        <is>
          <t>Ecovacs Deebot X9 Pro Omni</t>
        </is>
      </c>
      <c r="D95" t="inlineStr">
        <is>
          <t>Smart Home &amp;amp; IoT</t>
        </is>
      </c>
      <c r="E95" t="inlineStr">
        <is>
          <t>publish</t>
        </is>
      </c>
      <c r="F95" s="8" t="n">
        <v>5699</v>
      </c>
      <c r="G95" s="8" t="n">
        <v>5699</v>
      </c>
      <c r="H95" s="9" t="n">
        <v>1105.98</v>
      </c>
      <c r="I95" s="10" t="n">
        <v>4147.43</v>
      </c>
      <c r="J95" s="10" t="n">
        <v>4147.43</v>
      </c>
      <c r="K95" s="10">
        <f>F95-J95</f>
        <v/>
      </c>
      <c r="L95" s="11">
        <f>IF(J95=0,0,(F95-J95)/J95)</f>
        <v/>
      </c>
      <c r="M95" t="inlineStr">
        <is>
          <t>instock</t>
        </is>
      </c>
      <c r="N95" s="12" t="inlineStr">
        <is>
          <t>🖼</t>
        </is>
      </c>
    </row>
    <row r="96">
      <c r="A96" s="2" t="n">
        <v>95</v>
      </c>
      <c r="B96" s="2" t="inlineStr">
        <is>
          <t>SH-RVC-DREM-001</t>
        </is>
      </c>
      <c r="C96" s="2" t="inlineStr">
        <is>
          <t>Dreame L50 Ultra</t>
        </is>
      </c>
      <c r="D96" s="2" t="inlineStr">
        <is>
          <t>Smart Home &amp;amp; IoT</t>
        </is>
      </c>
      <c r="E96" s="2" t="inlineStr">
        <is>
          <t>publish</t>
        </is>
      </c>
      <c r="F96" s="3" t="n">
        <v>4599</v>
      </c>
      <c r="G96" s="3" t="n">
        <v>4599</v>
      </c>
      <c r="H96" s="4" t="n">
        <v>808.71</v>
      </c>
      <c r="I96" s="5" t="n">
        <v>3032.66</v>
      </c>
      <c r="J96" s="5" t="n">
        <v>3032.66</v>
      </c>
      <c r="K96" s="5">
        <f>F96-J96</f>
        <v/>
      </c>
      <c r="L96" s="6">
        <f>IF(J96=0,0,(F96-J96)/J96)</f>
        <v/>
      </c>
      <c r="M96" s="2" t="inlineStr">
        <is>
          <t>instock</t>
        </is>
      </c>
      <c r="N96" s="7" t="inlineStr">
        <is>
          <t>🖼</t>
        </is>
      </c>
    </row>
    <row r="97">
      <c r="A97" t="n">
        <v>96</v>
      </c>
      <c r="B97" t="inlineStr">
        <is>
          <t>SH-RVC-RBRC-001</t>
        </is>
      </c>
      <c r="C97" t="inlineStr">
        <is>
          <t>Roborock Qrevo CurvX</t>
        </is>
      </c>
      <c r="D97" t="inlineStr">
        <is>
          <t>Smart Home &amp;amp; IoT</t>
        </is>
      </c>
      <c r="E97" t="inlineStr">
        <is>
          <t>publish</t>
        </is>
      </c>
      <c r="F97" s="8" t="n">
        <v>4599</v>
      </c>
      <c r="G97" s="8" t="n">
        <v>4599</v>
      </c>
      <c r="H97" s="9" t="n">
        <v>808.71</v>
      </c>
      <c r="I97" s="10" t="n">
        <v>3032.66</v>
      </c>
      <c r="J97" s="10" t="n">
        <v>3032.66</v>
      </c>
      <c r="K97" s="10">
        <f>F97-J97</f>
        <v/>
      </c>
      <c r="L97" s="11">
        <f>IF(J97=0,0,(F97-J97)/J97)</f>
        <v/>
      </c>
      <c r="M97" t="inlineStr">
        <is>
          <t>instock</t>
        </is>
      </c>
      <c r="N97" s="12" t="inlineStr">
        <is>
          <t>🖼</t>
        </is>
      </c>
    </row>
    <row r="98">
      <c r="A98" s="2" t="n">
        <v>97</v>
      </c>
      <c r="B98" s="2" t="inlineStr">
        <is>
          <t>SH-LGT-GOVE-002</t>
        </is>
      </c>
      <c r="C98" s="2" t="inlineStr">
        <is>
          <t>Govee Glide Hexagon Light Panels Ultra (10-pack)</t>
        </is>
      </c>
      <c r="D98" s="2" t="inlineStr">
        <is>
          <t>Smart Home &amp;amp; IoT</t>
        </is>
      </c>
      <c r="E98" s="2" t="inlineStr">
        <is>
          <t>publish</t>
        </is>
      </c>
      <c r="F98" s="3" t="n">
        <v>1299</v>
      </c>
      <c r="G98" s="3" t="n">
        <v>1499</v>
      </c>
      <c r="H98" s="4" t="n">
        <v>209.83</v>
      </c>
      <c r="I98" s="5" t="n">
        <v>786.86</v>
      </c>
      <c r="J98" s="5" t="n">
        <v>786.86</v>
      </c>
      <c r="K98" s="5">
        <f>F98-J98</f>
        <v/>
      </c>
      <c r="L98" s="6">
        <f>IF(J98=0,0,(F98-J98)/J98)</f>
        <v/>
      </c>
      <c r="M98" s="2" t="inlineStr">
        <is>
          <t>instock</t>
        </is>
      </c>
      <c r="N98" s="7" t="inlineStr">
        <is>
          <t>🖼</t>
        </is>
      </c>
    </row>
    <row r="99">
      <c r="A99" t="n">
        <v>98</v>
      </c>
      <c r="B99" t="inlineStr">
        <is>
          <t>SH-LGT-GOVE-001</t>
        </is>
      </c>
      <c r="C99" t="inlineStr">
        <is>
          <t>Govee RGBIC LED Strip M1 (5m)</t>
        </is>
      </c>
      <c r="D99" t="inlineStr">
        <is>
          <t>Smart Home &amp;amp; IoT</t>
        </is>
      </c>
      <c r="E99" t="inlineStr">
        <is>
          <t>publish</t>
        </is>
      </c>
      <c r="F99" s="8" t="n">
        <v>399</v>
      </c>
      <c r="G99" s="8" t="n">
        <v>459</v>
      </c>
      <c r="H99" s="9" t="n">
        <v>54.67</v>
      </c>
      <c r="I99" s="10" t="n">
        <v>205.01</v>
      </c>
      <c r="J99" s="10" t="n">
        <v>205.01</v>
      </c>
      <c r="K99" s="10">
        <f>F99-J99</f>
        <v/>
      </c>
      <c r="L99" s="11">
        <f>IF(J99=0,0,(F99-J99)/J99)</f>
        <v/>
      </c>
      <c r="M99" t="inlineStr">
        <is>
          <t>instock</t>
        </is>
      </c>
      <c r="N99" s="12" t="inlineStr">
        <is>
          <t>🖼</t>
        </is>
      </c>
    </row>
    <row r="100">
      <c r="A100" s="2" t="n">
        <v>99</v>
      </c>
      <c r="B100" s="2" t="inlineStr">
        <is>
          <t>SH-LGT-LIFX-001</t>
        </is>
      </c>
      <c r="C100" s="2" t="inlineStr">
        <is>
          <t>LIFX Color A19 1100lm Bulb</t>
        </is>
      </c>
      <c r="D100" s="2" t="inlineStr">
        <is>
          <t>Smart Home &amp;amp; IoT</t>
        </is>
      </c>
      <c r="E100" s="2" t="inlineStr">
        <is>
          <t>publish</t>
        </is>
      </c>
      <c r="F100" s="3" t="n">
        <v>279</v>
      </c>
      <c r="G100" s="3" t="n">
        <v>329</v>
      </c>
      <c r="H100" s="4" t="n">
        <v>36.89</v>
      </c>
      <c r="I100" s="5" t="n">
        <v>138.34</v>
      </c>
      <c r="J100" s="5" t="n">
        <v>138.34</v>
      </c>
      <c r="K100" s="5">
        <f>F100-J100</f>
        <v/>
      </c>
      <c r="L100" s="6">
        <f>IF(J100=0,0,(F100-J100)/J100)</f>
        <v/>
      </c>
      <c r="M100" s="2" t="inlineStr">
        <is>
          <t>instock</t>
        </is>
      </c>
      <c r="N100" s="7" t="inlineStr">
        <is>
          <t>🖼</t>
        </is>
      </c>
    </row>
    <row r="101">
      <c r="A101" t="n">
        <v>100</v>
      </c>
      <c r="B101" t="inlineStr">
        <is>
          <t>SH-LGT-PHUE-002</t>
        </is>
      </c>
      <c r="C101" t="inlineStr">
        <is>
          <t>Philips Hue Gradient Lightstrip (2m)</t>
        </is>
      </c>
      <c r="D101" t="inlineStr">
        <is>
          <t>Smart Home &amp;amp; IoT</t>
        </is>
      </c>
      <c r="E101" t="inlineStr">
        <is>
          <t>publish</t>
        </is>
      </c>
      <c r="F101" s="8" t="n">
        <v>1149</v>
      </c>
      <c r="G101" s="8" t="n">
        <v>1149</v>
      </c>
      <c r="H101" s="9" t="n">
        <v>184.83</v>
      </c>
      <c r="I101" s="10" t="n">
        <v>693.11</v>
      </c>
      <c r="J101" s="10" t="n">
        <v>693.11</v>
      </c>
      <c r="K101" s="10">
        <f>F101-J101</f>
        <v/>
      </c>
      <c r="L101" s="11">
        <f>IF(J101=0,0,(F101-J101)/J101)</f>
        <v/>
      </c>
      <c r="M101" t="inlineStr">
        <is>
          <t>instock</t>
        </is>
      </c>
      <c r="N101" s="12" t="inlineStr">
        <is>
          <t>🖼</t>
        </is>
      </c>
    </row>
    <row r="102">
      <c r="A102" s="2" t="n">
        <v>101</v>
      </c>
      <c r="B102" s="2" t="inlineStr">
        <is>
          <t>SH-LGT-PHUE-001</t>
        </is>
      </c>
      <c r="C102" s="2" t="inlineStr">
        <is>
          <t>Philips Hue Starter Kit (3x A19 + Bridge)</t>
        </is>
      </c>
      <c r="D102" s="2" t="inlineStr">
        <is>
          <t>Smart Home &amp;amp; IoT</t>
        </is>
      </c>
      <c r="E102" s="2" t="inlineStr">
        <is>
          <t>publish</t>
        </is>
      </c>
      <c r="F102" s="3" t="n">
        <v>899</v>
      </c>
      <c r="G102" s="3" t="n">
        <v>899</v>
      </c>
      <c r="H102" s="4" t="n">
        <v>143.17</v>
      </c>
      <c r="I102" s="5" t="n">
        <v>536.89</v>
      </c>
      <c r="J102" s="5" t="n">
        <v>536.89</v>
      </c>
      <c r="K102" s="5">
        <f>F102-J102</f>
        <v/>
      </c>
      <c r="L102" s="6">
        <f>IF(J102=0,0,(F102-J102)/J102)</f>
        <v/>
      </c>
      <c r="M102" s="2" t="inlineStr">
        <is>
          <t>instock</t>
        </is>
      </c>
      <c r="N102" s="7" t="inlineStr">
        <is>
          <t>🖼</t>
        </is>
      </c>
    </row>
    <row r="103">
      <c r="A103" t="n">
        <v>102</v>
      </c>
      <c r="B103" t="inlineStr">
        <is>
          <t>SH-LCK-AUGS-001</t>
        </is>
      </c>
      <c r="C103" t="inlineStr">
        <is>
          <t>August Wi-Fi Smart Lock (4th Gen)</t>
        </is>
      </c>
      <c r="D103" t="inlineStr">
        <is>
          <t>Smart Home &amp;amp; IoT</t>
        </is>
      </c>
      <c r="E103" t="inlineStr">
        <is>
          <t>publish</t>
        </is>
      </c>
      <c r="F103" s="8" t="n">
        <v>1299</v>
      </c>
      <c r="G103" s="8" t="n">
        <v>1499</v>
      </c>
      <c r="H103" s="9" t="n">
        <v>209.83</v>
      </c>
      <c r="I103" s="10" t="n">
        <v>786.86</v>
      </c>
      <c r="J103" s="10" t="n">
        <v>786.86</v>
      </c>
      <c r="K103" s="10">
        <f>F103-J103</f>
        <v/>
      </c>
      <c r="L103" s="11">
        <f>IF(J103=0,0,(F103-J103)/J103)</f>
        <v/>
      </c>
      <c r="M103" t="inlineStr">
        <is>
          <t>instock</t>
        </is>
      </c>
      <c r="N103" s="12" t="inlineStr">
        <is>
          <t>🖼</t>
        </is>
      </c>
    </row>
    <row r="104">
      <c r="A104" s="2" t="n">
        <v>103</v>
      </c>
      <c r="B104" s="2" t="inlineStr">
        <is>
          <t>SH-LCK-AQRA-001</t>
        </is>
      </c>
      <c r="C104" s="2" t="inlineStr">
        <is>
          <t>Aqara Smart Lock U200</t>
        </is>
      </c>
      <c r="D104" s="2" t="inlineStr">
        <is>
          <t>Smart Home &amp;amp; IoT</t>
        </is>
      </c>
      <c r="E104" s="2" t="inlineStr">
        <is>
          <t>publish</t>
        </is>
      </c>
      <c r="F104" s="3" t="n">
        <v>1249</v>
      </c>
      <c r="G104" s="3" t="n">
        <v>1439</v>
      </c>
      <c r="H104" s="4" t="n">
        <v>201.5</v>
      </c>
      <c r="I104" s="5" t="n">
        <v>755.62</v>
      </c>
      <c r="J104" s="5" t="n">
        <v>755.62</v>
      </c>
      <c r="K104" s="5">
        <f>F104-J104</f>
        <v/>
      </c>
      <c r="L104" s="6">
        <f>IF(J104=0,0,(F104-J104)/J104)</f>
        <v/>
      </c>
      <c r="M104" s="2" t="inlineStr">
        <is>
          <t>instock</t>
        </is>
      </c>
      <c r="N104" s="7" t="inlineStr">
        <is>
          <t>🖼</t>
        </is>
      </c>
    </row>
    <row r="105">
      <c r="A105" t="n">
        <v>104</v>
      </c>
      <c r="B105" t="inlineStr">
        <is>
          <t>SH-LCK-YALE-001</t>
        </is>
      </c>
      <c r="C105" t="inlineStr">
        <is>
          <t>Yale Assure Lock 2 Wi-Fi</t>
        </is>
      </c>
      <c r="D105" t="inlineStr">
        <is>
          <t>Smart Home &amp;amp; IoT</t>
        </is>
      </c>
      <c r="E105" t="inlineStr">
        <is>
          <t>publish</t>
        </is>
      </c>
      <c r="F105" s="8" t="n">
        <v>1549</v>
      </c>
      <c r="G105" s="8" t="n">
        <v>1549</v>
      </c>
      <c r="H105" s="9" t="n">
        <v>251.5</v>
      </c>
      <c r="I105" s="10" t="n">
        <v>943.12</v>
      </c>
      <c r="J105" s="10" t="n">
        <v>943.12</v>
      </c>
      <c r="K105" s="10">
        <f>F105-J105</f>
        <v/>
      </c>
      <c r="L105" s="11">
        <f>IF(J105=0,0,(F105-J105)/J105)</f>
        <v/>
      </c>
      <c r="M105" t="inlineStr">
        <is>
          <t>instock</t>
        </is>
      </c>
      <c r="N105" s="12" t="inlineStr">
        <is>
          <t>🖼</t>
        </is>
      </c>
    </row>
    <row r="106">
      <c r="A106" s="2" t="n">
        <v>105</v>
      </c>
      <c r="B106" s="2" t="inlineStr">
        <is>
          <t>SH-DSP-GGLE-001</t>
        </is>
      </c>
      <c r="C106" s="2" t="inlineStr">
        <is>
          <t>Google Nest Hub (2nd Gen)</t>
        </is>
      </c>
      <c r="D106" s="2" t="inlineStr">
        <is>
          <t>Smart Home &amp;amp; IoT</t>
        </is>
      </c>
      <c r="E106" s="2" t="inlineStr">
        <is>
          <t>publish</t>
        </is>
      </c>
      <c r="F106" s="3" t="n">
        <v>699</v>
      </c>
      <c r="G106" s="3" t="n">
        <v>699</v>
      </c>
      <c r="H106" s="4" t="n">
        <v>99.11</v>
      </c>
      <c r="I106" s="5" t="n">
        <v>371.66</v>
      </c>
      <c r="J106" s="5" t="n">
        <v>371.66</v>
      </c>
      <c r="K106" s="5">
        <f>F106-J106</f>
        <v/>
      </c>
      <c r="L106" s="6">
        <f>IF(J106=0,0,(F106-J106)/J106)</f>
        <v/>
      </c>
      <c r="M106" s="2" t="inlineStr">
        <is>
          <t>instock</t>
        </is>
      </c>
      <c r="N106" s="7" t="inlineStr">
        <is>
          <t>🖼</t>
        </is>
      </c>
    </row>
    <row r="107">
      <c r="A107" t="n">
        <v>106</v>
      </c>
      <c r="B107" t="inlineStr">
        <is>
          <t>SH-DSP-AMZN-001</t>
        </is>
      </c>
      <c r="C107" t="inlineStr">
        <is>
          <t>Amazon Echo Show 8 (3rd Gen)</t>
        </is>
      </c>
      <c r="D107" t="inlineStr">
        <is>
          <t>Smart Home &amp;amp; IoT</t>
        </is>
      </c>
      <c r="E107" t="inlineStr">
        <is>
          <t>publish</t>
        </is>
      </c>
      <c r="F107" s="8" t="n">
        <v>999</v>
      </c>
      <c r="G107" s="8" t="n">
        <v>999</v>
      </c>
      <c r="H107" s="9" t="n">
        <v>159.83</v>
      </c>
      <c r="I107" s="10" t="n">
        <v>599.36</v>
      </c>
      <c r="J107" s="10" t="n">
        <v>599.36</v>
      </c>
      <c r="K107" s="10">
        <f>F107-J107</f>
        <v/>
      </c>
      <c r="L107" s="11">
        <f>IF(J107=0,0,(F107-J107)/J107)</f>
        <v/>
      </c>
      <c r="M107" t="inlineStr">
        <is>
          <t>instock</t>
        </is>
      </c>
      <c r="N107" s="12" t="inlineStr">
        <is>
          <t>🖼</t>
        </is>
      </c>
    </row>
    <row r="108">
      <c r="A108" s="2" t="n">
        <v>107</v>
      </c>
      <c r="B108" s="2" t="inlineStr">
        <is>
          <t>SH-SPK-AMZN-002</t>
        </is>
      </c>
      <c r="C108" s="2" t="inlineStr">
        <is>
          <t>Amazon Echo Dot (5th Gen)</t>
        </is>
      </c>
      <c r="D108" s="2" t="inlineStr">
        <is>
          <t>Smart Home &amp;amp; IoT</t>
        </is>
      </c>
      <c r="E108" s="2" t="inlineStr">
        <is>
          <t>publish</t>
        </is>
      </c>
      <c r="F108" s="3" t="n">
        <v>399</v>
      </c>
      <c r="G108" s="3" t="n">
        <v>459</v>
      </c>
      <c r="H108" s="4" t="n">
        <v>54.67</v>
      </c>
      <c r="I108" s="5" t="n">
        <v>205.01</v>
      </c>
      <c r="J108" s="5" t="n">
        <v>205.01</v>
      </c>
      <c r="K108" s="5">
        <f>F108-J108</f>
        <v/>
      </c>
      <c r="L108" s="6">
        <f>IF(J108=0,0,(F108-J108)/J108)</f>
        <v/>
      </c>
      <c r="M108" s="2" t="inlineStr">
        <is>
          <t>instock</t>
        </is>
      </c>
      <c r="N108" s="7" t="inlineStr">
        <is>
          <t>🖼</t>
        </is>
      </c>
    </row>
    <row r="109">
      <c r="A109" t="n">
        <v>108</v>
      </c>
      <c r="B109" t="inlineStr">
        <is>
          <t>SH-SPK-GGLE-001</t>
        </is>
      </c>
      <c r="C109" t="inlineStr">
        <is>
          <t>Google Nest Audio</t>
        </is>
      </c>
      <c r="D109" t="inlineStr">
        <is>
          <t>Smart Home &amp;amp; IoT</t>
        </is>
      </c>
      <c r="E109" t="inlineStr">
        <is>
          <t>publish</t>
        </is>
      </c>
      <c r="F109" s="8" t="n">
        <v>699</v>
      </c>
      <c r="G109" s="8" t="n">
        <v>809</v>
      </c>
      <c r="H109" s="9" t="n">
        <v>99.11</v>
      </c>
      <c r="I109" s="10" t="n">
        <v>371.66</v>
      </c>
      <c r="J109" s="10" t="n">
        <v>371.66</v>
      </c>
      <c r="K109" s="10">
        <f>F109-J109</f>
        <v/>
      </c>
      <c r="L109" s="11">
        <f>IF(J109=0,0,(F109-J109)/J109)</f>
        <v/>
      </c>
      <c r="M109" t="inlineStr">
        <is>
          <t>instock</t>
        </is>
      </c>
      <c r="N109" s="12" t="inlineStr">
        <is>
          <t>🖼</t>
        </is>
      </c>
    </row>
    <row r="110">
      <c r="A110" s="2" t="n">
        <v>109</v>
      </c>
      <c r="B110" s="2" t="inlineStr">
        <is>
          <t>SH-SPK-APPL-001</t>
        </is>
      </c>
      <c r="C110" s="2" t="inlineStr">
        <is>
          <t>Apple HomePod Mini</t>
        </is>
      </c>
      <c r="D110" s="2" t="inlineStr">
        <is>
          <t>Smart Home &amp;amp; IoT</t>
        </is>
      </c>
      <c r="E110" s="2" t="inlineStr">
        <is>
          <t>publish</t>
        </is>
      </c>
      <c r="F110" s="3" t="n">
        <v>699</v>
      </c>
      <c r="G110" s="3" t="n">
        <v>699</v>
      </c>
      <c r="H110" s="4" t="n">
        <v>99.11</v>
      </c>
      <c r="I110" s="5" t="n">
        <v>371.66</v>
      </c>
      <c r="J110" s="5" t="n">
        <v>371.66</v>
      </c>
      <c r="K110" s="5">
        <f>F110-J110</f>
        <v/>
      </c>
      <c r="L110" s="6">
        <f>IF(J110=0,0,(F110-J110)/J110)</f>
        <v/>
      </c>
      <c r="M110" s="2" t="inlineStr">
        <is>
          <t>instock</t>
        </is>
      </c>
      <c r="N110" s="7" t="inlineStr">
        <is>
          <t>🖼</t>
        </is>
      </c>
    </row>
    <row r="111">
      <c r="A111" t="n">
        <v>110</v>
      </c>
      <c r="B111" t="inlineStr">
        <is>
          <t>SH-SPK-AMZN-001</t>
        </is>
      </c>
      <c r="C111" t="inlineStr">
        <is>
          <t>Amazon Echo (4th Gen)</t>
        </is>
      </c>
      <c r="D111" t="inlineStr">
        <is>
          <t>Smart Home &amp;amp; IoT</t>
        </is>
      </c>
      <c r="E111" t="inlineStr">
        <is>
          <t>publish</t>
        </is>
      </c>
      <c r="F111" s="8" t="n">
        <v>699</v>
      </c>
      <c r="G111" s="8" t="n">
        <v>699</v>
      </c>
      <c r="H111" s="9" t="n">
        <v>99.11</v>
      </c>
      <c r="I111" s="10" t="n">
        <v>371.66</v>
      </c>
      <c r="J111" s="10" t="n">
        <v>371.66</v>
      </c>
      <c r="K111" s="10">
        <f>F111-J111</f>
        <v/>
      </c>
      <c r="L111" s="11">
        <f>IF(J111=0,0,(F111-J111)/J111)</f>
        <v/>
      </c>
      <c r="M111" t="inlineStr">
        <is>
          <t>instock</t>
        </is>
      </c>
      <c r="N111" s="12" t="inlineStr">
        <is>
          <t>🖼</t>
        </is>
      </c>
    </row>
    <row r="112">
      <c r="A112" s="2" t="n">
        <v>111</v>
      </c>
      <c r="B112" s="2" t="inlineStr">
        <is>
          <t>NG-SEC-007</t>
        </is>
      </c>
      <c r="C112" s="2" t="inlineStr">
        <is>
          <t>Eufy Video Doorbell S330 - Dual Camera Smart Doorbell (2K + Package Cam)</t>
        </is>
      </c>
      <c r="D112" s="2" t="inlineStr">
        <is>
          <t>Security &amp;amp; Surveillance</t>
        </is>
      </c>
      <c r="E112" s="2" t="inlineStr">
        <is>
          <t>publish</t>
        </is>
      </c>
      <c r="F112" s="3" t="n">
        <v>1449</v>
      </c>
      <c r="G112" s="3" t="n">
        <v>1449</v>
      </c>
      <c r="H112" s="4" t="n">
        <v>234.83</v>
      </c>
      <c r="I112" s="5" t="n">
        <v>880.61</v>
      </c>
      <c r="J112" s="5" t="n">
        <v>880.61</v>
      </c>
      <c r="K112" s="5">
        <f>F112-J112</f>
        <v/>
      </c>
      <c r="L112" s="6">
        <f>IF(J112=0,0,(F112-J112)/J112)</f>
        <v/>
      </c>
      <c r="M112" s="2" t="inlineStr">
        <is>
          <t>instock</t>
        </is>
      </c>
      <c r="N112" s="7" t="inlineStr">
        <is>
          <t>🖼</t>
        </is>
      </c>
    </row>
    <row r="113">
      <c r="A113" t="n">
        <v>112</v>
      </c>
      <c r="B113" t="inlineStr">
        <is>
          <t>NG-SEC-006</t>
        </is>
      </c>
      <c r="C113" t="inlineStr">
        <is>
          <t>Ajax Hub 2 Plus - Professional Wireless Smart Alarm System</t>
        </is>
      </c>
      <c r="D113" t="inlineStr">
        <is>
          <t>Security &amp;amp; Surveillance</t>
        </is>
      </c>
      <c r="E113" t="inlineStr">
        <is>
          <t>publish</t>
        </is>
      </c>
      <c r="F113" s="8" t="n">
        <v>2499</v>
      </c>
      <c r="G113" s="8" t="n">
        <v>2499</v>
      </c>
      <c r="H113" s="9" t="n">
        <v>435.38</v>
      </c>
      <c r="I113" s="10" t="n">
        <v>1632.67</v>
      </c>
      <c r="J113" s="10" t="n">
        <v>1632.67</v>
      </c>
      <c r="K113" s="10">
        <f>F113-J113</f>
        <v/>
      </c>
      <c r="L113" s="11">
        <f>IF(J113=0,0,(F113-J113)/J113)</f>
        <v/>
      </c>
      <c r="M113" t="inlineStr">
        <is>
          <t>instock</t>
        </is>
      </c>
      <c r="N113" s="12" t="inlineStr">
        <is>
          <t>🖼</t>
        </is>
      </c>
    </row>
    <row r="114">
      <c r="A114" s="2" t="n">
        <v>113</v>
      </c>
      <c r="B114" s="2" t="inlineStr">
        <is>
          <t>NG-SEC-005</t>
        </is>
      </c>
      <c r="C114" s="2" t="inlineStr">
        <is>
          <t>Reolink 16-Channel PoE NVR (RLN16-410) - 4K Network Video Recorder</t>
        </is>
      </c>
      <c r="D114" s="2" t="inlineStr">
        <is>
          <t>Security &amp;amp; Surveillance</t>
        </is>
      </c>
      <c r="E114" s="2" t="inlineStr">
        <is>
          <t>publish</t>
        </is>
      </c>
      <c r="F114" s="3" t="n">
        <v>1599</v>
      </c>
      <c r="G114" s="3" t="n">
        <v>1599</v>
      </c>
      <c r="H114" s="4" t="n">
        <v>259.83</v>
      </c>
      <c r="I114" s="5" t="n">
        <v>974.36</v>
      </c>
      <c r="J114" s="5" t="n">
        <v>974.36</v>
      </c>
      <c r="K114" s="5">
        <f>F114-J114</f>
        <v/>
      </c>
      <c r="L114" s="6">
        <f>IF(J114=0,0,(F114-J114)/J114)</f>
        <v/>
      </c>
      <c r="M114" s="2" t="inlineStr">
        <is>
          <t>instock</t>
        </is>
      </c>
      <c r="N114" s="7" t="inlineStr">
        <is>
          <t>🖼</t>
        </is>
      </c>
    </row>
    <row r="115">
      <c r="A115" t="n">
        <v>114</v>
      </c>
      <c r="B115" t="inlineStr">
        <is>
          <t>NG-SEC-004</t>
        </is>
      </c>
      <c r="C115" t="inlineStr">
        <is>
          <t>Ubiquiti UniFi Protect G4 Doorbell Pro - 5MP Smart Doorbell with Fingerprint Reader</t>
        </is>
      </c>
      <c r="D115" t="inlineStr">
        <is>
          <t>Security &amp;amp; Surveillance</t>
        </is>
      </c>
      <c r="E115" t="inlineStr">
        <is>
          <t>publish</t>
        </is>
      </c>
      <c r="F115" s="8" t="n">
        <v>2299</v>
      </c>
      <c r="G115" s="8" t="n">
        <v>2299</v>
      </c>
      <c r="H115" s="9" t="n">
        <v>399.82</v>
      </c>
      <c r="I115" s="10" t="n">
        <v>1499.33</v>
      </c>
      <c r="J115" s="10" t="n">
        <v>1499.33</v>
      </c>
      <c r="K115" s="10">
        <f>F115-J115</f>
        <v/>
      </c>
      <c r="L115" s="11">
        <f>IF(J115=0,0,(F115-J115)/J115)</f>
        <v/>
      </c>
      <c r="M115" t="inlineStr">
        <is>
          <t>instock</t>
        </is>
      </c>
      <c r="N115" s="12" t="inlineStr">
        <is>
          <t>🖼</t>
        </is>
      </c>
    </row>
    <row r="116">
      <c r="A116" s="2" t="n">
        <v>115</v>
      </c>
      <c r="B116" s="2" t="inlineStr">
        <is>
          <t>NG-SEC-003</t>
        </is>
      </c>
      <c r="C116" s="2" t="inlineStr">
        <is>
          <t>Hikvision DS-2CD2143G2-I - 4MP AcuSense Dome Camera</t>
        </is>
      </c>
      <c r="D116" s="2" t="inlineStr">
        <is>
          <t>Security &amp;amp; Surveillance</t>
        </is>
      </c>
      <c r="E116" s="2" t="inlineStr">
        <is>
          <t>publish</t>
        </is>
      </c>
      <c r="F116" s="3" t="n">
        <v>749</v>
      </c>
      <c r="G116" s="3" t="n">
        <v>749</v>
      </c>
      <c r="H116" s="4" t="n">
        <v>118.17</v>
      </c>
      <c r="I116" s="5" t="n">
        <v>443.14</v>
      </c>
      <c r="J116" s="5" t="n">
        <v>443.14</v>
      </c>
      <c r="K116" s="5">
        <f>F116-J116</f>
        <v/>
      </c>
      <c r="L116" s="6">
        <f>IF(J116=0,0,(F116-J116)/J116)</f>
        <v/>
      </c>
      <c r="M116" s="2" t="inlineStr">
        <is>
          <t>instock</t>
        </is>
      </c>
      <c r="N116" s="7" t="inlineStr">
        <is>
          <t>🖼</t>
        </is>
      </c>
    </row>
    <row r="117">
      <c r="A117" t="n">
        <v>116</v>
      </c>
      <c r="B117" t="inlineStr">
        <is>
          <t>NG-SEC-002</t>
        </is>
      </c>
      <c r="C117" t="inlineStr">
        <is>
          <t>Reolink Argus 4 Pro - Solar-Powered Wireless 4K Security Camera</t>
        </is>
      </c>
      <c r="D117" t="inlineStr">
        <is>
          <t>Security &amp;amp; Surveillance</t>
        </is>
      </c>
      <c r="E117" t="inlineStr">
        <is>
          <t>publish</t>
        </is>
      </c>
      <c r="F117" s="8" t="n">
        <v>1199</v>
      </c>
      <c r="G117" s="8" t="n">
        <v>1199</v>
      </c>
      <c r="H117" s="9" t="n">
        <v>193.17</v>
      </c>
      <c r="I117" s="10" t="n">
        <v>724.39</v>
      </c>
      <c r="J117" s="10" t="n">
        <v>724.39</v>
      </c>
      <c r="K117" s="10">
        <f>F117-J117</f>
        <v/>
      </c>
      <c r="L117" s="11">
        <f>IF(J117=0,0,(F117-J117)/J117)</f>
        <v/>
      </c>
      <c r="M117" t="inlineStr">
        <is>
          <t>instock</t>
        </is>
      </c>
      <c r="N117" s="12" t="inlineStr">
        <is>
          <t>🖼</t>
        </is>
      </c>
    </row>
    <row r="118">
      <c r="A118" s="2" t="n">
        <v>117</v>
      </c>
      <c r="B118" s="2" t="inlineStr">
        <is>
          <t>NG-SEC-001</t>
        </is>
      </c>
      <c r="C118" s="2" t="inlineStr">
        <is>
          <t>Reolink RLC-810A - 4K PoE AI Security Camera</t>
        </is>
      </c>
      <c r="D118" s="2" t="inlineStr">
        <is>
          <t>Security &amp;amp; Surveillance</t>
        </is>
      </c>
      <c r="E118" s="2" t="inlineStr">
        <is>
          <t>publish</t>
        </is>
      </c>
      <c r="F118" s="3" t="n">
        <v>549</v>
      </c>
      <c r="G118" s="3" t="n">
        <v>549</v>
      </c>
      <c r="H118" s="4" t="n">
        <v>76.89</v>
      </c>
      <c r="I118" s="5" t="n">
        <v>288.34</v>
      </c>
      <c r="J118" s="5" t="n">
        <v>288.34</v>
      </c>
      <c r="K118" s="5">
        <f>F118-J118</f>
        <v/>
      </c>
      <c r="L118" s="6">
        <f>IF(J118=0,0,(F118-J118)/J118)</f>
        <v/>
      </c>
      <c r="M118" s="2" t="inlineStr">
        <is>
          <t>instock</t>
        </is>
      </c>
      <c r="N118" s="7" t="inlineStr">
        <is>
          <t>🖼</t>
        </is>
      </c>
    </row>
    <row r="119">
      <c r="A119" t="n">
        <v>118</v>
      </c>
      <c r="B119" t="inlineStr">
        <is>
          <t>NG-DRN-008</t>
        </is>
      </c>
      <c r="C119" t="inlineStr">
        <is>
          <t>DJI Pocket 3 - Pocket-Sized Gimbal Camera with 1-Inch Sensor</t>
        </is>
      </c>
      <c r="D119" t="inlineStr">
        <is>
          <t>Drones &amp;amp; Robotics</t>
        </is>
      </c>
      <c r="E119" t="inlineStr">
        <is>
          <t>publish</t>
        </is>
      </c>
      <c r="F119" s="8" t="n">
        <v>2999</v>
      </c>
      <c r="G119" s="8" t="n">
        <v>3449</v>
      </c>
      <c r="H119" s="9" t="n">
        <v>524.27</v>
      </c>
      <c r="I119" s="10" t="n">
        <v>1966.01</v>
      </c>
      <c r="J119" s="10" t="n">
        <v>1966.01</v>
      </c>
      <c r="K119" s="10">
        <f>F119-J119</f>
        <v/>
      </c>
      <c r="L119" s="11">
        <f>IF(J119=0,0,(F119-J119)/J119)</f>
        <v/>
      </c>
      <c r="M119" t="inlineStr">
        <is>
          <t>instock</t>
        </is>
      </c>
      <c r="N119" s="12" t="inlineStr">
        <is>
          <t>🖼</t>
        </is>
      </c>
    </row>
    <row r="120">
      <c r="A120" s="2" t="n">
        <v>119</v>
      </c>
      <c r="B120" s="2" t="inlineStr">
        <is>
          <t>NG-DRN-007</t>
        </is>
      </c>
      <c r="C120" s="2" t="inlineStr">
        <is>
          <t>Roborock S8 MaxV Ultra - Smart Robot Vacuum with 10,000Pa Suction</t>
        </is>
      </c>
      <c r="D120" s="2" t="inlineStr">
        <is>
          <t>Drones &amp;amp; Robotics</t>
        </is>
      </c>
      <c r="E120" s="2" t="inlineStr">
        <is>
          <t>publish</t>
        </is>
      </c>
      <c r="F120" s="3" t="n">
        <v>7699</v>
      </c>
      <c r="G120" s="3" t="n">
        <v>8859</v>
      </c>
      <c r="H120" s="4" t="n">
        <v>1501.04</v>
      </c>
      <c r="I120" s="5" t="n">
        <v>5628.9</v>
      </c>
      <c r="J120" s="5" t="n">
        <v>5628.9</v>
      </c>
      <c r="K120" s="5">
        <f>F120-J120</f>
        <v/>
      </c>
      <c r="L120" s="6">
        <f>IF(J120=0,0,(F120-J120)/J120)</f>
        <v/>
      </c>
      <c r="M120" s="2" t="inlineStr">
        <is>
          <t>instock</t>
        </is>
      </c>
      <c r="N120" s="7" t="inlineStr">
        <is>
          <t>🖼</t>
        </is>
      </c>
    </row>
    <row r="121">
      <c r="A121" t="n">
        <v>120</v>
      </c>
      <c r="B121" t="inlineStr">
        <is>
          <t>NG-DRN-006</t>
        </is>
      </c>
      <c r="C121" t="inlineStr">
        <is>
          <t>FIMI X8 Mini V2 - 4K Drone at 245g with Competitive Pricing</t>
        </is>
      </c>
      <c r="D121" t="inlineStr">
        <is>
          <t>Drones &amp;amp; Robotics</t>
        </is>
      </c>
      <c r="E121" t="inlineStr">
        <is>
          <t>publish</t>
        </is>
      </c>
      <c r="F121" s="8" t="n">
        <v>2399</v>
      </c>
      <c r="G121" s="8" t="n">
        <v>2399</v>
      </c>
      <c r="H121" s="9" t="n">
        <v>417.6</v>
      </c>
      <c r="I121" s="10" t="n">
        <v>1566</v>
      </c>
      <c r="J121" s="10" t="n">
        <v>1566</v>
      </c>
      <c r="K121" s="10">
        <f>F121-J121</f>
        <v/>
      </c>
      <c r="L121" s="11">
        <f>IF(J121=0,0,(F121-J121)/J121)</f>
        <v/>
      </c>
      <c r="M121" t="inlineStr">
        <is>
          <t>instock</t>
        </is>
      </c>
      <c r="N121" s="12" t="inlineStr">
        <is>
          <t>🖼</t>
        </is>
      </c>
    </row>
    <row r="122">
      <c r="A122" s="2" t="n">
        <v>121</v>
      </c>
      <c r="B122" s="2" t="inlineStr">
        <is>
          <t>NG-DRN-005</t>
        </is>
      </c>
      <c r="C122" s="2" t="inlineStr">
        <is>
          <t>Insta360 X4 - 8K 360-Degree Camera</t>
        </is>
      </c>
      <c r="D122" s="2" t="inlineStr">
        <is>
          <t>Drones &amp;amp; Robotics</t>
        </is>
      </c>
      <c r="E122" s="2" t="inlineStr">
        <is>
          <t>publish</t>
        </is>
      </c>
      <c r="F122" s="3" t="n">
        <v>3499</v>
      </c>
      <c r="G122" s="3" t="n">
        <v>3499</v>
      </c>
      <c r="H122" s="4" t="n">
        <v>613.16</v>
      </c>
      <c r="I122" s="5" t="n">
        <v>2299.35</v>
      </c>
      <c r="J122" s="5" t="n">
        <v>2299.35</v>
      </c>
      <c r="K122" s="5">
        <f>F122-J122</f>
        <v/>
      </c>
      <c r="L122" s="6">
        <f>IF(J122=0,0,(F122-J122)/J122)</f>
        <v/>
      </c>
      <c r="M122" s="2" t="inlineStr">
        <is>
          <t>instock</t>
        </is>
      </c>
      <c r="N122" s="7" t="inlineStr">
        <is>
          <t>🖼</t>
        </is>
      </c>
    </row>
    <row r="123">
      <c r="A123" t="n">
        <v>122</v>
      </c>
      <c r="B123" t="inlineStr">
        <is>
          <t>NG-DRN-004</t>
        </is>
      </c>
      <c r="C123" t="inlineStr">
        <is>
          <t>DJI RS 4 - 3-Axis Gimbal Stabilizer for Professional Cameras</t>
        </is>
      </c>
      <c r="D123" t="inlineStr">
        <is>
          <t>Drones &amp;amp; Robotics</t>
        </is>
      </c>
      <c r="E123" t="inlineStr">
        <is>
          <t>publish</t>
        </is>
      </c>
      <c r="F123" s="8" t="n">
        <v>3099</v>
      </c>
      <c r="G123" s="8" t="n">
        <v>3099</v>
      </c>
      <c r="H123" s="9" t="n">
        <v>542.04</v>
      </c>
      <c r="I123" s="10" t="n">
        <v>2032.65</v>
      </c>
      <c r="J123" s="10" t="n">
        <v>2032.65</v>
      </c>
      <c r="K123" s="10">
        <f>F123-J123</f>
        <v/>
      </c>
      <c r="L123" s="11">
        <f>IF(J123=0,0,(F123-J123)/J123)</f>
        <v/>
      </c>
      <c r="M123" t="inlineStr">
        <is>
          <t>instock</t>
        </is>
      </c>
      <c r="N123" s="12" t="inlineStr">
        <is>
          <t>🖼</t>
        </is>
      </c>
    </row>
    <row r="124">
      <c r="A124" s="2" t="n">
        <v>123</v>
      </c>
      <c r="B124" s="2" t="inlineStr">
        <is>
          <t>NG-DRN-003</t>
        </is>
      </c>
      <c r="C124" s="2" t="inlineStr">
        <is>
          <t>DJI Osmo Action 5 Pro - 4K/120fps Waterproof Action Camera</t>
        </is>
      </c>
      <c r="D124" s="2" t="inlineStr">
        <is>
          <t>Drones &amp;amp; Robotics</t>
        </is>
      </c>
      <c r="E124" s="2" t="inlineStr">
        <is>
          <t>publish</t>
        </is>
      </c>
      <c r="F124" s="3" t="n">
        <v>2499</v>
      </c>
      <c r="G124" s="3" t="n">
        <v>2499</v>
      </c>
      <c r="H124" s="4" t="n">
        <v>435.38</v>
      </c>
      <c r="I124" s="5" t="n">
        <v>1632.67</v>
      </c>
      <c r="J124" s="5" t="n">
        <v>1632.67</v>
      </c>
      <c r="K124" s="5">
        <f>F124-J124</f>
        <v/>
      </c>
      <c r="L124" s="6">
        <f>IF(J124=0,0,(F124-J124)/J124)</f>
        <v/>
      </c>
      <c r="M124" s="2" t="inlineStr">
        <is>
          <t>instock</t>
        </is>
      </c>
      <c r="N124" s="7" t="inlineStr">
        <is>
          <t>🖼</t>
        </is>
      </c>
    </row>
    <row r="125">
      <c r="A125" t="n">
        <v>124</v>
      </c>
      <c r="B125" t="inlineStr">
        <is>
          <t>NG-DRN-002</t>
        </is>
      </c>
      <c r="C125" t="inlineStr">
        <is>
          <t>DJI Avata 2 - Immersive FPV Drone with Goggles</t>
        </is>
      </c>
      <c r="D125" t="inlineStr">
        <is>
          <t>Drones &amp;amp; Robotics</t>
        </is>
      </c>
      <c r="E125" t="inlineStr">
        <is>
          <t>publish</t>
        </is>
      </c>
      <c r="F125" s="8" t="n">
        <v>4099</v>
      </c>
      <c r="G125" s="8" t="n">
        <v>4099</v>
      </c>
      <c r="H125" s="9" t="n">
        <v>719.8200000000001</v>
      </c>
      <c r="I125" s="10" t="n">
        <v>2699.33</v>
      </c>
      <c r="J125" s="10" t="n">
        <v>2699.33</v>
      </c>
      <c r="K125" s="10">
        <f>F125-J125</f>
        <v/>
      </c>
      <c r="L125" s="11">
        <f>IF(J125=0,0,(F125-J125)/J125)</f>
        <v/>
      </c>
      <c r="M125" t="inlineStr">
        <is>
          <t>instock</t>
        </is>
      </c>
      <c r="N125" s="12" t="inlineStr">
        <is>
          <t>🖼</t>
        </is>
      </c>
    </row>
    <row r="126">
      <c r="A126" s="2" t="n">
        <v>125</v>
      </c>
      <c r="B126" s="2" t="inlineStr">
        <is>
          <t>NG-DRN-001</t>
        </is>
      </c>
      <c r="C126" s="2" t="inlineStr">
        <is>
          <t>DJI Mini 4 Pro - Sub-249g Drone with 4K/60fps Camera</t>
        </is>
      </c>
      <c r="D126" s="2" t="inlineStr">
        <is>
          <t>Drones &amp;amp; Robotics</t>
        </is>
      </c>
      <c r="E126" s="2" t="inlineStr">
        <is>
          <t>publish</t>
        </is>
      </c>
      <c r="F126" s="3" t="n">
        <v>6099</v>
      </c>
      <c r="G126" s="3" t="n">
        <v>7019</v>
      </c>
      <c r="H126" s="4" t="n">
        <v>1184.99</v>
      </c>
      <c r="I126" s="5" t="n">
        <v>4443.71</v>
      </c>
      <c r="J126" s="5" t="n">
        <v>4443.71</v>
      </c>
      <c r="K126" s="5">
        <f>F126-J126</f>
        <v/>
      </c>
      <c r="L126" s="6">
        <f>IF(J126=0,0,(F126-J126)/J126)</f>
        <v/>
      </c>
      <c r="M126" s="2" t="inlineStr">
        <is>
          <t>instock</t>
        </is>
      </c>
      <c r="N126" s="7" t="inlineStr">
        <is>
          <t>🖼</t>
        </is>
      </c>
    </row>
    <row r="127">
      <c r="A127" t="n">
        <v>126</v>
      </c>
      <c r="B127" t="inlineStr">
        <is>
          <t>NG-CBL-008</t>
        </is>
      </c>
      <c r="C127" t="inlineStr">
        <is>
          <t>HDMI 2.1 8K Fiber Optic Cable (10m) - Zero Signal Loss</t>
        </is>
      </c>
      <c r="D127" t="inlineStr">
        <is>
          <t>Cables &amp;amp; Adapters</t>
        </is>
      </c>
      <c r="E127" t="inlineStr">
        <is>
          <t>publish</t>
        </is>
      </c>
      <c r="F127" s="8" t="n">
        <v>359</v>
      </c>
      <c r="G127" s="8" t="n">
        <v>359</v>
      </c>
      <c r="H127" s="9" t="n">
        <v>48.74</v>
      </c>
      <c r="I127" s="10" t="n">
        <v>182.78</v>
      </c>
      <c r="J127" s="10" t="n">
        <v>182.78</v>
      </c>
      <c r="K127" s="10">
        <f>F127-J127</f>
        <v/>
      </c>
      <c r="L127" s="11">
        <f>IF(J127=0,0,(F127-J127)/J127)</f>
        <v/>
      </c>
      <c r="M127" t="inlineStr">
        <is>
          <t>instock</t>
        </is>
      </c>
      <c r="N127" s="12" t="inlineStr">
        <is>
          <t>🖼</t>
        </is>
      </c>
    </row>
    <row r="128">
      <c r="A128" s="2" t="n">
        <v>127</v>
      </c>
      <c r="B128" s="2" t="inlineStr">
        <is>
          <t>NG-CBL-007</t>
        </is>
      </c>
      <c r="C128" s="2" t="inlineStr">
        <is>
          <t>DAC SFP+ 10G Direct Attach Cable (3m) - Direct Switch-to-Switch Connection</t>
        </is>
      </c>
      <c r="D128" s="2" t="inlineStr">
        <is>
          <t>Cables &amp;amp; Adapters</t>
        </is>
      </c>
      <c r="E128" s="2" t="inlineStr">
        <is>
          <t>publish</t>
        </is>
      </c>
      <c r="F128" s="3" t="n">
        <v>229</v>
      </c>
      <c r="G128" s="3" t="n">
        <v>229</v>
      </c>
      <c r="H128" s="4" t="n">
        <v>27.2</v>
      </c>
      <c r="I128" s="5" t="n">
        <v>102</v>
      </c>
      <c r="J128" s="5" t="n">
        <v>102</v>
      </c>
      <c r="K128" s="5">
        <f>F128-J128</f>
        <v/>
      </c>
      <c r="L128" s="6">
        <f>IF(J128=0,0,(F128-J128)/J128)</f>
        <v/>
      </c>
      <c r="M128" s="2" t="inlineStr">
        <is>
          <t>instock</t>
        </is>
      </c>
      <c r="N128" s="7" t="inlineStr">
        <is>
          <t>🖼</t>
        </is>
      </c>
    </row>
    <row r="129">
      <c r="A129" t="n">
        <v>128</v>
      </c>
      <c r="B129" t="inlineStr">
        <is>
          <t>NG-CBL-006</t>
        </is>
      </c>
      <c r="C129" t="inlineStr">
        <is>
          <t>Ugreen 5-in-1 USB-C Dock - HDMI 4K + Ethernet + USB 3.0</t>
        </is>
      </c>
      <c r="D129" t="inlineStr">
        <is>
          <t>Cables &amp;amp; Adapters</t>
        </is>
      </c>
      <c r="E129" t="inlineStr">
        <is>
          <t>publish</t>
        </is>
      </c>
      <c r="F129" s="8" t="n">
        <v>249</v>
      </c>
      <c r="G129" s="8" t="n">
        <v>289</v>
      </c>
      <c r="H129" s="9" t="n">
        <v>29.87</v>
      </c>
      <c r="I129" s="10" t="n">
        <v>112.01</v>
      </c>
      <c r="J129" s="10" t="n">
        <v>112.01</v>
      </c>
      <c r="K129" s="10">
        <f>F129-J129</f>
        <v/>
      </c>
      <c r="L129" s="11">
        <f>IF(J129=0,0,(F129-J129)/J129)</f>
        <v/>
      </c>
      <c r="M129" t="inlineStr">
        <is>
          <t>instock</t>
        </is>
      </c>
      <c r="N129" s="12" t="inlineStr">
        <is>
          <t>🖼</t>
        </is>
      </c>
    </row>
    <row r="130">
      <c r="A130" s="2" t="n">
        <v>129</v>
      </c>
      <c r="B130" s="2" t="inlineStr">
        <is>
          <t>NG-CBL-005</t>
        </is>
      </c>
      <c r="C130" s="2" t="inlineStr">
        <is>
          <t>Baseus USB-C 100W Charging Cable (2m) - Fast Charge for Laptops and Phones</t>
        </is>
      </c>
      <c r="D130" s="2" t="inlineStr">
        <is>
          <t>Cables &amp;amp; Adapters</t>
        </is>
      </c>
      <c r="E130" s="2" t="inlineStr">
        <is>
          <t>publish</t>
        </is>
      </c>
      <c r="F130" s="3" t="n">
        <v>109</v>
      </c>
      <c r="G130" s="3" t="n">
        <v>109</v>
      </c>
      <c r="H130" s="4" t="n">
        <v>9.49</v>
      </c>
      <c r="I130" s="5" t="n">
        <v>35.59</v>
      </c>
      <c r="J130" s="5" t="n">
        <v>35.59</v>
      </c>
      <c r="K130" s="5">
        <f>F130-J130</f>
        <v/>
      </c>
      <c r="L130" s="6">
        <f>IF(J130=0,0,(F130-J130)/J130)</f>
        <v/>
      </c>
      <c r="M130" s="2" t="inlineStr">
        <is>
          <t>instock</t>
        </is>
      </c>
      <c r="N130" s="7" t="inlineStr">
        <is>
          <t>🖼</t>
        </is>
      </c>
    </row>
    <row r="131">
      <c r="A131" t="n">
        <v>130</v>
      </c>
      <c r="B131" t="inlineStr">
        <is>
          <t>NG-CBL-004</t>
        </is>
      </c>
      <c r="C131" t="inlineStr">
        <is>
          <t>Ugreen Cat 8 Ethernet Cable (5m) - 40Gbps Network Cable</t>
        </is>
      </c>
      <c r="D131" t="inlineStr">
        <is>
          <t>Cables &amp;amp; Adapters</t>
        </is>
      </c>
      <c r="E131" t="inlineStr">
        <is>
          <t>publish</t>
        </is>
      </c>
      <c r="F131" s="8" t="n">
        <v>149</v>
      </c>
      <c r="G131" s="8" t="n">
        <v>149</v>
      </c>
      <c r="H131" s="9" t="n">
        <v>16.53</v>
      </c>
      <c r="I131" s="10" t="n">
        <v>61.99</v>
      </c>
      <c r="J131" s="10" t="n">
        <v>61.99</v>
      </c>
      <c r="K131" s="10">
        <f>F131-J131</f>
        <v/>
      </c>
      <c r="L131" s="11">
        <f>IF(J131=0,0,(F131-J131)/J131)</f>
        <v/>
      </c>
      <c r="M131" t="inlineStr">
        <is>
          <t>instock</t>
        </is>
      </c>
      <c r="N131" s="12" t="inlineStr">
        <is>
          <t>🖼</t>
        </is>
      </c>
    </row>
    <row r="132">
      <c r="A132" s="2" t="n">
        <v>131</v>
      </c>
      <c r="B132" s="2" t="inlineStr">
        <is>
          <t>NG-CBL-003</t>
        </is>
      </c>
      <c r="C132" s="2" t="inlineStr">
        <is>
          <t>Cable Matters Thunderbolt 4 Cable (2m) - 40Gbps with 100W Charging</t>
        </is>
      </c>
      <c r="D132" s="2" t="inlineStr">
        <is>
          <t>Cables &amp;amp; Adapters</t>
        </is>
      </c>
      <c r="E132" s="2" t="inlineStr">
        <is>
          <t>publish</t>
        </is>
      </c>
      <c r="F132" s="3" t="n">
        <v>419</v>
      </c>
      <c r="G132" s="3" t="n">
        <v>419</v>
      </c>
      <c r="H132" s="4" t="n">
        <v>57.63</v>
      </c>
      <c r="I132" s="5" t="n">
        <v>216.11</v>
      </c>
      <c r="J132" s="5" t="n">
        <v>216.11</v>
      </c>
      <c r="K132" s="5">
        <f>F132-J132</f>
        <v/>
      </c>
      <c r="L132" s="6">
        <f>IF(J132=0,0,(F132-J132)/J132)</f>
        <v/>
      </c>
      <c r="M132" s="2" t="inlineStr">
        <is>
          <t>instock</t>
        </is>
      </c>
      <c r="N132" s="7" t="inlineStr">
        <is>
          <t>🖼</t>
        </is>
      </c>
    </row>
    <row r="133">
      <c r="A133" t="n">
        <v>132</v>
      </c>
      <c r="B133" t="inlineStr">
        <is>
          <t>NG-CBL-002</t>
        </is>
      </c>
      <c r="C133" t="inlineStr">
        <is>
          <t>Anker USB-C Hub 7-in-1 - Multi-Port Adapter for Laptops</t>
        </is>
      </c>
      <c r="D133" t="inlineStr">
        <is>
          <t>Cables &amp;amp; Adapters</t>
        </is>
      </c>
      <c r="E133" t="inlineStr">
        <is>
          <t>publish</t>
        </is>
      </c>
      <c r="F133" s="8" t="n">
        <v>349</v>
      </c>
      <c r="G133" s="8" t="n">
        <v>349</v>
      </c>
      <c r="H133" s="9" t="n">
        <v>47.26</v>
      </c>
      <c r="I133" s="10" t="n">
        <v>177.22</v>
      </c>
      <c r="J133" s="10" t="n">
        <v>177.22</v>
      </c>
      <c r="K133" s="10">
        <f>F133-J133</f>
        <v/>
      </c>
      <c r="L133" s="11">
        <f>IF(J133=0,0,(F133-J133)/J133)</f>
        <v/>
      </c>
      <c r="M133" t="inlineStr">
        <is>
          <t>instock</t>
        </is>
      </c>
      <c r="N133" s="12" t="inlineStr">
        <is>
          <t>🖼</t>
        </is>
      </c>
    </row>
    <row r="134">
      <c r="A134" s="2" t="n">
        <v>133</v>
      </c>
      <c r="B134" s="2" t="inlineStr">
        <is>
          <t>NG-CBL-001</t>
        </is>
      </c>
      <c r="C134" s="2" t="inlineStr">
        <is>
          <t>Ugreen USB-C to HDMI 2.1 Cable (2m) - 8K@60Hz Output</t>
        </is>
      </c>
      <c r="D134" s="2" t="inlineStr">
        <is>
          <t>Cables &amp;amp; Adapters</t>
        </is>
      </c>
      <c r="E134" s="2" t="inlineStr">
        <is>
          <t>publish</t>
        </is>
      </c>
      <c r="F134" s="3" t="n">
        <v>219</v>
      </c>
      <c r="G134" s="3" t="n">
        <v>219</v>
      </c>
      <c r="H134" s="4" t="n">
        <v>25.87</v>
      </c>
      <c r="I134" s="5" t="n">
        <v>97.01000000000001</v>
      </c>
      <c r="J134" s="5" t="n">
        <v>97.01000000000001</v>
      </c>
      <c r="K134" s="5">
        <f>F134-J134</f>
        <v/>
      </c>
      <c r="L134" s="6">
        <f>IF(J134=0,0,(F134-J134)/J134)</f>
        <v/>
      </c>
      <c r="M134" s="2" t="inlineStr">
        <is>
          <t>instock</t>
        </is>
      </c>
      <c r="N134" s="7" t="inlineStr">
        <is>
          <t>🖼</t>
        </is>
      </c>
    </row>
    <row r="135">
      <c r="A135" t="n">
        <v>134</v>
      </c>
      <c r="B135" t="inlineStr">
        <is>
          <t>NG-3DP-008</t>
        </is>
      </c>
      <c r="C135" t="inlineStr">
        <is>
          <t>Phrozen Sonic Mini 8K S - 22-Micron Pixel Resin 3D Printer</t>
        </is>
      </c>
      <c r="D135" t="inlineStr">
        <is>
          <t>3D Printing &amp;amp; CNC</t>
        </is>
      </c>
      <c r="E135" t="inlineStr">
        <is>
          <t>publish</t>
        </is>
      </c>
      <c r="F135" s="8" t="n">
        <v>2899</v>
      </c>
      <c r="G135" s="8" t="n">
        <v>2899</v>
      </c>
      <c r="H135" s="9" t="n">
        <v>506.49</v>
      </c>
      <c r="I135" s="10" t="n">
        <v>1899.34</v>
      </c>
      <c r="J135" s="10" t="n">
        <v>1899.34</v>
      </c>
      <c r="K135" s="10">
        <f>F135-J135</f>
        <v/>
      </c>
      <c r="L135" s="11">
        <f>IF(J135=0,0,(F135-J135)/J135)</f>
        <v/>
      </c>
      <c r="M135" t="inlineStr">
        <is>
          <t>instock</t>
        </is>
      </c>
      <c r="N135" s="12" t="inlineStr">
        <is>
          <t>🖼</t>
        </is>
      </c>
    </row>
    <row r="136">
      <c r="A136" s="2" t="n">
        <v>135</v>
      </c>
      <c r="B136" s="2" t="inlineStr">
        <is>
          <t>NG-3DP-007</t>
        </is>
      </c>
      <c r="C136" s="2" t="inlineStr">
        <is>
          <t>Creality Sonic Pad - Klipper Tablet to Supercharge Your 3D Printer</t>
        </is>
      </c>
      <c r="D136" s="2" t="inlineStr">
        <is>
          <t>3D Printing &amp;amp; CNC</t>
        </is>
      </c>
      <c r="E136" s="2" t="inlineStr">
        <is>
          <t>publish</t>
        </is>
      </c>
      <c r="F136" s="3" t="n">
        <v>1049</v>
      </c>
      <c r="G136" s="3" t="n">
        <v>1049</v>
      </c>
      <c r="H136" s="4" t="n">
        <v>168.17</v>
      </c>
      <c r="I136" s="5" t="n">
        <v>630.64</v>
      </c>
      <c r="J136" s="5" t="n">
        <v>630.64</v>
      </c>
      <c r="K136" s="5">
        <f>F136-J136</f>
        <v/>
      </c>
      <c r="L136" s="6">
        <f>IF(J136=0,0,(F136-J136)/J136)</f>
        <v/>
      </c>
      <c r="M136" s="2" t="inlineStr">
        <is>
          <t>instock</t>
        </is>
      </c>
      <c r="N136" s="7" t="inlineStr">
        <is>
          <t>🖼</t>
        </is>
      </c>
    </row>
    <row r="137">
      <c r="A137" t="n">
        <v>136</v>
      </c>
      <c r="B137" t="inlineStr">
        <is>
          <t>NG-3DP-006</t>
        </is>
      </c>
      <c r="C137" t="inlineStr">
        <is>
          <t>BIQU H2 V2S Direct Drive Extruder - Lightweight Upgrade for Your 3D Printer</t>
        </is>
      </c>
      <c r="D137" t="inlineStr">
        <is>
          <t>3D Printing &amp;amp; CNC</t>
        </is>
      </c>
      <c r="E137" t="inlineStr">
        <is>
          <t>publish</t>
        </is>
      </c>
      <c r="F137" s="8" t="n">
        <v>599</v>
      </c>
      <c r="G137" s="8" t="n">
        <v>599</v>
      </c>
      <c r="H137" s="9" t="n">
        <v>84.3</v>
      </c>
      <c r="I137" s="10" t="n">
        <v>316.12</v>
      </c>
      <c r="J137" s="10" t="n">
        <v>316.12</v>
      </c>
      <c r="K137" s="10">
        <f>F137-J137</f>
        <v/>
      </c>
      <c r="L137" s="11">
        <f>IF(J137=0,0,(F137-J137)/J137)</f>
        <v/>
      </c>
      <c r="M137" t="inlineStr">
        <is>
          <t>instock</t>
        </is>
      </c>
      <c r="N137" s="12" t="inlineStr">
        <is>
          <t>🖼</t>
        </is>
      </c>
    </row>
    <row r="138">
      <c r="A138" s="2" t="n">
        <v>137</v>
      </c>
      <c r="B138" s="2" t="inlineStr">
        <is>
          <t>NG-3DP-005</t>
        </is>
      </c>
      <c r="C138" s="2" t="inlineStr">
        <is>
          <t>Elegoo Saturn 3 Ultra - 12K Resin 3D Printer with 10-inch Screen</t>
        </is>
      </c>
      <c r="D138" s="2" t="inlineStr">
        <is>
          <t>3D Printing &amp;amp; CNC</t>
        </is>
      </c>
      <c r="E138" s="2" t="inlineStr">
        <is>
          <t>publish</t>
        </is>
      </c>
      <c r="F138" s="3" t="n">
        <v>3499</v>
      </c>
      <c r="G138" s="3" t="n">
        <v>3499</v>
      </c>
      <c r="H138" s="4" t="n">
        <v>613.16</v>
      </c>
      <c r="I138" s="5" t="n">
        <v>2299.35</v>
      </c>
      <c r="J138" s="5" t="n">
        <v>2299.35</v>
      </c>
      <c r="K138" s="5">
        <f>F138-J138</f>
        <v/>
      </c>
      <c r="L138" s="6">
        <f>IF(J138=0,0,(F138-J138)/J138)</f>
        <v/>
      </c>
      <c r="M138" s="2" t="inlineStr">
        <is>
          <t>instock</t>
        </is>
      </c>
      <c r="N138" s="7" t="inlineStr">
        <is>
          <t>🖼</t>
        </is>
      </c>
    </row>
    <row r="139">
      <c r="A139" t="n">
        <v>138</v>
      </c>
      <c r="B139" t="inlineStr">
        <is>
          <t>NG-3DP-004</t>
        </is>
      </c>
      <c r="C139" t="inlineStr">
        <is>
          <t>eSUN PLA+ Filament 10-Color Pack - 10kg Total for 3D Printing</t>
        </is>
      </c>
      <c r="D139" t="inlineStr">
        <is>
          <t>3D Printing &amp;amp; CNC</t>
        </is>
      </c>
      <c r="E139" t="inlineStr">
        <is>
          <t>publish</t>
        </is>
      </c>
      <c r="F139" s="8" t="n">
        <v>1299</v>
      </c>
      <c r="G139" s="8" t="n">
        <v>1299</v>
      </c>
      <c r="H139" s="9" t="n">
        <v>209.83</v>
      </c>
      <c r="I139" s="10" t="n">
        <v>786.86</v>
      </c>
      <c r="J139" s="10" t="n">
        <v>786.86</v>
      </c>
      <c r="K139" s="10">
        <f>F139-J139</f>
        <v/>
      </c>
      <c r="L139" s="11">
        <f>IF(J139=0,0,(F139-J139)/J139)</f>
        <v/>
      </c>
      <c r="M139" t="inlineStr">
        <is>
          <t>instock</t>
        </is>
      </c>
      <c r="N139" s="12" t="inlineStr">
        <is>
          <t>🖼</t>
        </is>
      </c>
    </row>
    <row r="140">
      <c r="A140" s="2" t="n">
        <v>139</v>
      </c>
      <c r="B140" s="2" t="inlineStr">
        <is>
          <t>NG-3DP-003</t>
        </is>
      </c>
      <c r="C140" s="2" t="inlineStr">
        <is>
          <t>Creality K1 Max - Large Format 3D Printer at 600mm/s</t>
        </is>
      </c>
      <c r="D140" s="2" t="inlineStr">
        <is>
          <t>3D Printing &amp;amp; CNC</t>
        </is>
      </c>
      <c r="E140" s="2" t="inlineStr">
        <is>
          <t>publish</t>
        </is>
      </c>
      <c r="F140" s="3" t="n">
        <v>4199</v>
      </c>
      <c r="G140" s="3" t="n">
        <v>4199</v>
      </c>
      <c r="H140" s="4" t="n">
        <v>737.6</v>
      </c>
      <c r="I140" s="5" t="n">
        <v>2766</v>
      </c>
      <c r="J140" s="5" t="n">
        <v>2766</v>
      </c>
      <c r="K140" s="5">
        <f>F140-J140</f>
        <v/>
      </c>
      <c r="L140" s="6">
        <f>IF(J140=0,0,(F140-J140)/J140)</f>
        <v/>
      </c>
      <c r="M140" s="2" t="inlineStr">
        <is>
          <t>instock</t>
        </is>
      </c>
      <c r="N140" s="7" t="inlineStr">
        <is>
          <t>🖼</t>
        </is>
      </c>
    </row>
    <row r="141">
      <c r="A141" t="n">
        <v>140</v>
      </c>
      <c r="B141" t="inlineStr">
        <is>
          <t>NG-3DP-002</t>
        </is>
      </c>
      <c r="C141" t="inlineStr">
        <is>
          <t>Bambu Lab AMS - Automatic Material System for Multi-Color 3D Printing</t>
        </is>
      </c>
      <c r="D141" t="inlineStr">
        <is>
          <t>3D Printing &amp;amp; CNC</t>
        </is>
      </c>
      <c r="E141" t="inlineStr">
        <is>
          <t>publish</t>
        </is>
      </c>
      <c r="F141" s="8" t="n">
        <v>1949</v>
      </c>
      <c r="G141" s="8" t="n">
        <v>2249</v>
      </c>
      <c r="H141" s="9" t="n">
        <v>337.6</v>
      </c>
      <c r="I141" s="10" t="n">
        <v>1266</v>
      </c>
      <c r="J141" s="10" t="n">
        <v>1266</v>
      </c>
      <c r="K141" s="10">
        <f>F141-J141</f>
        <v/>
      </c>
      <c r="L141" s="11">
        <f>IF(J141=0,0,(F141-J141)/J141)</f>
        <v/>
      </c>
      <c r="M141" t="inlineStr">
        <is>
          <t>instock</t>
        </is>
      </c>
      <c r="N141" s="12" t="inlineStr">
        <is>
          <t>🖼</t>
        </is>
      </c>
    </row>
    <row r="142">
      <c r="A142" s="2" t="n">
        <v>141</v>
      </c>
      <c r="B142" s="2" t="inlineStr">
        <is>
          <t>NG-3DP-001</t>
        </is>
      </c>
      <c r="C142" s="2" t="inlineStr">
        <is>
          <t>Bambu Lab P1S 3D Printer - Blazing Speed and Pro Quality in an Enclosed Design</t>
        </is>
      </c>
      <c r="D142" s="2" t="inlineStr">
        <is>
          <t>3D Printing &amp;amp; CNC</t>
        </is>
      </c>
      <c r="E142" s="2" t="inlineStr">
        <is>
          <t>publish</t>
        </is>
      </c>
      <c r="F142" s="3" t="n">
        <v>5099</v>
      </c>
      <c r="G142" s="3" t="n">
        <v>5099</v>
      </c>
      <c r="H142" s="4" t="n">
        <v>897.6</v>
      </c>
      <c r="I142" s="5" t="n">
        <v>3366</v>
      </c>
      <c r="J142" s="5" t="n">
        <v>3366</v>
      </c>
      <c r="K142" s="5">
        <f>F142-J142</f>
        <v/>
      </c>
      <c r="L142" s="6">
        <f>IF(J142=0,0,(F142-J142)/J142)</f>
        <v/>
      </c>
      <c r="M142" s="2" t="inlineStr">
        <is>
          <t>instock</t>
        </is>
      </c>
      <c r="N142" s="7" t="inlineStr">
        <is>
          <t>🖼</t>
        </is>
      </c>
    </row>
    <row r="143">
      <c r="A143" t="n">
        <v>142</v>
      </c>
      <c r="B143" t="inlineStr">
        <is>
          <t>NG-ACC-010</t>
        </is>
      </c>
      <c r="C143" t="inlineStr">
        <is>
          <t>WD Red Plus 8TB NAS Hard Drive - Built for Always-On NAS Systems</t>
        </is>
      </c>
      <c r="D143" t="inlineStr">
        <is>
          <t>Hardware</t>
        </is>
      </c>
      <c r="E143" t="inlineStr">
        <is>
          <t>publish</t>
        </is>
      </c>
      <c r="F143" s="8" t="n">
        <v>1449</v>
      </c>
      <c r="G143" s="8" t="n">
        <v>1449</v>
      </c>
      <c r="H143" s="9" t="n">
        <v>234.83</v>
      </c>
      <c r="I143" s="10" t="n">
        <v>880.61</v>
      </c>
      <c r="J143" s="10" t="n">
        <v>880.61</v>
      </c>
      <c r="K143" s="10">
        <f>F143-J143</f>
        <v/>
      </c>
      <c r="L143" s="11">
        <f>IF(J143=0,0,(F143-J143)/J143)</f>
        <v/>
      </c>
      <c r="M143" t="inlineStr">
        <is>
          <t>instock</t>
        </is>
      </c>
      <c r="N143" s="12" t="inlineStr">
        <is>
          <t>🖼</t>
        </is>
      </c>
    </row>
    <row r="144">
      <c r="A144" s="2" t="n">
        <v>143</v>
      </c>
      <c r="B144" s="2" t="inlineStr">
        <is>
          <t>NG-ACC-009</t>
        </is>
      </c>
      <c r="C144" s="2" t="inlineStr">
        <is>
          <t>Ugreen Nexode 100W GaN Charger - 4-Port Gallium Nitride Fast Charger</t>
        </is>
      </c>
      <c r="D144" s="2" t="inlineStr">
        <is>
          <t>Accessories &amp;amp; Lifestyle</t>
        </is>
      </c>
      <c r="E144" s="2" t="inlineStr">
        <is>
          <t>publish</t>
        </is>
      </c>
      <c r="F144" s="3" t="n">
        <v>439</v>
      </c>
      <c r="G144" s="3" t="n">
        <v>439</v>
      </c>
      <c r="H144" s="4" t="n">
        <v>60.59</v>
      </c>
      <c r="I144" s="5" t="n">
        <v>227.21</v>
      </c>
      <c r="J144" s="5" t="n">
        <v>227.21</v>
      </c>
      <c r="K144" s="5">
        <f>F144-J144</f>
        <v/>
      </c>
      <c r="L144" s="6">
        <f>IF(J144=0,0,(F144-J144)/J144)</f>
        <v/>
      </c>
      <c r="M144" s="2" t="inlineStr">
        <is>
          <t>instock</t>
        </is>
      </c>
      <c r="N144" s="7" t="inlineStr">
        <is>
          <t>🖼</t>
        </is>
      </c>
    </row>
    <row r="145">
      <c r="A145" t="n">
        <v>144</v>
      </c>
      <c r="B145" t="inlineStr">
        <is>
          <t>NG-ACC-008</t>
        </is>
      </c>
      <c r="C145" t="inlineStr">
        <is>
          <t>CalDigit TS4 Thunderbolt 4 Dock - 18-Port Professional Docking Station</t>
        </is>
      </c>
      <c r="D145" t="inlineStr">
        <is>
          <t>Accessories &amp;amp; Lifestyle</t>
        </is>
      </c>
      <c r="E145" t="inlineStr">
        <is>
          <t>publish</t>
        </is>
      </c>
      <c r="F145" s="8" t="n">
        <v>2899</v>
      </c>
      <c r="G145" s="8" t="n">
        <v>2899</v>
      </c>
      <c r="H145" s="9" t="n">
        <v>506.49</v>
      </c>
      <c r="I145" s="10" t="n">
        <v>1899.34</v>
      </c>
      <c r="J145" s="10" t="n">
        <v>1899.34</v>
      </c>
      <c r="K145" s="10">
        <f>F145-J145</f>
        <v/>
      </c>
      <c r="L145" s="11">
        <f>IF(J145=0,0,(F145-J145)/J145)</f>
        <v/>
      </c>
      <c r="M145" t="inlineStr">
        <is>
          <t>instock</t>
        </is>
      </c>
      <c r="N145" s="12" t="inlineStr">
        <is>
          <t>🖼</t>
        </is>
      </c>
    </row>
    <row r="146">
      <c r="A146" s="2" t="n">
        <v>145</v>
      </c>
      <c r="B146" s="2" t="inlineStr">
        <is>
          <t>NG-ACC-007</t>
        </is>
      </c>
      <c r="C146" s="2" t="inlineStr">
        <is>
          <t>Anker PowerConf S330 USB Speakerphone - Smart Noise-Canceling Conference Speaker</t>
        </is>
      </c>
      <c r="D146" s="2" t="inlineStr">
        <is>
          <t>Accessories &amp;amp; Lifestyle</t>
        </is>
      </c>
      <c r="E146" s="2" t="inlineStr">
        <is>
          <t>publish</t>
        </is>
      </c>
      <c r="F146" s="3" t="n">
        <v>599</v>
      </c>
      <c r="G146" s="3" t="n">
        <v>599</v>
      </c>
      <c r="H146" s="4" t="n">
        <v>84.3</v>
      </c>
      <c r="I146" s="5" t="n">
        <v>316.12</v>
      </c>
      <c r="J146" s="5" t="n">
        <v>316.12</v>
      </c>
      <c r="K146" s="5">
        <f>F146-J146</f>
        <v/>
      </c>
      <c r="L146" s="6">
        <f>IF(J146=0,0,(F146-J146)/J146)</f>
        <v/>
      </c>
      <c r="M146" s="2" t="inlineStr">
        <is>
          <t>instock</t>
        </is>
      </c>
      <c r="N146" s="7" t="inlineStr">
        <is>
          <t>🖼</t>
        </is>
      </c>
    </row>
    <row r="147">
      <c r="A147" t="n">
        <v>146</v>
      </c>
      <c r="B147" t="inlineStr">
        <is>
          <t>NG-ACC-006</t>
        </is>
      </c>
      <c r="C147" t="inlineStr">
        <is>
          <t>Samsung T7 Shield 2TB Portable SSD - Rugged, Fast, and Secure</t>
        </is>
      </c>
      <c r="D147" t="inlineStr">
        <is>
          <t>Hardware</t>
        </is>
      </c>
      <c r="E147" t="inlineStr">
        <is>
          <t>publish</t>
        </is>
      </c>
      <c r="F147" s="8" t="n">
        <v>1299</v>
      </c>
      <c r="G147" s="8" t="n">
        <v>1299</v>
      </c>
      <c r="H147" s="9" t="n">
        <v>209.83</v>
      </c>
      <c r="I147" s="10" t="n">
        <v>786.86</v>
      </c>
      <c r="J147" s="10" t="n">
        <v>786.86</v>
      </c>
      <c r="K147" s="10">
        <f>F147-J147</f>
        <v/>
      </c>
      <c r="L147" s="11">
        <f>IF(J147=0,0,(F147-J147)/J147)</f>
        <v/>
      </c>
      <c r="M147" t="inlineStr">
        <is>
          <t>instock</t>
        </is>
      </c>
      <c r="N147" s="12" t="inlineStr">
        <is>
          <t>🖼</t>
        </is>
      </c>
    </row>
    <row r="148">
      <c r="A148" s="2" t="n">
        <v>147</v>
      </c>
      <c r="B148" s="2" t="inlineStr">
        <is>
          <t>NG-MKR-010</t>
        </is>
      </c>
      <c r="C148" s="2" t="inlineStr">
        <is>
          <t>Elegoo Mars 4 Ultra Resin 3D Printer - 9K Resolution for Stunning Detail</t>
        </is>
      </c>
      <c r="D148" s="2" t="inlineStr">
        <is>
          <t>Enthusiasts &amp;amp; Gamers</t>
        </is>
      </c>
      <c r="E148" s="2" t="inlineStr">
        <is>
          <t>publish</t>
        </is>
      </c>
      <c r="F148" s="3" t="n">
        <v>2399</v>
      </c>
      <c r="G148" s="3" t="n">
        <v>2399</v>
      </c>
      <c r="H148" s="4" t="n">
        <v>417.6</v>
      </c>
      <c r="I148" s="5" t="n">
        <v>1566</v>
      </c>
      <c r="J148" s="5" t="n">
        <v>1566</v>
      </c>
      <c r="K148" s="5">
        <f>F148-J148</f>
        <v/>
      </c>
      <c r="L148" s="6">
        <f>IF(J148=0,0,(F148-J148)/J148)</f>
        <v/>
      </c>
      <c r="M148" s="2" t="inlineStr">
        <is>
          <t>instock</t>
        </is>
      </c>
      <c r="N148" s="7" t="inlineStr">
        <is>
          <t>🖼</t>
        </is>
      </c>
    </row>
    <row r="149">
      <c r="A149" t="n">
        <v>148</v>
      </c>
      <c r="B149" t="inlineStr">
        <is>
          <t>NG-MKR-009</t>
        </is>
      </c>
      <c r="C149" t="inlineStr">
        <is>
          <t>ESP32-S3 DevKit 10-Pack - Wi-Fi + Bluetooth 5 Microcontroller for Smart Projects</t>
        </is>
      </c>
      <c r="D149" t="inlineStr">
        <is>
          <t>Hardware</t>
        </is>
      </c>
      <c r="E149" t="inlineStr">
        <is>
          <t>publish</t>
        </is>
      </c>
      <c r="F149" s="8" t="n">
        <v>699</v>
      </c>
      <c r="G149" s="8" t="n">
        <v>809</v>
      </c>
      <c r="H149" s="9" t="n">
        <v>99.11</v>
      </c>
      <c r="I149" s="10" t="n">
        <v>371.66</v>
      </c>
      <c r="J149" s="10" t="n">
        <v>371.66</v>
      </c>
      <c r="K149" s="10">
        <f>F149-J149</f>
        <v/>
      </c>
      <c r="L149" s="11">
        <f>IF(J149=0,0,(F149-J149)/J149)</f>
        <v/>
      </c>
      <c r="M149" t="inlineStr">
        <is>
          <t>instock</t>
        </is>
      </c>
      <c r="N149" s="12" t="inlineStr">
        <is>
          <t>🖼</t>
        </is>
      </c>
    </row>
    <row r="150">
      <c r="A150" s="2" t="n">
        <v>149</v>
      </c>
      <c r="B150" s="2" t="inlineStr">
        <is>
          <t>NG-MKR-008</t>
        </is>
      </c>
      <c r="C150" s="2" t="inlineStr">
        <is>
          <t>Creality Ender-3 V3 SE - The Best Entry-Level 3D Printer</t>
        </is>
      </c>
      <c r="D150" s="2" t="inlineStr">
        <is>
          <t>Enthusiasts &amp;amp; Gamers</t>
        </is>
      </c>
      <c r="E150" s="2" t="inlineStr">
        <is>
          <t>publish</t>
        </is>
      </c>
      <c r="F150" s="3" t="n">
        <v>1199</v>
      </c>
      <c r="G150" s="3" t="n">
        <v>1199</v>
      </c>
      <c r="H150" s="4" t="n">
        <v>193.17</v>
      </c>
      <c r="I150" s="5" t="n">
        <v>724.39</v>
      </c>
      <c r="J150" s="5" t="n">
        <v>724.39</v>
      </c>
      <c r="K150" s="5">
        <f>F150-J150</f>
        <v/>
      </c>
      <c r="L150" s="6">
        <f>IF(J150=0,0,(F150-J150)/J150)</f>
        <v/>
      </c>
      <c r="M150" s="2" t="inlineStr">
        <is>
          <t>instock</t>
        </is>
      </c>
      <c r="N150" s="7" t="inlineStr">
        <is>
          <t>🖼</t>
        </is>
      </c>
    </row>
    <row r="151">
      <c r="A151" t="n">
        <v>150</v>
      </c>
      <c r="B151" t="inlineStr">
        <is>
          <t>NG-MKR-007</t>
        </is>
      </c>
      <c r="C151" t="inlineStr">
        <is>
          <t>Prusa Mini+ 3D Printer - Professional Precision in a Compact Package</t>
        </is>
      </c>
      <c r="D151" t="inlineStr">
        <is>
          <t>Enthusiasts &amp;amp; Gamers</t>
        </is>
      </c>
      <c r="E151" t="inlineStr">
        <is>
          <t>publish</t>
        </is>
      </c>
      <c r="F151" s="8" t="n">
        <v>3299</v>
      </c>
      <c r="G151" s="8" t="n">
        <v>3799</v>
      </c>
      <c r="H151" s="9" t="n">
        <v>577.6</v>
      </c>
      <c r="I151" s="10" t="n">
        <v>2166</v>
      </c>
      <c r="J151" s="10" t="n">
        <v>2166</v>
      </c>
      <c r="K151" s="10">
        <f>F151-J151</f>
        <v/>
      </c>
      <c r="L151" s="11">
        <f>IF(J151=0,0,(F151-J151)/J151)</f>
        <v/>
      </c>
      <c r="M151" t="inlineStr">
        <is>
          <t>instock</t>
        </is>
      </c>
      <c r="N151" s="12" t="inlineStr">
        <is>
          <t>🖼</t>
        </is>
      </c>
    </row>
    <row r="152">
      <c r="A152" s="2" t="n">
        <v>151</v>
      </c>
      <c r="B152" s="2" t="inlineStr">
        <is>
          <t>NG-MKR-006</t>
        </is>
      </c>
      <c r="C152" s="2" t="inlineStr">
        <is>
          <t>Arduino Mega 2560 Rev3 - The Ultimate Microcontroller Board for Advanced Projects</t>
        </is>
      </c>
      <c r="D152" s="2" t="inlineStr">
        <is>
          <t>Hardware</t>
        </is>
      </c>
      <c r="E152" s="2" t="inlineStr">
        <is>
          <t>publish</t>
        </is>
      </c>
      <c r="F152" s="3" t="n">
        <v>549</v>
      </c>
      <c r="G152" s="3" t="n">
        <v>549</v>
      </c>
      <c r="H152" s="4" t="n">
        <v>76.89</v>
      </c>
      <c r="I152" s="5" t="n">
        <v>288.34</v>
      </c>
      <c r="J152" s="5" t="n">
        <v>288.34</v>
      </c>
      <c r="K152" s="5">
        <f>F152-J152</f>
        <v/>
      </c>
      <c r="L152" s="6">
        <f>IF(J152=0,0,(F152-J152)/J152)</f>
        <v/>
      </c>
      <c r="M152" s="2" t="inlineStr">
        <is>
          <t>instock</t>
        </is>
      </c>
      <c r="N152" s="7" t="inlineStr">
        <is>
          <t>🖼</t>
        </is>
      </c>
    </row>
    <row r="153">
      <c r="A153" t="n">
        <v>152</v>
      </c>
      <c r="B153" t="inlineStr">
        <is>
          <t>NG-GAM-012</t>
        </is>
      </c>
      <c r="C153" t="inlineStr">
        <is>
          <t>Elgato Wave:3 - Premium USB Condenser Microphone for Streaming</t>
        </is>
      </c>
      <c r="D153" t="inlineStr">
        <is>
          <t>Gaming</t>
        </is>
      </c>
      <c r="E153" t="inlineStr">
        <is>
          <t>publish</t>
        </is>
      </c>
      <c r="F153" s="8" t="n">
        <v>1149</v>
      </c>
      <c r="G153" s="8" t="n">
        <v>1329</v>
      </c>
      <c r="H153" s="9" t="n">
        <v>184.83</v>
      </c>
      <c r="I153" s="10" t="n">
        <v>693.11</v>
      </c>
      <c r="J153" s="10" t="n">
        <v>693.11</v>
      </c>
      <c r="K153" s="10">
        <f>F153-J153</f>
        <v/>
      </c>
      <c r="L153" s="11">
        <f>IF(J153=0,0,(F153-J153)/J153)</f>
        <v/>
      </c>
      <c r="M153" t="inlineStr">
        <is>
          <t>instock</t>
        </is>
      </c>
      <c r="N153" s="12" t="inlineStr">
        <is>
          <t>🖼</t>
        </is>
      </c>
    </row>
    <row r="154">
      <c r="A154" s="2" t="n">
        <v>153</v>
      </c>
      <c r="B154" s="2" t="inlineStr">
        <is>
          <t>NG-GAM-011</t>
        </is>
      </c>
      <c r="C154" s="2" t="inlineStr">
        <is>
          <t>SteelSeries QcK Heavy XXL - Extra-Large Gaming Mouse Pad</t>
        </is>
      </c>
      <c r="D154" s="2" t="inlineStr">
        <is>
          <t>Gaming</t>
        </is>
      </c>
      <c r="E154" s="2" t="inlineStr">
        <is>
          <t>publish</t>
        </is>
      </c>
      <c r="F154" s="3" t="n">
        <v>289</v>
      </c>
      <c r="G154" s="3" t="n">
        <v>289</v>
      </c>
      <c r="H154" s="4" t="n">
        <v>38.37</v>
      </c>
      <c r="I154" s="5" t="n">
        <v>143.89</v>
      </c>
      <c r="J154" s="5" t="n">
        <v>143.89</v>
      </c>
      <c r="K154" s="5">
        <f>F154-J154</f>
        <v/>
      </c>
      <c r="L154" s="6">
        <f>IF(J154=0,0,(F154-J154)/J154)</f>
        <v/>
      </c>
      <c r="M154" s="2" t="inlineStr">
        <is>
          <t>instock</t>
        </is>
      </c>
      <c r="N154" s="7" t="inlineStr">
        <is>
          <t>🖼</t>
        </is>
      </c>
    </row>
    <row r="155">
      <c r="A155" t="n">
        <v>154</v>
      </c>
      <c r="B155" t="inlineStr">
        <is>
          <t>NG-GAM-010</t>
        </is>
      </c>
      <c r="C155" t="inlineStr">
        <is>
          <t>BenQ Zowie XL2546K - 240Hz Esports Gaming Monitor</t>
        </is>
      </c>
      <c r="D155" t="inlineStr">
        <is>
          <t>Gaming</t>
        </is>
      </c>
      <c r="E155" t="inlineStr">
        <is>
          <t>publish</t>
        </is>
      </c>
      <c r="F155" s="8" t="n">
        <v>2999</v>
      </c>
      <c r="G155" s="8" t="n">
        <v>3449</v>
      </c>
      <c r="H155" s="9" t="n">
        <v>524.27</v>
      </c>
      <c r="I155" s="10" t="n">
        <v>1966.01</v>
      </c>
      <c r="J155" s="10" t="n">
        <v>1966.01</v>
      </c>
      <c r="K155" s="10">
        <f>F155-J155</f>
        <v/>
      </c>
      <c r="L155" s="11">
        <f>IF(J155=0,0,(F155-J155)/J155)</f>
        <v/>
      </c>
      <c r="M155" t="inlineStr">
        <is>
          <t>instock</t>
        </is>
      </c>
      <c r="N155" s="12" t="inlineStr">
        <is>
          <t>🖼</t>
        </is>
      </c>
    </row>
    <row r="156">
      <c r="A156" s="2" t="n">
        <v>155</v>
      </c>
      <c r="B156" s="2" t="inlineStr">
        <is>
          <t>NG-GAM-009</t>
        </is>
      </c>
      <c r="C156" s="2" t="inlineStr">
        <is>
          <t>Corsair K70 RGB Pro - Legendary Mechanical Gaming Keyboard</t>
        </is>
      </c>
      <c r="D156" s="2" t="inlineStr">
        <is>
          <t>Gaming</t>
        </is>
      </c>
      <c r="E156" s="2" t="inlineStr">
        <is>
          <t>publish</t>
        </is>
      </c>
      <c r="F156" s="3" t="n">
        <v>999</v>
      </c>
      <c r="G156" s="3" t="n">
        <v>999</v>
      </c>
      <c r="H156" s="4" t="n">
        <v>159.83</v>
      </c>
      <c r="I156" s="5" t="n">
        <v>599.36</v>
      </c>
      <c r="J156" s="5" t="n">
        <v>599.36</v>
      </c>
      <c r="K156" s="5">
        <f>F156-J156</f>
        <v/>
      </c>
      <c r="L156" s="6">
        <f>IF(J156=0,0,(F156-J156)/J156)</f>
        <v/>
      </c>
      <c r="M156" s="2" t="inlineStr">
        <is>
          <t>instock</t>
        </is>
      </c>
      <c r="N156" s="7" t="inlineStr">
        <is>
          <t>🖼</t>
        </is>
      </c>
    </row>
    <row r="157">
      <c r="A157" t="n">
        <v>156</v>
      </c>
      <c r="B157" t="inlineStr">
        <is>
          <t>NG-GAM-008</t>
        </is>
      </c>
      <c r="C157" t="inlineStr">
        <is>
          <t>Razer Basilisk V3 X HyperSpeed - Versatile Wireless Gaming Mouse</t>
        </is>
      </c>
      <c r="D157" t="inlineStr">
        <is>
          <t>Gaming</t>
        </is>
      </c>
      <c r="E157" t="inlineStr">
        <is>
          <t>publish</t>
        </is>
      </c>
      <c r="F157" s="8" t="n">
        <v>649</v>
      </c>
      <c r="G157" s="8" t="n">
        <v>649</v>
      </c>
      <c r="H157" s="9" t="n">
        <v>91.7</v>
      </c>
      <c r="I157" s="10" t="n">
        <v>343.88</v>
      </c>
      <c r="J157" s="10" t="n">
        <v>343.88</v>
      </c>
      <c r="K157" s="10">
        <f>F157-J157</f>
        <v/>
      </c>
      <c r="L157" s="11">
        <f>IF(J157=0,0,(F157-J157)/J157)</f>
        <v/>
      </c>
      <c r="M157" t="inlineStr">
        <is>
          <t>instock</t>
        </is>
      </c>
      <c r="N157" s="12" t="inlineStr">
        <is>
          <t>🖼</t>
        </is>
      </c>
    </row>
    <row r="158">
      <c r="A158" s="2" t="n">
        <v>157</v>
      </c>
      <c r="B158" s="2" t="inlineStr">
        <is>
          <t>NG-GAM-007</t>
        </is>
      </c>
      <c r="C158" s="2" t="inlineStr">
        <is>
          <t>8BitDo Arcade Stick - Authentic Arcade Experience at Home</t>
        </is>
      </c>
      <c r="D158" s="2" t="inlineStr">
        <is>
          <t>Gaming</t>
        </is>
      </c>
      <c r="E158" s="2" t="inlineStr">
        <is>
          <t>publish</t>
        </is>
      </c>
      <c r="F158" s="3" t="n">
        <v>799</v>
      </c>
      <c r="G158" s="3" t="n">
        <v>799</v>
      </c>
      <c r="H158" s="4" t="n">
        <v>126.5</v>
      </c>
      <c r="I158" s="5" t="n">
        <v>474.38</v>
      </c>
      <c r="J158" s="5" t="n">
        <v>474.38</v>
      </c>
      <c r="K158" s="5">
        <f>F158-J158</f>
        <v/>
      </c>
      <c r="L158" s="6">
        <f>IF(J158=0,0,(F158-J158)/J158)</f>
        <v/>
      </c>
      <c r="M158" s="2" t="inlineStr">
        <is>
          <t>instock</t>
        </is>
      </c>
      <c r="N158" s="7" t="inlineStr">
        <is>
          <t>🖼</t>
        </is>
      </c>
    </row>
    <row r="159">
      <c r="A159" t="n">
        <v>158</v>
      </c>
      <c r="B159" t="inlineStr">
        <is>
          <t>NG-GAM-006</t>
        </is>
      </c>
      <c r="C159" t="inlineStr">
        <is>
          <t>SteelSeries Arctis Nova 7 - Multi-Platform Wireless Gaming Headset</t>
        </is>
      </c>
      <c r="D159" t="inlineStr">
        <is>
          <t>Gaming</t>
        </is>
      </c>
      <c r="E159" t="inlineStr">
        <is>
          <t>publish</t>
        </is>
      </c>
      <c r="F159" s="8" t="n">
        <v>1199</v>
      </c>
      <c r="G159" s="8" t="n">
        <v>1199</v>
      </c>
      <c r="H159" s="9" t="n">
        <v>193.17</v>
      </c>
      <c r="I159" s="10" t="n">
        <v>724.39</v>
      </c>
      <c r="J159" s="10" t="n">
        <v>724.39</v>
      </c>
      <c r="K159" s="10">
        <f>F159-J159</f>
        <v/>
      </c>
      <c r="L159" s="11">
        <f>IF(J159=0,0,(F159-J159)/J159)</f>
        <v/>
      </c>
      <c r="M159" t="inlineStr">
        <is>
          <t>instock</t>
        </is>
      </c>
      <c r="N159" s="12" t="inlineStr">
        <is>
          <t>🖼</t>
        </is>
      </c>
    </row>
    <row r="160">
      <c r="A160" s="2" t="n">
        <v>159</v>
      </c>
      <c r="B160" s="2" t="inlineStr">
        <is>
          <t>NG-GAM-005</t>
        </is>
      </c>
      <c r="C160" s="2" t="inlineStr">
        <is>
          <t>Elgato HD60 X - External Capture Card for Streaming and Recording</t>
        </is>
      </c>
      <c r="D160" s="2" t="inlineStr">
        <is>
          <t>Gaming</t>
        </is>
      </c>
      <c r="E160" s="2" t="inlineStr">
        <is>
          <t>publish</t>
        </is>
      </c>
      <c r="F160" s="3" t="n">
        <v>1249</v>
      </c>
      <c r="G160" s="3" t="n">
        <v>1249</v>
      </c>
      <c r="H160" s="4" t="n">
        <v>201.5</v>
      </c>
      <c r="I160" s="5" t="n">
        <v>755.62</v>
      </c>
      <c r="J160" s="5" t="n">
        <v>755.62</v>
      </c>
      <c r="K160" s="5">
        <f>F160-J160</f>
        <v/>
      </c>
      <c r="L160" s="6">
        <f>IF(J160=0,0,(F160-J160)/J160)</f>
        <v/>
      </c>
      <c r="M160" s="2" t="inlineStr">
        <is>
          <t>instock</t>
        </is>
      </c>
      <c r="N160" s="7" t="inlineStr">
        <is>
          <t>🖼</t>
        </is>
      </c>
    </row>
    <row r="161">
      <c r="A161" t="n">
        <v>160</v>
      </c>
      <c r="B161" t="inlineStr">
        <is>
          <t>NG-GAM-004</t>
        </is>
      </c>
      <c r="C161" t="inlineStr">
        <is>
          <t>Razer BlackWidow V4 75% - Compact Mechanical Gaming Keyboard</t>
        </is>
      </c>
      <c r="D161" t="inlineStr">
        <is>
          <t>Gaming</t>
        </is>
      </c>
      <c r="E161" t="inlineStr">
        <is>
          <t>publish</t>
        </is>
      </c>
      <c r="F161" s="8" t="n">
        <v>1199</v>
      </c>
      <c r="G161" s="8" t="n">
        <v>1199</v>
      </c>
      <c r="H161" s="9" t="n">
        <v>193.17</v>
      </c>
      <c r="I161" s="10" t="n">
        <v>724.39</v>
      </c>
      <c r="J161" s="10" t="n">
        <v>724.39</v>
      </c>
      <c r="K161" s="10">
        <f>F161-J161</f>
        <v/>
      </c>
      <c r="L161" s="11">
        <f>IF(J161=0,0,(F161-J161)/J161)</f>
        <v/>
      </c>
      <c r="M161" t="inlineStr">
        <is>
          <t>instock</t>
        </is>
      </c>
      <c r="N161" s="12" t="inlineStr">
        <is>
          <t>🖼</t>
        </is>
      </c>
    </row>
    <row r="162">
      <c r="A162" s="2" t="n">
        <v>161</v>
      </c>
      <c r="B162" s="2" t="inlineStr">
        <is>
          <t>NG-GAM-003</t>
        </is>
      </c>
      <c r="C162" s="2" t="inlineStr">
        <is>
          <t>HyperX Cloud III Wireless - Premium Wireless Gaming Headset</t>
        </is>
      </c>
      <c r="D162" s="2" t="inlineStr">
        <is>
          <t>Gaming</t>
        </is>
      </c>
      <c r="E162" s="2" t="inlineStr">
        <is>
          <t>publish</t>
        </is>
      </c>
      <c r="F162" s="3" t="n">
        <v>999</v>
      </c>
      <c r="G162" s="3" t="n">
        <v>1149</v>
      </c>
      <c r="H162" s="4" t="n">
        <v>159.83</v>
      </c>
      <c r="I162" s="5" t="n">
        <v>599.36</v>
      </c>
      <c r="J162" s="5" t="n">
        <v>599.36</v>
      </c>
      <c r="K162" s="5">
        <f>F162-J162</f>
        <v/>
      </c>
      <c r="L162" s="6">
        <f>IF(J162=0,0,(F162-J162)/J162)</f>
        <v/>
      </c>
      <c r="M162" s="2" t="inlineStr">
        <is>
          <t>instock</t>
        </is>
      </c>
      <c r="N162" s="7" t="inlineStr">
        <is>
          <t>🖼</t>
        </is>
      </c>
    </row>
    <row r="163">
      <c r="A163" t="n">
        <v>162</v>
      </c>
      <c r="B163" t="inlineStr">
        <is>
          <t>NG-GAM-002</t>
        </is>
      </c>
      <c r="C163" t="inlineStr">
        <is>
          <t>Razer DeathAdder V3 HyperSpeed - Ultra-Light Wireless Gaming Mouse</t>
        </is>
      </c>
      <c r="D163" t="inlineStr">
        <is>
          <t>Gaming</t>
        </is>
      </c>
      <c r="E163" t="inlineStr">
        <is>
          <t>publish</t>
        </is>
      </c>
      <c r="F163" s="8" t="n">
        <v>849</v>
      </c>
      <c r="G163" s="8" t="n">
        <v>979</v>
      </c>
      <c r="H163" s="9" t="n">
        <v>134.83</v>
      </c>
      <c r="I163" s="10" t="n">
        <v>505.61</v>
      </c>
      <c r="J163" s="10" t="n">
        <v>505.61</v>
      </c>
      <c r="K163" s="10">
        <f>F163-J163</f>
        <v/>
      </c>
      <c r="L163" s="11">
        <f>IF(J163=0,0,(F163-J163)/J163)</f>
        <v/>
      </c>
      <c r="M163" t="inlineStr">
        <is>
          <t>instock</t>
        </is>
      </c>
      <c r="N163" s="12" t="inlineStr">
        <is>
          <t>🖼</t>
        </is>
      </c>
    </row>
    <row r="164">
      <c r="A164" s="2" t="n">
        <v>163</v>
      </c>
      <c r="B164" s="2" t="inlineStr">
        <is>
          <t>NG-GAM-001</t>
        </is>
      </c>
      <c r="C164" s="2" t="inlineStr">
        <is>
          <t>8BitDo Ultimate C Bluetooth Controller - Multi-Platform Gaming</t>
        </is>
      </c>
      <c r="D164" s="2" t="inlineStr">
        <is>
          <t>Gaming</t>
        </is>
      </c>
      <c r="E164" s="2" t="inlineStr">
        <is>
          <t>publish</t>
        </is>
      </c>
      <c r="F164" s="3" t="n">
        <v>309</v>
      </c>
      <c r="G164" s="3" t="n">
        <v>359</v>
      </c>
      <c r="H164" s="4" t="n">
        <v>41.33</v>
      </c>
      <c r="I164" s="5" t="n">
        <v>154.99</v>
      </c>
      <c r="J164" s="5" t="n">
        <v>154.99</v>
      </c>
      <c r="K164" s="5">
        <f>F164-J164</f>
        <v/>
      </c>
      <c r="L164" s="6">
        <f>IF(J164=0,0,(F164-J164)/J164)</f>
        <v/>
      </c>
      <c r="M164" s="2" t="inlineStr">
        <is>
          <t>instock</t>
        </is>
      </c>
      <c r="N164" s="7" t="inlineStr">
        <is>
          <t>🖼</t>
        </is>
      </c>
    </row>
    <row r="165">
      <c r="A165" t="n">
        <v>164</v>
      </c>
      <c r="B165" t="inlineStr">
        <is>
          <t>NG-NET-012</t>
        </is>
      </c>
      <c r="C165" t="inlineStr">
        <is>
          <t>Ubiquiti UniFi Cloud Gateway Ultra - All-in-One UniFi Gateway</t>
        </is>
      </c>
      <c r="D165" t="inlineStr">
        <is>
          <t>Networking</t>
        </is>
      </c>
      <c r="E165" t="inlineStr">
        <is>
          <t>publish</t>
        </is>
      </c>
      <c r="F165" s="8" t="n">
        <v>899</v>
      </c>
      <c r="G165" s="8" t="n">
        <v>899</v>
      </c>
      <c r="H165" s="9" t="n">
        <v>143.17</v>
      </c>
      <c r="I165" s="10" t="n">
        <v>536.89</v>
      </c>
      <c r="J165" s="10" t="n">
        <v>536.89</v>
      </c>
      <c r="K165" s="10">
        <f>F165-J165</f>
        <v/>
      </c>
      <c r="L165" s="11">
        <f>IF(J165=0,0,(F165-J165)/J165)</f>
        <v/>
      </c>
      <c r="M165" t="inlineStr">
        <is>
          <t>instock</t>
        </is>
      </c>
      <c r="N165" s="12" t="inlineStr">
        <is>
          <t>🖼</t>
        </is>
      </c>
    </row>
    <row r="166">
      <c r="A166" s="2" t="n">
        <v>165</v>
      </c>
      <c r="B166" s="2" t="inlineStr">
        <is>
          <t>NG-NET-011</t>
        </is>
      </c>
      <c r="C166" s="2" t="inlineStr">
        <is>
          <t>TP-Link Archer AXE75 - AXE5400 Tri-Band WiFi 6E Router</t>
        </is>
      </c>
      <c r="D166" s="2" t="inlineStr">
        <is>
          <t>Networking</t>
        </is>
      </c>
      <c r="E166" s="2" t="inlineStr">
        <is>
          <t>publish</t>
        </is>
      </c>
      <c r="F166" s="3" t="n">
        <v>1299</v>
      </c>
      <c r="G166" s="3" t="n">
        <v>1499</v>
      </c>
      <c r="H166" s="4" t="n">
        <v>209.83</v>
      </c>
      <c r="I166" s="5" t="n">
        <v>786.86</v>
      </c>
      <c r="J166" s="5" t="n">
        <v>786.86</v>
      </c>
      <c r="K166" s="5">
        <f>F166-J166</f>
        <v/>
      </c>
      <c r="L166" s="6">
        <f>IF(J166=0,0,(F166-J166)/J166)</f>
        <v/>
      </c>
      <c r="M166" s="2" t="inlineStr">
        <is>
          <t>instock</t>
        </is>
      </c>
      <c r="N166" s="7" t="inlineStr">
        <is>
          <t>🖼</t>
        </is>
      </c>
    </row>
    <row r="167">
      <c r="A167" t="n">
        <v>166</v>
      </c>
      <c r="B167" t="inlineStr">
        <is>
          <t>NG-NET-010</t>
        </is>
      </c>
      <c r="C167" t="inlineStr">
        <is>
          <t>Ubiquiti UniFi USW-Flex-Mini - Ultra-Compact 5-Port Managed Switch</t>
        </is>
      </c>
      <c r="D167" t="inlineStr">
        <is>
          <t>Networking</t>
        </is>
      </c>
      <c r="E167" t="inlineStr">
        <is>
          <t>publish</t>
        </is>
      </c>
      <c r="F167" s="8" t="n">
        <v>219</v>
      </c>
      <c r="G167" s="8" t="n">
        <v>219</v>
      </c>
      <c r="H167" s="9" t="n">
        <v>25.87</v>
      </c>
      <c r="I167" s="10" t="n">
        <v>97.01000000000001</v>
      </c>
      <c r="J167" s="10" t="n">
        <v>97.01000000000001</v>
      </c>
      <c r="K167" s="10">
        <f>F167-J167</f>
        <v/>
      </c>
      <c r="L167" s="11">
        <f>IF(J167=0,0,(F167-J167)/J167)</f>
        <v/>
      </c>
      <c r="M167" t="inlineStr">
        <is>
          <t>instock</t>
        </is>
      </c>
      <c r="N167" s="12" t="inlineStr">
        <is>
          <t>🖼</t>
        </is>
      </c>
    </row>
    <row r="168">
      <c r="A168" s="2" t="n">
        <v>167</v>
      </c>
      <c r="B168" s="2" t="inlineStr">
        <is>
          <t>NG-NET-009</t>
        </is>
      </c>
      <c r="C168" s="2" t="inlineStr">
        <is>
          <t>Netgear GS308E - 8-Port Gigabit Plus Smart Managed Switch</t>
        </is>
      </c>
      <c r="D168" s="2" t="inlineStr">
        <is>
          <t>Networking</t>
        </is>
      </c>
      <c r="E168" s="2" t="inlineStr">
        <is>
          <t>publish</t>
        </is>
      </c>
      <c r="F168" s="3" t="n">
        <v>209</v>
      </c>
      <c r="G168" s="3" t="n">
        <v>209</v>
      </c>
      <c r="H168" s="4" t="n">
        <v>24.53</v>
      </c>
      <c r="I168" s="5" t="n">
        <v>91.98999999999999</v>
      </c>
      <c r="J168" s="5" t="n">
        <v>91.98999999999999</v>
      </c>
      <c r="K168" s="5">
        <f>F168-J168</f>
        <v/>
      </c>
      <c r="L168" s="6">
        <f>IF(J168=0,0,(F168-J168)/J168)</f>
        <v/>
      </c>
      <c r="M168" s="2" t="inlineStr">
        <is>
          <t>instock</t>
        </is>
      </c>
      <c r="N168" s="7" t="inlineStr">
        <is>
          <t>🖼</t>
        </is>
      </c>
    </row>
    <row r="169">
      <c r="A169" t="n">
        <v>168</v>
      </c>
      <c r="B169" t="inlineStr">
        <is>
          <t>NG-NET-008</t>
        </is>
      </c>
      <c r="C169" t="inlineStr">
        <is>
          <t>MikroTik hEX S (RB760iGS) - 5-Port Gigabit Router with SFP and USB</t>
        </is>
      </c>
      <c r="D169" t="inlineStr">
        <is>
          <t>Networking</t>
        </is>
      </c>
      <c r="E169" t="inlineStr">
        <is>
          <t>publish</t>
        </is>
      </c>
      <c r="F169" s="8" t="n">
        <v>649</v>
      </c>
      <c r="G169" s="8" t="n">
        <v>649</v>
      </c>
      <c r="H169" s="9" t="n">
        <v>91.7</v>
      </c>
      <c r="I169" s="10" t="n">
        <v>343.88</v>
      </c>
      <c r="J169" s="10" t="n">
        <v>343.88</v>
      </c>
      <c r="K169" s="10">
        <f>F169-J169</f>
        <v/>
      </c>
      <c r="L169" s="11">
        <f>IF(J169=0,0,(F169-J169)/J169)</f>
        <v/>
      </c>
      <c r="M169" t="inlineStr">
        <is>
          <t>instock</t>
        </is>
      </c>
      <c r="N169" s="12" t="inlineStr">
        <is>
          <t>🖼</t>
        </is>
      </c>
    </row>
    <row r="170">
      <c r="A170" s="2" t="n">
        <v>169</v>
      </c>
      <c r="B170" s="2" t="inlineStr">
        <is>
          <t>NG-NET-007</t>
        </is>
      </c>
      <c r="C170" s="2" t="inlineStr">
        <is>
          <t>Ubiquiti EdgeRouter X - Advanced Gigabit Router in a Pocket-Sized Form</t>
        </is>
      </c>
      <c r="D170" s="2" t="inlineStr">
        <is>
          <t>Networking</t>
        </is>
      </c>
      <c r="E170" s="2" t="inlineStr">
        <is>
          <t>publish</t>
        </is>
      </c>
      <c r="F170" s="3" t="n">
        <v>549</v>
      </c>
      <c r="G170" s="3" t="n">
        <v>549</v>
      </c>
      <c r="H170" s="4" t="n">
        <v>76.89</v>
      </c>
      <c r="I170" s="5" t="n">
        <v>288.34</v>
      </c>
      <c r="J170" s="5" t="n">
        <v>288.34</v>
      </c>
      <c r="K170" s="5">
        <f>F170-J170</f>
        <v/>
      </c>
      <c r="L170" s="6">
        <f>IF(J170=0,0,(F170-J170)/J170)</f>
        <v/>
      </c>
      <c r="M170" s="2" t="inlineStr">
        <is>
          <t>instock</t>
        </is>
      </c>
      <c r="N170" s="7" t="inlineStr">
        <is>
          <t>🖼</t>
        </is>
      </c>
    </row>
    <row r="171">
      <c r="A171" t="n">
        <v>170</v>
      </c>
      <c r="B171" t="inlineStr">
        <is>
          <t>NG-NET-006</t>
        </is>
      </c>
      <c r="C171" t="inlineStr">
        <is>
          <t>TP-Link TL-SG108E - 8-Port Gigabit Easy Smart Managed Switch</t>
        </is>
      </c>
      <c r="D171" t="inlineStr">
        <is>
          <t>Networking</t>
        </is>
      </c>
      <c r="E171" t="inlineStr">
        <is>
          <t>publish</t>
        </is>
      </c>
      <c r="F171" s="8" t="n">
        <v>229</v>
      </c>
      <c r="G171" s="8" t="n">
        <v>229</v>
      </c>
      <c r="H171" s="9" t="n">
        <v>27.2</v>
      </c>
      <c r="I171" s="10" t="n">
        <v>102</v>
      </c>
      <c r="J171" s="10" t="n">
        <v>102</v>
      </c>
      <c r="K171" s="10">
        <f>F171-J171</f>
        <v/>
      </c>
      <c r="L171" s="11">
        <f>IF(J171=0,0,(F171-J171)/J171)</f>
        <v/>
      </c>
      <c r="M171" t="inlineStr">
        <is>
          <t>instock</t>
        </is>
      </c>
      <c r="N171" s="12" t="inlineStr">
        <is>
          <t>🖼</t>
        </is>
      </c>
    </row>
    <row r="172">
      <c r="A172" s="2" t="n">
        <v>171</v>
      </c>
      <c r="B172" s="2" t="inlineStr">
        <is>
          <t>NG-NET-005</t>
        </is>
      </c>
      <c r="C172" s="2" t="inlineStr">
        <is>
          <t>Ubiquiti UniFi 6 Lite - WiFi 6 Access Point (AX1500)</t>
        </is>
      </c>
      <c r="D172" s="2" t="inlineStr">
        <is>
          <t>Networking</t>
        </is>
      </c>
      <c r="E172" s="2" t="inlineStr">
        <is>
          <t>publish</t>
        </is>
      </c>
      <c r="F172" s="3" t="n">
        <v>849</v>
      </c>
      <c r="G172" s="3" t="n">
        <v>849</v>
      </c>
      <c r="H172" s="4" t="n">
        <v>134.83</v>
      </c>
      <c r="I172" s="5" t="n">
        <v>505.61</v>
      </c>
      <c r="J172" s="5" t="n">
        <v>505.61</v>
      </c>
      <c r="K172" s="5">
        <f>F172-J172</f>
        <v/>
      </c>
      <c r="L172" s="6">
        <f>IF(J172=0,0,(F172-J172)/J172)</f>
        <v/>
      </c>
      <c r="M172" s="2" t="inlineStr">
        <is>
          <t>instock</t>
        </is>
      </c>
      <c r="N172" s="7" t="inlineStr">
        <is>
          <t>🖼</t>
        </is>
      </c>
    </row>
    <row r="173">
      <c r="A173" t="n">
        <v>172</v>
      </c>
      <c r="B173" t="inlineStr">
        <is>
          <t>NG-NET-004</t>
        </is>
      </c>
      <c r="C173" t="inlineStr">
        <is>
          <t>MikroTik CRS305-1G-4S+IN - 4-Port 10G SFP+ Desktop Switch</t>
        </is>
      </c>
      <c r="D173" t="inlineStr">
        <is>
          <t>Networking</t>
        </is>
      </c>
      <c r="E173" t="inlineStr">
        <is>
          <t>publish</t>
        </is>
      </c>
      <c r="F173" s="8" t="n">
        <v>1149</v>
      </c>
      <c r="G173" s="8" t="n">
        <v>1149</v>
      </c>
      <c r="H173" s="9" t="n">
        <v>184.83</v>
      </c>
      <c r="I173" s="10" t="n">
        <v>693.11</v>
      </c>
      <c r="J173" s="10" t="n">
        <v>693.11</v>
      </c>
      <c r="K173" s="10">
        <f>F173-J173</f>
        <v/>
      </c>
      <c r="L173" s="11">
        <f>IF(J173=0,0,(F173-J173)/J173)</f>
        <v/>
      </c>
      <c r="M173" t="inlineStr">
        <is>
          <t>instock</t>
        </is>
      </c>
      <c r="N173" s="12" t="inlineStr">
        <is>
          <t>🖼</t>
        </is>
      </c>
    </row>
    <row r="174">
      <c r="A174" s="2" t="n">
        <v>173</v>
      </c>
      <c r="B174" s="2" t="inlineStr">
        <is>
          <t>NG-NET-003</t>
        </is>
      </c>
      <c r="C174" s="2" t="inlineStr">
        <is>
          <t>Ubiquiti UniFi Switch Lite 16 PoE - 16-Port Managed Gigabit PoE+ Switch</t>
        </is>
      </c>
      <c r="D174" s="2" t="inlineStr">
        <is>
          <t>Networking</t>
        </is>
      </c>
      <c r="E174" s="2" t="inlineStr">
        <is>
          <t>publish</t>
        </is>
      </c>
      <c r="F174" s="3" t="n">
        <v>1399</v>
      </c>
      <c r="G174" s="3" t="n">
        <v>1399</v>
      </c>
      <c r="H174" s="4" t="n">
        <v>226.5</v>
      </c>
      <c r="I174" s="5" t="n">
        <v>849.38</v>
      </c>
      <c r="J174" s="5" t="n">
        <v>849.38</v>
      </c>
      <c r="K174" s="5">
        <f>F174-J174</f>
        <v/>
      </c>
      <c r="L174" s="6">
        <f>IF(J174=0,0,(F174-J174)/J174)</f>
        <v/>
      </c>
      <c r="M174" s="2" t="inlineStr">
        <is>
          <t>instock</t>
        </is>
      </c>
      <c r="N174" s="7" t="inlineStr">
        <is>
          <t>🖼</t>
        </is>
      </c>
    </row>
    <row r="175">
      <c r="A175" t="n">
        <v>174</v>
      </c>
      <c r="B175" t="inlineStr">
        <is>
          <t>NG-NET-002</t>
        </is>
      </c>
      <c r="C175" t="inlineStr">
        <is>
          <t>TP-Link Deco XE75 (3-Pack) - AXE5400 WiFi 6E Whole-Home Mesh System</t>
        </is>
      </c>
      <c r="D175" t="inlineStr">
        <is>
          <t>Networking</t>
        </is>
      </c>
      <c r="E175" t="inlineStr">
        <is>
          <t>publish</t>
        </is>
      </c>
      <c r="F175" s="8" t="n">
        <v>2099</v>
      </c>
      <c r="G175" s="8" t="n">
        <v>2419</v>
      </c>
      <c r="H175" s="9" t="n">
        <v>364.27</v>
      </c>
      <c r="I175" s="10" t="n">
        <v>1366.01</v>
      </c>
      <c r="J175" s="10" t="n">
        <v>1366.01</v>
      </c>
      <c r="K175" s="10">
        <f>F175-J175</f>
        <v/>
      </c>
      <c r="L175" s="11">
        <f>IF(J175=0,0,(F175-J175)/J175)</f>
        <v/>
      </c>
      <c r="M175" t="inlineStr">
        <is>
          <t>instock</t>
        </is>
      </c>
      <c r="N175" s="12" t="inlineStr">
        <is>
          <t>🖼</t>
        </is>
      </c>
    </row>
    <row r="176">
      <c r="A176" s="2" t="n">
        <v>175</v>
      </c>
      <c r="B176" s="2" t="inlineStr">
        <is>
          <t>NG-NET-001</t>
        </is>
      </c>
      <c r="C176" s="2" t="inlineStr">
        <is>
          <t>MikroTik hAP ax3 - WiFi 6 Router with RouterOS Power</t>
        </is>
      </c>
      <c r="D176" s="2" t="inlineStr">
        <is>
          <t>Networking</t>
        </is>
      </c>
      <c r="E176" s="2" t="inlineStr">
        <is>
          <t>publish</t>
        </is>
      </c>
      <c r="F176" s="3" t="n">
        <v>799</v>
      </c>
      <c r="G176" s="3" t="n">
        <v>799</v>
      </c>
      <c r="H176" s="4" t="n">
        <v>126.5</v>
      </c>
      <c r="I176" s="5" t="n">
        <v>474.38</v>
      </c>
      <c r="J176" s="5" t="n">
        <v>474.38</v>
      </c>
      <c r="K176" s="5">
        <f>F176-J176</f>
        <v/>
      </c>
      <c r="L176" s="6">
        <f>IF(J176=0,0,(F176-J176)/J176)</f>
        <v/>
      </c>
      <c r="M176" s="2" t="inlineStr">
        <is>
          <t>instock</t>
        </is>
      </c>
      <c r="N176" s="7" t="inlineStr">
        <is>
          <t>🖼</t>
        </is>
      </c>
    </row>
    <row r="177">
      <c r="A177" t="n">
        <v>176</v>
      </c>
      <c r="B177" t="inlineStr">
        <is>
          <t>NG-SH-015</t>
        </is>
      </c>
      <c r="C177" t="inlineStr">
        <is>
          <t>Sonoff SNZB-02D Zigbee Temperature &amp;amp; Humidity Sensor with LCD Display</t>
        </is>
      </c>
      <c r="D177" t="inlineStr">
        <is>
          <t>Smart Home &amp;amp; IoT</t>
        </is>
      </c>
      <c r="E177" t="inlineStr">
        <is>
          <t>publish</t>
        </is>
      </c>
      <c r="F177" s="8" t="n">
        <v>159</v>
      </c>
      <c r="G177" s="8" t="n">
        <v>159</v>
      </c>
      <c r="H177" s="9" t="n">
        <v>17.87</v>
      </c>
      <c r="I177" s="10" t="n">
        <v>67.01000000000001</v>
      </c>
      <c r="J177" s="10" t="n">
        <v>67.01000000000001</v>
      </c>
      <c r="K177" s="10">
        <f>F177-J177</f>
        <v/>
      </c>
      <c r="L177" s="11">
        <f>IF(J177=0,0,(F177-J177)/J177)</f>
        <v/>
      </c>
      <c r="M177" t="inlineStr">
        <is>
          <t>instock</t>
        </is>
      </c>
      <c r="N177" s="12" t="inlineStr">
        <is>
          <t>🖼</t>
        </is>
      </c>
    </row>
    <row r="178">
      <c r="A178" s="2" t="n">
        <v>177</v>
      </c>
      <c r="B178" s="2" t="inlineStr">
        <is>
          <t>NG-SH-014</t>
        </is>
      </c>
      <c r="C178" s="2" t="inlineStr">
        <is>
          <t>MOES Zigbee Smart Thermostat (BHT-002-GCLZB) - Programmable HVAC Control</t>
        </is>
      </c>
      <c r="D178" s="2" t="inlineStr">
        <is>
          <t>Smart Home &amp;amp; IoT</t>
        </is>
      </c>
      <c r="E178" s="2" t="inlineStr">
        <is>
          <t>publish</t>
        </is>
      </c>
      <c r="F178" s="3" t="n">
        <v>379</v>
      </c>
      <c r="G178" s="3" t="n">
        <v>439</v>
      </c>
      <c r="H178" s="4" t="n">
        <v>51.7</v>
      </c>
      <c r="I178" s="5" t="n">
        <v>193.88</v>
      </c>
      <c r="J178" s="5" t="n">
        <v>193.88</v>
      </c>
      <c r="K178" s="5">
        <f>F178-J178</f>
        <v/>
      </c>
      <c r="L178" s="6">
        <f>IF(J178=0,0,(F178-J178)/J178)</f>
        <v/>
      </c>
      <c r="M178" s="2" t="inlineStr">
        <is>
          <t>instock</t>
        </is>
      </c>
      <c r="N178" s="7" t="inlineStr">
        <is>
          <t>🖼</t>
        </is>
      </c>
    </row>
    <row r="179">
      <c r="A179" t="n">
        <v>178</v>
      </c>
      <c r="B179" t="inlineStr">
        <is>
          <t>NG-SH-013</t>
        </is>
      </c>
      <c r="C179" t="inlineStr">
        <is>
          <t>Zemismart Zigbee Smart Tubular Motor (ZM25TQ) - Heavy-Duty Roller Blind Motor</t>
        </is>
      </c>
      <c r="D179" t="inlineStr">
        <is>
          <t>Smart Home &amp;amp; IoT</t>
        </is>
      </c>
      <c r="E179" t="inlineStr">
        <is>
          <t>publish</t>
        </is>
      </c>
      <c r="F179" s="8" t="n">
        <v>699</v>
      </c>
      <c r="G179" s="8" t="n">
        <v>699</v>
      </c>
      <c r="H179" s="9" t="n">
        <v>99.11</v>
      </c>
      <c r="I179" s="10" t="n">
        <v>371.66</v>
      </c>
      <c r="J179" s="10" t="n">
        <v>371.66</v>
      </c>
      <c r="K179" s="10">
        <f>F179-J179</f>
        <v/>
      </c>
      <c r="L179" s="11">
        <f>IF(J179=0,0,(F179-J179)/J179)</f>
        <v/>
      </c>
      <c r="M179" t="inlineStr">
        <is>
          <t>instock</t>
        </is>
      </c>
      <c r="N179" s="12" t="inlineStr">
        <is>
          <t>🖼</t>
        </is>
      </c>
    </row>
    <row r="180">
      <c r="A180" s="2" t="n">
        <v>179</v>
      </c>
      <c r="B180" s="2" t="inlineStr">
        <is>
          <t>NG-SH-012</t>
        </is>
      </c>
      <c r="C180" s="2" t="inlineStr">
        <is>
          <t>Aqara Roller Shade Driver E1 (RSD-M01) - Smart Roller Blind Motor with HomeKit</t>
        </is>
      </c>
      <c r="D180" s="2" t="inlineStr">
        <is>
          <t>Smart Home &amp;amp; IoT</t>
        </is>
      </c>
      <c r="E180" s="2" t="inlineStr">
        <is>
          <t>publish</t>
        </is>
      </c>
      <c r="F180" s="3" t="n">
        <v>599</v>
      </c>
      <c r="G180" s="3" t="n">
        <v>689</v>
      </c>
      <c r="H180" s="4" t="n">
        <v>84.3</v>
      </c>
      <c r="I180" s="5" t="n">
        <v>316.12</v>
      </c>
      <c r="J180" s="5" t="n">
        <v>316.12</v>
      </c>
      <c r="K180" s="5">
        <f>F180-J180</f>
        <v/>
      </c>
      <c r="L180" s="6">
        <f>IF(J180=0,0,(F180-J180)/J180)</f>
        <v/>
      </c>
      <c r="M180" s="2" t="inlineStr">
        <is>
          <t>instock</t>
        </is>
      </c>
      <c r="N180" s="7" t="inlineStr">
        <is>
          <t>🖼</t>
        </is>
      </c>
    </row>
    <row r="181">
      <c r="A181" t="n">
        <v>180</v>
      </c>
      <c r="B181" t="inlineStr">
        <is>
          <t>NG-SH-011</t>
        </is>
      </c>
      <c r="C181" t="inlineStr">
        <is>
          <t>SwitchBot Bot (S1) - Robotic Finger That Makes Any Button Smart</t>
        </is>
      </c>
      <c r="D181" t="inlineStr">
        <is>
          <t>Smart Home &amp;amp; IoT</t>
        </is>
      </c>
      <c r="E181" t="inlineStr">
        <is>
          <t>publish</t>
        </is>
      </c>
      <c r="F181" s="8" t="n">
        <v>279</v>
      </c>
      <c r="G181" s="8" t="n">
        <v>279</v>
      </c>
      <c r="H181" s="9" t="n">
        <v>36.89</v>
      </c>
      <c r="I181" s="10" t="n">
        <v>138.34</v>
      </c>
      <c r="J181" s="10" t="n">
        <v>138.34</v>
      </c>
      <c r="K181" s="10">
        <f>F181-J181</f>
        <v/>
      </c>
      <c r="L181" s="11">
        <f>IF(J181=0,0,(F181-J181)/J181)</f>
        <v/>
      </c>
      <c r="M181" t="inlineStr">
        <is>
          <t>instock</t>
        </is>
      </c>
      <c r="N181" s="12" t="inlineStr">
        <is>
          <t>🖼</t>
        </is>
      </c>
    </row>
    <row r="182">
      <c r="A182" s="2" t="n">
        <v>181</v>
      </c>
      <c r="B182" s="2" t="inlineStr">
        <is>
          <t>NG-SH-010</t>
        </is>
      </c>
      <c r="C182" s="2" t="inlineStr">
        <is>
          <t>Eve Energy Smart Plug (Matter/Thread) - Next-Gen Smart Plug with Power Monitoring</t>
        </is>
      </c>
      <c r="D182" s="2" t="inlineStr">
        <is>
          <t>Smart Home &amp;amp; IoT</t>
        </is>
      </c>
      <c r="E182" s="2" t="inlineStr">
        <is>
          <t>publish</t>
        </is>
      </c>
      <c r="F182" s="3" t="n">
        <v>399</v>
      </c>
      <c r="G182" s="3" t="n">
        <v>399</v>
      </c>
      <c r="H182" s="4" t="n">
        <v>54.67</v>
      </c>
      <c r="I182" s="5" t="n">
        <v>205.01</v>
      </c>
      <c r="J182" s="5" t="n">
        <v>205.01</v>
      </c>
      <c r="K182" s="5">
        <f>F182-J182</f>
        <v/>
      </c>
      <c r="L182" s="6">
        <f>IF(J182=0,0,(F182-J182)/J182)</f>
        <v/>
      </c>
      <c r="M182" s="2" t="inlineStr">
        <is>
          <t>instock</t>
        </is>
      </c>
      <c r="N182" s="7" t="inlineStr">
        <is>
          <t>🖼</t>
        </is>
      </c>
    </row>
    <row r="183">
      <c r="A183" t="n">
        <v>182</v>
      </c>
      <c r="B183" t="inlineStr">
        <is>
          <t>NG-SH-009</t>
        </is>
      </c>
      <c r="C183" t="inlineStr">
        <is>
          <t>Aqara Motion Sensor P1 (MS-S02) - Wide-Angle 170° Smart PIR Sensor</t>
        </is>
      </c>
      <c r="D183" t="inlineStr">
        <is>
          <t>Smart Home &amp;amp; IoT</t>
        </is>
      </c>
      <c r="E183" t="inlineStr">
        <is>
          <t>publish</t>
        </is>
      </c>
      <c r="F183" s="8" t="n">
        <v>279</v>
      </c>
      <c r="G183" s="8" t="n">
        <v>279</v>
      </c>
      <c r="H183" s="9" t="n">
        <v>36.89</v>
      </c>
      <c r="I183" s="10" t="n">
        <v>138.34</v>
      </c>
      <c r="J183" s="10" t="n">
        <v>138.34</v>
      </c>
      <c r="K183" s="10">
        <f>F183-J183</f>
        <v/>
      </c>
      <c r="L183" s="11">
        <f>IF(J183=0,0,(F183-J183)/J183)</f>
        <v/>
      </c>
      <c r="M183" t="inlineStr">
        <is>
          <t>instock</t>
        </is>
      </c>
      <c r="N183" s="12" t="inlineStr">
        <is>
          <t>🖼</t>
        </is>
      </c>
    </row>
    <row r="184">
      <c r="A184" s="2" t="n">
        <v>183</v>
      </c>
      <c r="B184" s="2" t="inlineStr">
        <is>
          <t>NG-SH-008</t>
        </is>
      </c>
      <c r="C184" s="2" t="inlineStr">
        <is>
          <t>Shelly Plus 1PM - Smart Wi-Fi Relay with Power Monitoring</t>
        </is>
      </c>
      <c r="D184" s="2" t="inlineStr">
        <is>
          <t>Smart Home &amp;amp; IoT</t>
        </is>
      </c>
      <c r="E184" s="2" t="inlineStr">
        <is>
          <t>publish</t>
        </is>
      </c>
      <c r="F184" s="3" t="n">
        <v>189</v>
      </c>
      <c r="G184" s="3" t="n">
        <v>189</v>
      </c>
      <c r="H184" s="4" t="n">
        <v>21.87</v>
      </c>
      <c r="I184" s="5" t="n">
        <v>82.01000000000001</v>
      </c>
      <c r="J184" s="5" t="n">
        <v>82.01000000000001</v>
      </c>
      <c r="K184" s="5">
        <f>F184-J184</f>
        <v/>
      </c>
      <c r="L184" s="6">
        <f>IF(J184=0,0,(F184-J184)/J184)</f>
        <v/>
      </c>
      <c r="M184" s="2" t="inlineStr">
        <is>
          <t>instock</t>
        </is>
      </c>
      <c r="N184" s="7" t="inlineStr">
        <is>
          <t>🖼</t>
        </is>
      </c>
    </row>
    <row r="185">
      <c r="A185" t="n">
        <v>184</v>
      </c>
      <c r="B185" t="inlineStr">
        <is>
          <t>NG-SH-007</t>
        </is>
      </c>
      <c r="C185" t="inlineStr">
        <is>
          <t>SwitchBot Curtain 3 (W2400000) - Turn Any Curtain Smart in Minutes</t>
        </is>
      </c>
      <c r="D185" t="inlineStr">
        <is>
          <t>Smart Home &amp;amp; IoT</t>
        </is>
      </c>
      <c r="E185" t="inlineStr">
        <is>
          <t>publish</t>
        </is>
      </c>
      <c r="F185" s="8" t="n">
        <v>549</v>
      </c>
      <c r="G185" s="8" t="n">
        <v>639</v>
      </c>
      <c r="H185" s="9" t="n">
        <v>76.89</v>
      </c>
      <c r="I185" s="10" t="n">
        <v>288.34</v>
      </c>
      <c r="J185" s="10" t="n">
        <v>288.34</v>
      </c>
      <c r="K185" s="10">
        <f>F185-J185</f>
        <v/>
      </c>
      <c r="L185" s="11">
        <f>IF(J185=0,0,(F185-J185)/J185)</f>
        <v/>
      </c>
      <c r="M185" t="inlineStr">
        <is>
          <t>instock</t>
        </is>
      </c>
      <c r="N185" s="12" t="inlineStr">
        <is>
          <t>🖼</t>
        </is>
      </c>
    </row>
    <row r="186">
      <c r="A186" s="2" t="n">
        <v>185</v>
      </c>
      <c r="B186" s="2" t="inlineStr">
        <is>
          <t>NG-SH-006</t>
        </is>
      </c>
      <c r="C186" s="2" t="inlineStr">
        <is>
          <t>Aqara Hub M2 (HM2-G01) - Multi-Protocol Smart Home Gateway</t>
        </is>
      </c>
      <c r="D186" s="2" t="inlineStr">
        <is>
          <t>Smart Home &amp;amp; IoT</t>
        </is>
      </c>
      <c r="E186" s="2" t="inlineStr">
        <is>
          <t>publish</t>
        </is>
      </c>
      <c r="F186" s="3" t="n">
        <v>499</v>
      </c>
      <c r="G186" s="3" t="n">
        <v>499</v>
      </c>
      <c r="H186" s="4" t="n">
        <v>69.48</v>
      </c>
      <c r="I186" s="5" t="n">
        <v>260.55</v>
      </c>
      <c r="J186" s="5" t="n">
        <v>260.55</v>
      </c>
      <c r="K186" s="5">
        <f>F186-J186</f>
        <v/>
      </c>
      <c r="L186" s="6">
        <f>IF(J186=0,0,(F186-J186)/J186)</f>
        <v/>
      </c>
      <c r="M186" s="2" t="inlineStr">
        <is>
          <t>instock</t>
        </is>
      </c>
      <c r="N186" s="7" t="inlineStr">
        <is>
          <t>🖼</t>
        </is>
      </c>
    </row>
    <row r="187">
      <c r="A187" t="n">
        <v>186</v>
      </c>
      <c r="B187" t="inlineStr">
        <is>
          <t>NG-ENT-010</t>
        </is>
      </c>
      <c r="C187" t="inlineStr">
        <is>
          <t>Ubiquiti UniFi Switch Pro 24 PoE (USW-Pro-24-PoE) - Smart Managed PoE+ Switch</t>
        </is>
      </c>
      <c r="D187" t="inlineStr">
        <is>
          <t>Homelab</t>
        </is>
      </c>
      <c r="E187" t="inlineStr">
        <is>
          <t>publish</t>
        </is>
      </c>
      <c r="F187" s="8" t="n">
        <v>4199</v>
      </c>
      <c r="G187" s="8" t="n">
        <v>4199</v>
      </c>
      <c r="H187" s="9" t="n">
        <v>737.6</v>
      </c>
      <c r="I187" s="10" t="n">
        <v>2766</v>
      </c>
      <c r="J187" s="10" t="n">
        <v>2766</v>
      </c>
      <c r="K187" s="10">
        <f>F187-J187</f>
        <v/>
      </c>
      <c r="L187" s="11">
        <f>IF(J187=0,0,(F187-J187)/J187)</f>
        <v/>
      </c>
      <c r="M187" t="inlineStr">
        <is>
          <t>instock</t>
        </is>
      </c>
      <c r="N187" s="12" t="inlineStr">
        <is>
          <t>🖼</t>
        </is>
      </c>
    </row>
    <row r="188">
      <c r="A188" s="2" t="n">
        <v>187</v>
      </c>
      <c r="B188" s="2" t="inlineStr">
        <is>
          <t>NG-ENT-009</t>
        </is>
      </c>
      <c r="C188" s="2" t="inlineStr">
        <is>
          <t>HPE ProLiant DL380 Gen10 Server (Refurbished) - Data Center Power at Smart Pricing</t>
        </is>
      </c>
      <c r="D188" s="2" t="inlineStr">
        <is>
          <t>Homelab</t>
        </is>
      </c>
      <c r="E188" s="2" t="inlineStr">
        <is>
          <t>publish</t>
        </is>
      </c>
      <c r="F188" s="3" t="n">
        <v>6499</v>
      </c>
      <c r="G188" s="3" t="n">
        <v>6499</v>
      </c>
      <c r="H188" s="4" t="n">
        <v>1264</v>
      </c>
      <c r="I188" s="5" t="n">
        <v>4740</v>
      </c>
      <c r="J188" s="5" t="n">
        <v>4740</v>
      </c>
      <c r="K188" s="5">
        <f>F188-J188</f>
        <v/>
      </c>
      <c r="L188" s="6">
        <f>IF(J188=0,0,(F188-J188)/J188)</f>
        <v/>
      </c>
      <c r="M188" s="2" t="inlineStr">
        <is>
          <t>instock</t>
        </is>
      </c>
      <c r="N188" s="7" t="inlineStr">
        <is>
          <t>🖼</t>
        </is>
      </c>
    </row>
    <row r="189">
      <c r="A189" t="n">
        <v>188</v>
      </c>
      <c r="B189" t="inlineStr">
        <is>
          <t>NG-ENT-008</t>
        </is>
      </c>
      <c r="C189" t="inlineStr">
        <is>
          <t>APC Smart-UPS 1500VA LCD RM 2U (SMT1500RMI2U) - Pure Sine Wave Rack UPS</t>
        </is>
      </c>
      <c r="D189" t="inlineStr">
        <is>
          <t>Homelab</t>
        </is>
      </c>
      <c r="E189" t="inlineStr">
        <is>
          <t>publish</t>
        </is>
      </c>
      <c r="F189" s="8" t="n">
        <v>4899</v>
      </c>
      <c r="G189" s="8" t="n">
        <v>4899</v>
      </c>
      <c r="H189" s="9" t="n">
        <v>862.04</v>
      </c>
      <c r="I189" s="10" t="n">
        <v>3232.65</v>
      </c>
      <c r="J189" s="10" t="n">
        <v>3232.65</v>
      </c>
      <c r="K189" s="10">
        <f>F189-J189</f>
        <v/>
      </c>
      <c r="L189" s="11">
        <f>IF(J189=0,0,(F189-J189)/J189)</f>
        <v/>
      </c>
      <c r="M189" t="inlineStr">
        <is>
          <t>instock</t>
        </is>
      </c>
      <c r="N189" s="12" t="inlineStr">
        <is>
          <t>🖼</t>
        </is>
      </c>
    </row>
    <row r="190">
      <c r="A190" s="2" t="n">
        <v>189</v>
      </c>
      <c r="B190" s="2" t="inlineStr">
        <is>
          <t>NG-ENT-007</t>
        </is>
      </c>
      <c r="C190" s="2" t="inlineStr">
        <is>
          <t>MikroTik CRS326-24G-2S+RM 24-Port Managed Gigabit Switch with 10G SFP+</t>
        </is>
      </c>
      <c r="D190" s="2" t="inlineStr">
        <is>
          <t>Homelab</t>
        </is>
      </c>
      <c r="E190" s="2" t="inlineStr">
        <is>
          <t>publish</t>
        </is>
      </c>
      <c r="F190" s="3" t="n">
        <v>1649</v>
      </c>
      <c r="G190" s="3" t="n">
        <v>1649</v>
      </c>
      <c r="H190" s="4" t="n">
        <v>268.17</v>
      </c>
      <c r="I190" s="5" t="n">
        <v>1005.64</v>
      </c>
      <c r="J190" s="5" t="n">
        <v>1005.64</v>
      </c>
      <c r="K190" s="5">
        <f>F190-J190</f>
        <v/>
      </c>
      <c r="L190" s="6">
        <f>IF(J190=0,0,(F190-J190)/J190)</f>
        <v/>
      </c>
      <c r="M190" s="2" t="inlineStr">
        <is>
          <t>instock</t>
        </is>
      </c>
      <c r="N190" s="7" t="inlineStr">
        <is>
          <t>🖼</t>
        </is>
      </c>
    </row>
    <row r="191">
      <c r="A191" t="n">
        <v>190</v>
      </c>
      <c r="B191" t="inlineStr">
        <is>
          <t>NG-ENT-006</t>
        </is>
      </c>
      <c r="C191" t="inlineStr">
        <is>
          <t>Synology DiskStation DS1621+ 6-Bay NAS - Enterprise Storage Powerhouse</t>
        </is>
      </c>
      <c r="D191" t="inlineStr">
        <is>
          <t>Homelab</t>
        </is>
      </c>
      <c r="E191" t="inlineStr">
        <is>
          <t>publish</t>
        </is>
      </c>
      <c r="F191" s="8" t="n">
        <v>5599</v>
      </c>
      <c r="G191" s="8" t="n">
        <v>5599</v>
      </c>
      <c r="H191" s="9" t="n">
        <v>986.49</v>
      </c>
      <c r="I191" s="10" t="n">
        <v>3699.34</v>
      </c>
      <c r="J191" s="10" t="n">
        <v>3699.34</v>
      </c>
      <c r="K191" s="10">
        <f>F191-J191</f>
        <v/>
      </c>
      <c r="L191" s="11">
        <f>IF(J191=0,0,(F191-J191)/J191)</f>
        <v/>
      </c>
      <c r="M191" t="inlineStr">
        <is>
          <t>instock</t>
        </is>
      </c>
      <c r="N191" s="12" t="inlineStr">
        <is>
          <t>🖼</t>
        </is>
      </c>
    </row>
    <row r="192">
      <c r="A192" s="2" t="n">
        <v>191</v>
      </c>
      <c r="B192" s="2" t="inlineStr">
        <is>
          <t>NG-ACC-005</t>
        </is>
      </c>
      <c r="C192" s="2" t="inlineStr">
        <is>
          <t>Flipper Zero - The Ultimate Multi-Tool for Geeks and Cyber-Research</t>
        </is>
      </c>
      <c r="D192" s="2" t="inlineStr">
        <is>
          <t>Accessories &amp;amp; Lifestyle</t>
        </is>
      </c>
      <c r="E192" s="2" t="inlineStr">
        <is>
          <t>publish</t>
        </is>
      </c>
      <c r="F192" s="3" t="n">
        <v>1799</v>
      </c>
      <c r="G192" s="3" t="n">
        <v>1799</v>
      </c>
      <c r="H192" s="4" t="n">
        <v>293.17</v>
      </c>
      <c r="I192" s="5" t="n">
        <v>1099.39</v>
      </c>
      <c r="J192" s="5" t="n">
        <v>1099.39</v>
      </c>
      <c r="K192" s="5">
        <f>F192-J192</f>
        <v/>
      </c>
      <c r="L192" s="6">
        <f>IF(J192=0,0,(F192-J192)/J192)</f>
        <v/>
      </c>
      <c r="M192" s="2" t="inlineStr">
        <is>
          <t>instock</t>
        </is>
      </c>
      <c r="N192" s="7" t="inlineStr">
        <is>
          <t>🖼</t>
        </is>
      </c>
    </row>
    <row r="193">
      <c r="A193" t="n">
        <v>192</v>
      </c>
      <c r="B193" t="inlineStr">
        <is>
          <t>NG-ACC-004</t>
        </is>
      </c>
      <c r="C193" t="inlineStr">
        <is>
          <t>Seagate IronWolf 18TB NAS Internal Hard Drive - Built for 24/7 Performance</t>
        </is>
      </c>
      <c r="D193" t="inlineStr">
        <is>
          <t>Hardware</t>
        </is>
      </c>
      <c r="E193" t="inlineStr">
        <is>
          <t>publish</t>
        </is>
      </c>
      <c r="F193" s="8" t="n">
        <v>2699</v>
      </c>
      <c r="G193" s="8" t="n">
        <v>3109</v>
      </c>
      <c r="H193" s="9" t="n">
        <v>470.93</v>
      </c>
      <c r="I193" s="10" t="n">
        <v>1765.99</v>
      </c>
      <c r="J193" s="10" t="n">
        <v>1765.99</v>
      </c>
      <c r="K193" s="10">
        <f>F193-J193</f>
        <v/>
      </c>
      <c r="L193" s="11">
        <f>IF(J193=0,0,(F193-J193)/J193)</f>
        <v/>
      </c>
      <c r="M193" t="inlineStr">
        <is>
          <t>instock</t>
        </is>
      </c>
      <c r="N193" s="12" t="inlineStr">
        <is>
          <t>🖼</t>
        </is>
      </c>
    </row>
    <row r="194">
      <c r="A194" s="2" t="n">
        <v>193</v>
      </c>
      <c r="B194" s="2" t="inlineStr">
        <is>
          <t>NG-ACC-003</t>
        </is>
      </c>
      <c r="C194" s="2" t="inlineStr">
        <is>
          <t>Mark Ryden Anti-theft Laptop Backpack - Maximum Protection for Your Tech</t>
        </is>
      </c>
      <c r="D194" s="2" t="inlineStr">
        <is>
          <t>Accessories &amp;amp; Lifestyle</t>
        </is>
      </c>
      <c r="E194" s="2" t="inlineStr">
        <is>
          <t>publish</t>
        </is>
      </c>
      <c r="F194" s="3" t="n">
        <v>409</v>
      </c>
      <c r="G194" s="3" t="n">
        <v>479</v>
      </c>
      <c r="H194" s="4" t="n">
        <v>56.15</v>
      </c>
      <c r="I194" s="5" t="n">
        <v>210.56</v>
      </c>
      <c r="J194" s="5" t="n">
        <v>210.56</v>
      </c>
      <c r="K194" s="5">
        <f>F194-J194</f>
        <v/>
      </c>
      <c r="L194" s="6">
        <f>IF(J194=0,0,(F194-J194)/J194)</f>
        <v/>
      </c>
      <c r="M194" s="2" t="inlineStr">
        <is>
          <t>instock</t>
        </is>
      </c>
      <c r="N194" s="7" t="inlineStr">
        <is>
          <t>🖼</t>
        </is>
      </c>
    </row>
    <row r="195">
      <c r="A195" t="n">
        <v>194</v>
      </c>
      <c r="B195" t="inlineStr">
        <is>
          <t>NG-ACC-002</t>
        </is>
      </c>
      <c r="C195" t="inlineStr">
        <is>
          <t>Anker 735 GaN 65W Charger - Compact 3-Port Fast Charger</t>
        </is>
      </c>
      <c r="D195" t="inlineStr">
        <is>
          <t>Accessories &amp;amp; Lifestyle</t>
        </is>
      </c>
      <c r="E195" t="inlineStr">
        <is>
          <t>publish</t>
        </is>
      </c>
      <c r="F195" s="8" t="n">
        <v>379</v>
      </c>
      <c r="G195" s="8" t="n">
        <v>379</v>
      </c>
      <c r="H195" s="9" t="n">
        <v>51.7</v>
      </c>
      <c r="I195" s="10" t="n">
        <v>193.88</v>
      </c>
      <c r="J195" s="10" t="n">
        <v>193.88</v>
      </c>
      <c r="K195" s="10">
        <f>F195-J195</f>
        <v/>
      </c>
      <c r="L195" s="11">
        <f>IF(J195=0,0,(F195-J195)/J195)</f>
        <v/>
      </c>
      <c r="M195" t="inlineStr">
        <is>
          <t>instock</t>
        </is>
      </c>
      <c r="N195" s="12" t="inlineStr">
        <is>
          <t>🖼</t>
        </is>
      </c>
    </row>
    <row r="196">
      <c r="A196" s="2" t="n">
        <v>195</v>
      </c>
      <c r="B196" s="2" t="inlineStr">
        <is>
          <t>NG-ACC-001</t>
        </is>
      </c>
      <c r="C196" s="2" t="inlineStr">
        <is>
          <t>Baseus Blade 100W Power Bank - Ultra-Slim Laptop Portable Charger</t>
        </is>
      </c>
      <c r="D196" s="2" t="inlineStr">
        <is>
          <t>Accessories &amp;amp; Lifestyle</t>
        </is>
      </c>
      <c r="E196" s="2" t="inlineStr">
        <is>
          <t>publish</t>
        </is>
      </c>
      <c r="F196" s="3" t="n">
        <v>499</v>
      </c>
      <c r="G196" s="3" t="n">
        <v>499</v>
      </c>
      <c r="H196" s="4" t="n">
        <v>69.48</v>
      </c>
      <c r="I196" s="5" t="n">
        <v>260.55</v>
      </c>
      <c r="J196" s="5" t="n">
        <v>260.55</v>
      </c>
      <c r="K196" s="5">
        <f>F196-J196</f>
        <v/>
      </c>
      <c r="L196" s="6">
        <f>IF(J196=0,0,(F196-J196)/J196)</f>
        <v/>
      </c>
      <c r="M196" s="2" t="inlineStr">
        <is>
          <t>instock</t>
        </is>
      </c>
      <c r="N196" s="7" t="inlineStr">
        <is>
          <t>🖼</t>
        </is>
      </c>
    </row>
    <row r="197">
      <c r="A197" t="n">
        <v>196</v>
      </c>
      <c r="B197" t="inlineStr">
        <is>
          <t>NG-MKR-005</t>
        </is>
      </c>
      <c r="C197" t="inlineStr">
        <is>
          <t>Elgato Stream Deck MK.2 - Professional Productivity Console with 15 LCD Keys</t>
        </is>
      </c>
      <c r="D197" t="inlineStr">
        <is>
          <t>Enthusiasts &amp;amp; Gamers</t>
        </is>
      </c>
      <c r="E197" t="inlineStr">
        <is>
          <t>publish</t>
        </is>
      </c>
      <c r="F197" s="8" t="n">
        <v>1249</v>
      </c>
      <c r="G197" s="8" t="n">
        <v>1439</v>
      </c>
      <c r="H197" s="9" t="n">
        <v>201.5</v>
      </c>
      <c r="I197" s="10" t="n">
        <v>755.62</v>
      </c>
      <c r="J197" s="10" t="n">
        <v>755.62</v>
      </c>
      <c r="K197" s="10">
        <f>F197-J197</f>
        <v/>
      </c>
      <c r="L197" s="11">
        <f>IF(J197=0,0,(F197-J197)/J197)</f>
        <v/>
      </c>
      <c r="M197" t="inlineStr">
        <is>
          <t>instock</t>
        </is>
      </c>
      <c r="N197" s="12" t="inlineStr">
        <is>
          <t>🖼</t>
        </is>
      </c>
    </row>
    <row r="198">
      <c r="A198" s="2" t="n">
        <v>197</v>
      </c>
      <c r="B198" s="2" t="inlineStr">
        <is>
          <t>NG-MKR-004</t>
        </is>
      </c>
      <c r="C198" s="2" t="inlineStr">
        <is>
          <t>Meta Quest 3 128GB - The Most Powerful Mixed Reality Headset</t>
        </is>
      </c>
      <c r="D198" s="2" t="inlineStr">
        <is>
          <t>Enthusiasts &amp;amp; Gamers</t>
        </is>
      </c>
      <c r="E198" s="2" t="inlineStr">
        <is>
          <t>publish</t>
        </is>
      </c>
      <c r="F198" s="3" t="n">
        <v>3299</v>
      </c>
      <c r="G198" s="3" t="n">
        <v>3299</v>
      </c>
      <c r="H198" s="4" t="n">
        <v>577.6</v>
      </c>
      <c r="I198" s="5" t="n">
        <v>2166</v>
      </c>
      <c r="J198" s="5" t="n">
        <v>2166</v>
      </c>
      <c r="K198" s="5">
        <f>F198-J198</f>
        <v/>
      </c>
      <c r="L198" s="6">
        <f>IF(J198=0,0,(F198-J198)/J198)</f>
        <v/>
      </c>
      <c r="M198" s="2" t="inlineStr">
        <is>
          <t>instock</t>
        </is>
      </c>
      <c r="N198" s="7" t="inlineStr">
        <is>
          <t>🖼</t>
        </is>
      </c>
    </row>
    <row r="199">
      <c r="A199" t="n">
        <v>198</v>
      </c>
      <c r="B199" t="inlineStr">
        <is>
          <t>NG-MKR-003</t>
        </is>
      </c>
      <c r="C199" t="inlineStr">
        <is>
          <t>Keychron Q1 - Premium Full Aluminum Custom Mechanical Keyboard</t>
        </is>
      </c>
      <c r="D199" t="inlineStr">
        <is>
          <t>Enthusiasts &amp;amp; Gamers</t>
        </is>
      </c>
      <c r="E199" t="inlineStr">
        <is>
          <t>publish</t>
        </is>
      </c>
      <c r="F199" s="8" t="n">
        <v>1449</v>
      </c>
      <c r="G199" s="8" t="n">
        <v>1449</v>
      </c>
      <c r="H199" s="9" t="n">
        <v>234.83</v>
      </c>
      <c r="I199" s="10" t="n">
        <v>880.61</v>
      </c>
      <c r="J199" s="10" t="n">
        <v>880.61</v>
      </c>
      <c r="K199" s="10">
        <f>F199-J199</f>
        <v/>
      </c>
      <c r="L199" s="11">
        <f>IF(J199=0,0,(F199-J199)/J199)</f>
        <v/>
      </c>
      <c r="M199" t="inlineStr">
        <is>
          <t>instock</t>
        </is>
      </c>
      <c r="N199" s="12" t="inlineStr">
        <is>
          <t>🖼</t>
        </is>
      </c>
    </row>
    <row r="200">
      <c r="A200" s="2" t="n">
        <v>199</v>
      </c>
      <c r="B200" s="2" t="inlineStr">
        <is>
          <t>NG-MKR-002</t>
        </is>
      </c>
      <c r="C200" s="2" t="inlineStr">
        <is>
          <t>Raspberry Pi 5 Ultimate Starter Kit - Everything You Need in One Box</t>
        </is>
      </c>
      <c r="D200" s="2" t="inlineStr">
        <is>
          <t>Hardware</t>
        </is>
      </c>
      <c r="E200" s="2" t="inlineStr">
        <is>
          <t>publish</t>
        </is>
      </c>
      <c r="F200" s="3" t="n">
        <v>1149</v>
      </c>
      <c r="G200" s="3" t="n">
        <v>1329</v>
      </c>
      <c r="H200" s="4" t="n">
        <v>184.83</v>
      </c>
      <c r="I200" s="5" t="n">
        <v>693.11</v>
      </c>
      <c r="J200" s="5" t="n">
        <v>693.11</v>
      </c>
      <c r="K200" s="5">
        <f>F200-J200</f>
        <v/>
      </c>
      <c r="L200" s="6">
        <f>IF(J200=0,0,(F200-J200)/J200)</f>
        <v/>
      </c>
      <c r="M200" s="2" t="inlineStr">
        <is>
          <t>instock</t>
        </is>
      </c>
      <c r="N200" s="7" t="inlineStr">
        <is>
          <t>🖼</t>
        </is>
      </c>
    </row>
    <row r="201">
      <c r="A201" t="n">
        <v>200</v>
      </c>
      <c r="B201" t="inlineStr">
        <is>
          <t>NG-MKR-001</t>
        </is>
      </c>
      <c r="C201" t="inlineStr">
        <is>
          <t>Raspberry Pi 5 8GB - The New Standard in Single Board Computing</t>
        </is>
      </c>
      <c r="D201" t="inlineStr">
        <is>
          <t>Hardware</t>
        </is>
      </c>
      <c r="E201" t="inlineStr">
        <is>
          <t>publish</t>
        </is>
      </c>
      <c r="F201" s="8" t="n">
        <v>899</v>
      </c>
      <c r="G201" s="8" t="n">
        <v>1039</v>
      </c>
      <c r="H201" s="9" t="n">
        <v>143.17</v>
      </c>
      <c r="I201" s="10" t="n">
        <v>536.89</v>
      </c>
      <c r="J201" s="10" t="n">
        <v>536.89</v>
      </c>
      <c r="K201" s="10">
        <f>F201-J201</f>
        <v/>
      </c>
      <c r="L201" s="11">
        <f>IF(J201=0,0,(F201-J201)/J201)</f>
        <v/>
      </c>
      <c r="M201" t="inlineStr">
        <is>
          <t>instock</t>
        </is>
      </c>
      <c r="N201" s="12" t="inlineStr">
        <is>
          <t>🖼</t>
        </is>
      </c>
    </row>
    <row r="202">
      <c r="A202" s="2" t="n">
        <v>201</v>
      </c>
      <c r="B202" s="2" t="inlineStr">
        <is>
          <t>NG-SH-005</t>
        </is>
      </c>
      <c r="C202" s="2" t="inlineStr">
        <is>
          <t>Sonoff TX Ultimate (T5) Smart Wall Switch - Interactive Elegance with RGB</t>
        </is>
      </c>
      <c r="D202" s="2" t="inlineStr">
        <is>
          <t>Smart Home &amp;amp; IoT</t>
        </is>
      </c>
      <c r="E202" s="2" t="inlineStr">
        <is>
          <t>publish</t>
        </is>
      </c>
      <c r="F202" s="3" t="n">
        <v>269</v>
      </c>
      <c r="G202" s="3" t="n">
        <v>309</v>
      </c>
      <c r="H202" s="4" t="n">
        <v>35.41</v>
      </c>
      <c r="I202" s="5" t="n">
        <v>132.79</v>
      </c>
      <c r="J202" s="5" t="n">
        <v>132.79</v>
      </c>
      <c r="K202" s="5">
        <f>F202-J202</f>
        <v/>
      </c>
      <c r="L202" s="6">
        <f>IF(J202=0,0,(F202-J202)/J202)</f>
        <v/>
      </c>
      <c r="M202" s="2" t="inlineStr">
        <is>
          <t>instock</t>
        </is>
      </c>
      <c r="N202" s="7" t="inlineStr">
        <is>
          <t>🖼</t>
        </is>
      </c>
    </row>
    <row r="203">
      <c r="A203" t="n">
        <v>202</v>
      </c>
      <c r="B203" t="inlineStr">
        <is>
          <t>NG-SH-004</t>
        </is>
      </c>
      <c r="C203" t="inlineStr">
        <is>
          <t>Aqara Water Leak Sensor - Safeguard Your Home from Water Damage</t>
        </is>
      </c>
      <c r="D203" t="inlineStr">
        <is>
          <t>Smart Home &amp;amp; IoT</t>
        </is>
      </c>
      <c r="E203" t="inlineStr">
        <is>
          <t>publish</t>
        </is>
      </c>
      <c r="F203" s="8" t="n">
        <v>219</v>
      </c>
      <c r="G203" s="8" t="n">
        <v>259</v>
      </c>
      <c r="H203" s="9" t="n">
        <v>25.87</v>
      </c>
      <c r="I203" s="10" t="n">
        <v>97.01000000000001</v>
      </c>
      <c r="J203" s="10" t="n">
        <v>97.01000000000001</v>
      </c>
      <c r="K203" s="10">
        <f>F203-J203</f>
        <v/>
      </c>
      <c r="L203" s="11">
        <f>IF(J203=0,0,(F203-J203)/J203)</f>
        <v/>
      </c>
      <c r="M203" t="inlineStr">
        <is>
          <t>instock</t>
        </is>
      </c>
      <c r="N203" s="12" t="inlineStr">
        <is>
          <t>🖼</t>
        </is>
      </c>
    </row>
    <row r="204">
      <c r="A204" s="2" t="n">
        <v>203</v>
      </c>
      <c r="B204" s="2" t="inlineStr">
        <is>
          <t>NG-SH-003</t>
        </is>
      </c>
      <c r="C204" s="2" t="inlineStr">
        <is>
          <t>Broadlink RM4 Pro - Universal Smart Remote for IR &amp;amp; RF Devices</t>
        </is>
      </c>
      <c r="D204" s="2" t="inlineStr">
        <is>
          <t>Smart Home &amp;amp; IoT</t>
        </is>
      </c>
      <c r="E204" s="2" t="inlineStr">
        <is>
          <t>publish</t>
        </is>
      </c>
      <c r="F204" s="3" t="n">
        <v>359</v>
      </c>
      <c r="G204" s="3" t="n">
        <v>359</v>
      </c>
      <c r="H204" s="4" t="n">
        <v>48.74</v>
      </c>
      <c r="I204" s="5" t="n">
        <v>182.78</v>
      </c>
      <c r="J204" s="5" t="n">
        <v>182.78</v>
      </c>
      <c r="K204" s="5">
        <f>F204-J204</f>
        <v/>
      </c>
      <c r="L204" s="6">
        <f>IF(J204=0,0,(F204-J204)/J204)</f>
        <v/>
      </c>
      <c r="M204" s="2" t="inlineStr">
        <is>
          <t>instock</t>
        </is>
      </c>
      <c r="N204" s="7" t="inlineStr">
        <is>
          <t>🖼</t>
        </is>
      </c>
    </row>
    <row r="205">
      <c r="A205" t="n">
        <v>204</v>
      </c>
      <c r="B205" t="inlineStr">
        <is>
          <t>NG-SH-002</t>
        </is>
      </c>
      <c r="C205" t="inlineStr">
        <is>
          <t>UniFi Protect G4 Pro Camera - 4K Ultra HD Surveillance Excellence</t>
        </is>
      </c>
      <c r="D205" t="inlineStr">
        <is>
          <t>Smart Home &amp;amp; IoT</t>
        </is>
      </c>
      <c r="E205" t="inlineStr">
        <is>
          <t>publish</t>
        </is>
      </c>
      <c r="F205" s="8" t="n">
        <v>2899</v>
      </c>
      <c r="G205" s="8" t="n">
        <v>2899</v>
      </c>
      <c r="H205" s="9" t="n">
        <v>506.49</v>
      </c>
      <c r="I205" s="10" t="n">
        <v>1899.34</v>
      </c>
      <c r="J205" s="10" t="n">
        <v>1899.34</v>
      </c>
      <c r="K205" s="10">
        <f>F205-J205</f>
        <v/>
      </c>
      <c r="L205" s="11">
        <f>IF(J205=0,0,(F205-J205)/J205)</f>
        <v/>
      </c>
      <c r="M205" t="inlineStr">
        <is>
          <t>instock</t>
        </is>
      </c>
      <c r="N205" s="12" t="inlineStr">
        <is>
          <t>🖼</t>
        </is>
      </c>
    </row>
    <row r="206">
      <c r="A206" s="2" t="n">
        <v>205</v>
      </c>
      <c r="B206" s="2" t="inlineStr">
        <is>
          <t>NG-SH-001</t>
        </is>
      </c>
      <c r="C206" s="2" t="inlineStr">
        <is>
          <t>Aqara Smart Door Lock A100 - Elite Security with Apple HomeKey Support</t>
        </is>
      </c>
      <c r="D206" s="2" t="inlineStr">
        <is>
          <t>Smart Home &amp;amp; IoT</t>
        </is>
      </c>
      <c r="E206" s="2" t="inlineStr">
        <is>
          <t>publish</t>
        </is>
      </c>
      <c r="F206" s="3" t="n">
        <v>1649</v>
      </c>
      <c r="G206" s="3" t="n">
        <v>1649</v>
      </c>
      <c r="H206" s="4" t="n">
        <v>268.17</v>
      </c>
      <c r="I206" s="5" t="n">
        <v>1005.64</v>
      </c>
      <c r="J206" s="5" t="n">
        <v>1005.64</v>
      </c>
      <c r="K206" s="5">
        <f>F206-J206</f>
        <v/>
      </c>
      <c r="L206" s="6">
        <f>IF(J206=0,0,(F206-J206)/J206)</f>
        <v/>
      </c>
      <c r="M206" s="2" t="inlineStr">
        <is>
          <t>instock</t>
        </is>
      </c>
      <c r="N206" s="7" t="inlineStr">
        <is>
          <t>🖼</t>
        </is>
      </c>
    </row>
    <row r="207">
      <c r="A207" t="n">
        <v>206</v>
      </c>
      <c r="B207" t="inlineStr">
        <is>
          <t>NG-ENT-005</t>
        </is>
      </c>
      <c r="C207" t="inlineStr">
        <is>
          <t>Asustor Flashstor 6 (FS6706T) - All-NVMe SSD NAS for Extreme Performance</t>
        </is>
      </c>
      <c r="D207" t="inlineStr">
        <is>
          <t>Homelab</t>
        </is>
      </c>
      <c r="E207" t="inlineStr">
        <is>
          <t>publish</t>
        </is>
      </c>
      <c r="F207" s="8" t="n">
        <v>3099</v>
      </c>
      <c r="G207" s="8" t="n">
        <v>3099</v>
      </c>
      <c r="H207" s="9" t="n">
        <v>542.04</v>
      </c>
      <c r="I207" s="10" t="n">
        <v>2032.65</v>
      </c>
      <c r="J207" s="10" t="n">
        <v>2032.65</v>
      </c>
      <c r="K207" s="10">
        <f>F207-J207</f>
        <v/>
      </c>
      <c r="L207" s="11">
        <f>IF(J207=0,0,(F207-J207)/J207)</f>
        <v/>
      </c>
      <c r="M207" t="inlineStr">
        <is>
          <t>instock</t>
        </is>
      </c>
      <c r="N207" s="12" t="inlineStr">
        <is>
          <t>🖼</t>
        </is>
      </c>
    </row>
    <row r="208">
      <c r="A208" s="2" t="n">
        <v>207</v>
      </c>
      <c r="B208" s="2" t="inlineStr">
        <is>
          <t>NG-ENT-004</t>
        </is>
      </c>
      <c r="C208" s="2" t="inlineStr">
        <is>
          <t>UniFi 6 Long-Range (U6-LR) - High-Performance WiFi 6 Access Point</t>
        </is>
      </c>
      <c r="D208" s="2" t="inlineStr">
        <is>
          <t>Homelab</t>
        </is>
      </c>
      <c r="E208" s="2" t="inlineStr">
        <is>
          <t>publish</t>
        </is>
      </c>
      <c r="F208" s="3" t="n">
        <v>1649</v>
      </c>
      <c r="G208" s="3" t="n">
        <v>1649</v>
      </c>
      <c r="H208" s="4" t="n">
        <v>268.17</v>
      </c>
      <c r="I208" s="5" t="n">
        <v>1005.64</v>
      </c>
      <c r="J208" s="5" t="n">
        <v>1005.64</v>
      </c>
      <c r="K208" s="5">
        <f>F208-J208</f>
        <v/>
      </c>
      <c r="L208" s="6">
        <f>IF(J208=0,0,(F208-J208)/J208)</f>
        <v/>
      </c>
      <c r="M208" s="2" t="inlineStr">
        <is>
          <t>instock</t>
        </is>
      </c>
      <c r="N208" s="7" t="inlineStr">
        <is>
          <t>🖼</t>
        </is>
      </c>
    </row>
    <row r="209">
      <c r="A209" t="n">
        <v>208</v>
      </c>
      <c r="B209" t="inlineStr">
        <is>
          <t>NG-ENT-003</t>
        </is>
      </c>
      <c r="C209" t="inlineStr">
        <is>
          <t>Ubiquiti UniFi Dream Machine Pro (UDM-Pro) - All-in-One Enterprise Network Console</t>
        </is>
      </c>
      <c r="D209" t="inlineStr">
        <is>
          <t>Homelab</t>
        </is>
      </c>
      <c r="E209" t="inlineStr">
        <is>
          <t>publish</t>
        </is>
      </c>
      <c r="F209" s="8" t="n">
        <v>3099</v>
      </c>
      <c r="G209" s="8" t="n">
        <v>3569</v>
      </c>
      <c r="H209" s="9" t="n">
        <v>542.04</v>
      </c>
      <c r="I209" s="10" t="n">
        <v>2032.65</v>
      </c>
      <c r="J209" s="10" t="n">
        <v>2032.65</v>
      </c>
      <c r="K209" s="10">
        <f>F209-J209</f>
        <v/>
      </c>
      <c r="L209" s="11">
        <f>IF(J209=0,0,(F209-J209)/J209)</f>
        <v/>
      </c>
      <c r="M209" t="inlineStr">
        <is>
          <t>instock</t>
        </is>
      </c>
      <c r="N209" s="12" t="inlineStr">
        <is>
          <t>🖼</t>
        </is>
      </c>
    </row>
    <row r="210">
      <c r="A210" s="2" t="n">
        <v>209</v>
      </c>
      <c r="B210" s="2" t="inlineStr">
        <is>
          <t>NG-ENT-002</t>
        </is>
      </c>
      <c r="C210" s="2" t="inlineStr">
        <is>
          <t>Asustor Lockerstor 4 (AS6604T) - Professional 4-Bay NAS for Creators</t>
        </is>
      </c>
      <c r="D210" s="2" t="inlineStr">
        <is>
          <t>Homelab</t>
        </is>
      </c>
      <c r="E210" s="2" t="inlineStr">
        <is>
          <t>publish</t>
        </is>
      </c>
      <c r="F210" s="3" t="n">
        <v>3099</v>
      </c>
      <c r="G210" s="3" t="n">
        <v>3099</v>
      </c>
      <c r="H210" s="4" t="n">
        <v>542.04</v>
      </c>
      <c r="I210" s="5" t="n">
        <v>2032.65</v>
      </c>
      <c r="J210" s="5" t="n">
        <v>2032.65</v>
      </c>
      <c r="K210" s="5">
        <f>F210-J210</f>
        <v/>
      </c>
      <c r="L210" s="6">
        <f>IF(J210=0,0,(F210-J210)/J210)</f>
        <v/>
      </c>
      <c r="M210" s="2" t="inlineStr">
        <is>
          <t>instock</t>
        </is>
      </c>
      <c r="N210" s="2" t="n"/>
    </row>
    <row r="211">
      <c r="A211" t="n">
        <v>210</v>
      </c>
      <c r="B211" t="inlineStr">
        <is>
          <t>NG-ENT-001</t>
        </is>
      </c>
      <c r="C211" t="inlineStr">
        <is>
          <t>Dell PowerEdge R730 Refurbished Server - Enterprise Power, Smart Investment</t>
        </is>
      </c>
      <c r="D211" t="inlineStr">
        <is>
          <t>Homelab</t>
        </is>
      </c>
      <c r="E211" t="inlineStr">
        <is>
          <t>publish</t>
        </is>
      </c>
      <c r="F211" s="8" t="n">
        <v>8099</v>
      </c>
      <c r="G211" s="8" t="n">
        <v>8099</v>
      </c>
      <c r="H211" s="9" t="n">
        <v>1580.05</v>
      </c>
      <c r="I211" s="10" t="n">
        <v>5925.19</v>
      </c>
      <c r="J211" s="10" t="n">
        <v>5925.19</v>
      </c>
      <c r="K211" s="10">
        <f>F211-J211</f>
        <v/>
      </c>
      <c r="L211" s="11">
        <f>IF(J211=0,0,(F211-J211)/J211)</f>
        <v/>
      </c>
      <c r="M211" t="inlineStr">
        <is>
          <t>instock</t>
        </is>
      </c>
      <c r="N211" s="12" t="inlineStr">
        <is>
          <t>🖼</t>
        </is>
      </c>
    </row>
    <row r="213">
      <c r="A213" s="13" t="n"/>
      <c r="B213" s="13" t="n"/>
      <c r="C213" s="13" t="inlineStr">
        <is>
          <t>TOTAL — current prices</t>
        </is>
      </c>
      <c r="D213" s="13" t="n"/>
      <c r="E213" s="13" t="n"/>
      <c r="F213" s="14">
        <f>SUM(F2:F211)</f>
        <v/>
      </c>
      <c r="G213" s="13" t="n"/>
      <c r="H213" s="13" t="n"/>
      <c r="I213" s="14">
        <f>SUM(I2:I211)</f>
        <v/>
      </c>
      <c r="J213" s="14">
        <f>SUM(J2:J211)</f>
        <v/>
      </c>
      <c r="K213" s="14">
        <f>SUM(K2:K211)</f>
        <v/>
      </c>
      <c r="L213" s="15">
        <f>IF(J213=0,0,(F213-J213)/J213)</f>
        <v/>
      </c>
      <c r="M213" s="13" t="n"/>
      <c r="N213" s="13" t="n"/>
    </row>
    <row r="215">
      <c r="C215" s="16" t="inlineStr">
        <is>
          <t>📝 Buy Cost column (J) is editable — replace with real AliExpress cost in SAR</t>
        </is>
      </c>
    </row>
    <row r="216">
      <c r="C216" s="16" t="inlineStr">
        <is>
          <t>📝 Profit (K) and Margin % (L) recalculate automatically</t>
        </is>
      </c>
    </row>
    <row r="217">
      <c r="C217" s="16" t="inlineStr">
        <is>
          <t>📝 Estimated cost uses tiered markup: cheap items ÷2.5×, premium ÷1.35×</t>
        </is>
      </c>
    </row>
  </sheetData>
  <conditionalFormatting sqref="L2:L211">
    <cfRule type="colorScale" priority="1">
      <colorScale>
        <cfvo type="num" val="0"/>
        <cfvo type="num" val="0.5"/>
        <cfvo type="num" val="1.5"/>
        <color rgb="00E8734A"/>
        <color rgb="00FFCC00"/>
        <color rgb="003FE88F"/>
      </colorScale>
    </cfRule>
  </conditionalFormatting>
  <conditionalFormatting sqref="M2:M211">
    <cfRule type="cellIs" priority="2" operator="equal" dxfId="0">
      <formula>"outofstock"</formula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1" r:id="rId2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2" customWidth="1" min="3" max="3"/>
    <col width="22" customWidth="1" min="4" max="4"/>
    <col width="22" customWidth="1" min="5" max="5"/>
    <col width="14" customWidth="1" min="6" max="6"/>
  </cols>
  <sheetData>
    <row r="1">
      <c r="A1" s="17" t="inlineStr">
        <is>
          <t>Category</t>
        </is>
      </c>
      <c r="B1" s="17" t="inlineStr">
        <is>
          <t>Product Count</t>
        </is>
      </c>
      <c r="C1" s="17" t="inlineStr">
        <is>
          <t>Total Sale Value (SAR)</t>
        </is>
      </c>
      <c r="D1" s="17" t="inlineStr">
        <is>
          <t>Total Est. Cost (SAR)</t>
        </is>
      </c>
      <c r="E1" s="17" t="inlineStr">
        <is>
          <t>Total Est. Profit (SAR)</t>
        </is>
      </c>
      <c r="F1" s="17" t="inlineStr">
        <is>
          <t>Avg Margin %</t>
        </is>
      </c>
    </row>
    <row r="2">
      <c r="A2" t="inlineStr">
        <is>
          <t>Homelab</t>
        </is>
      </c>
      <c r="B2" t="n">
        <v>29</v>
      </c>
      <c r="C2" s="8" t="n">
        <v>86011</v>
      </c>
      <c r="D2" s="8" t="n">
        <v>56966</v>
      </c>
      <c r="E2" s="8" t="n">
        <v>29045</v>
      </c>
      <c r="F2" s="11" t="n">
        <v>0.5098718287146602</v>
      </c>
    </row>
    <row r="3">
      <c r="A3" t="inlineStr">
        <is>
          <t>Gaming</t>
        </is>
      </c>
      <c r="B3" t="n">
        <v>39</v>
      </c>
      <c r="C3" s="8" t="n">
        <v>71171</v>
      </c>
      <c r="D3" s="8" t="n">
        <v>45591</v>
      </c>
      <c r="E3" s="8" t="n">
        <v>25580</v>
      </c>
      <c r="F3" s="11" t="n">
        <v>0.5610743668643204</v>
      </c>
    </row>
    <row r="4">
      <c r="A4" t="inlineStr">
        <is>
          <t>Hardware</t>
        </is>
      </c>
      <c r="B4" t="n">
        <v>12</v>
      </c>
      <c r="C4" s="8" t="n">
        <v>68738</v>
      </c>
      <c r="D4" s="8" t="n">
        <v>49203</v>
      </c>
      <c r="E4" s="8" t="n">
        <v>19535</v>
      </c>
      <c r="F4" s="11" t="n">
        <v>0.3970328954521942</v>
      </c>
    </row>
    <row r="5">
      <c r="A5" t="inlineStr">
        <is>
          <t>Smart Home &amp;amp; IoT</t>
        </is>
      </c>
      <c r="B5" t="n">
        <v>50</v>
      </c>
      <c r="C5" s="8" t="n">
        <v>52360</v>
      </c>
      <c r="D5" s="8" t="n">
        <v>31922</v>
      </c>
      <c r="E5" s="8" t="n">
        <v>20438</v>
      </c>
      <c r="F5" s="11" t="n">
        <v>0.6402448933241702</v>
      </c>
    </row>
    <row r="6">
      <c r="A6" t="inlineStr">
        <is>
          <t>Drones &amp;amp; Robotics</t>
        </is>
      </c>
      <c r="B6" t="n">
        <v>8</v>
      </c>
      <c r="C6" s="8" t="n">
        <v>32392</v>
      </c>
      <c r="D6" s="8" t="n">
        <v>22269</v>
      </c>
      <c r="E6" s="8" t="n">
        <v>10123</v>
      </c>
      <c r="F6" s="11" t="n">
        <v>0.4546026079293176</v>
      </c>
    </row>
    <row r="7">
      <c r="A7" t="inlineStr">
        <is>
          <t>Networking</t>
        </is>
      </c>
      <c r="B7" t="n">
        <v>26</v>
      </c>
      <c r="C7" s="8" t="n">
        <v>28104</v>
      </c>
      <c r="D7" s="8" t="n">
        <v>17199</v>
      </c>
      <c r="E7" s="8" t="n">
        <v>10905</v>
      </c>
      <c r="F7" s="11" t="n">
        <v>0.6340093011897937</v>
      </c>
    </row>
    <row r="8">
      <c r="A8" t="inlineStr">
        <is>
          <t>3D Printing &amp;amp; CNC</t>
        </is>
      </c>
      <c r="B8" t="n">
        <v>8</v>
      </c>
      <c r="C8" s="8" t="n">
        <v>20592</v>
      </c>
      <c r="D8" s="8" t="n">
        <v>13330</v>
      </c>
      <c r="E8" s="8" t="n">
        <v>7262</v>
      </c>
      <c r="F8" s="11" t="n">
        <v>0.5447499824178915</v>
      </c>
    </row>
    <row r="9">
      <c r="A9" t="inlineStr">
        <is>
          <t>Enthusiasts &amp;amp; Gamers</t>
        </is>
      </c>
      <c r="B9" t="n">
        <v>6</v>
      </c>
      <c r="C9" s="8" t="n">
        <v>12894</v>
      </c>
      <c r="D9" s="8" t="n">
        <v>8259</v>
      </c>
      <c r="E9" s="8" t="n">
        <v>4635</v>
      </c>
      <c r="F9" s="11" t="n">
        <v>0.5612768469327521</v>
      </c>
    </row>
    <row r="10">
      <c r="A10" t="inlineStr">
        <is>
          <t>Security &amp;amp; Surveillance</t>
        </is>
      </c>
      <c r="B10" t="n">
        <v>7</v>
      </c>
      <c r="C10" s="8" t="n">
        <v>10343</v>
      </c>
      <c r="D10" s="8" t="n">
        <v>6443</v>
      </c>
      <c r="E10" s="8" t="n">
        <v>3900</v>
      </c>
      <c r="F10" s="11" t="n">
        <v>0.6053485750649464</v>
      </c>
    </row>
    <row r="11">
      <c r="A11" t="inlineStr">
        <is>
          <t>Accessories &amp;amp; Lifestyle</t>
        </is>
      </c>
      <c r="B11" t="n">
        <v>7</v>
      </c>
      <c r="C11" s="8" t="n">
        <v>7023</v>
      </c>
      <c r="D11" s="8" t="n">
        <v>4207</v>
      </c>
      <c r="E11" s="8" t="n">
        <v>2816</v>
      </c>
      <c r="F11" s="11" t="n">
        <v>0.6693407494562698</v>
      </c>
    </row>
    <row r="12">
      <c r="A12" t="inlineStr">
        <is>
          <t>Gift Cards &amp;amp; Software Keys</t>
        </is>
      </c>
      <c r="B12" t="n">
        <v>10</v>
      </c>
      <c r="C12" s="8" t="n">
        <v>4190</v>
      </c>
      <c r="D12" s="8" t="n">
        <v>2332</v>
      </c>
      <c r="E12" s="8" t="n">
        <v>1858</v>
      </c>
      <c r="F12" s="11" t="n">
        <v>0.7963847221552328</v>
      </c>
    </row>
    <row r="13">
      <c r="A13" t="inlineStr">
        <is>
          <t>Cables &amp;amp; Adapters</t>
        </is>
      </c>
      <c r="B13" t="n">
        <v>8</v>
      </c>
      <c r="C13" s="8" t="n">
        <v>2082</v>
      </c>
      <c r="D13" s="8" t="n">
        <v>985</v>
      </c>
      <c r="E13" s="8" t="n">
        <v>1097</v>
      </c>
      <c r="F13" s="11" t="n">
        <v>1.114322708404737</v>
      </c>
    </row>
    <row r="15">
      <c r="A15" s="18" t="inlineStr">
        <is>
          <t>TOTAL</t>
        </is>
      </c>
      <c r="B15" s="18">
        <f>SUM(B2:B13)</f>
        <v/>
      </c>
      <c r="C15" s="19">
        <f>SUM(C2:C13)</f>
        <v/>
      </c>
      <c r="D15" s="19">
        <f>SUM(D2:D13)</f>
        <v/>
      </c>
      <c r="E15" s="19">
        <f>SUM(E2:E13)</f>
        <v/>
      </c>
      <c r="F15" s="20">
        <f>IF(D15=0,0,E15/D15)</f>
        <v/>
      </c>
    </row>
  </sheetData>
  <conditionalFormatting sqref="F2:F13">
    <cfRule type="colorScale" priority="1">
      <colorScale>
        <cfvo type="num" val="0"/>
        <cfvo type="num" val="0.5"/>
        <cfvo type="num" val="1.5"/>
        <color rgb="00E8734A"/>
        <color rgb="00FFCC00"/>
        <color rgb="003FE88F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4" customWidth="1" min="3" max="3"/>
    <col width="14" customWidth="1" min="4" max="4"/>
    <col width="12" customWidth="1" min="5" max="5"/>
    <col width="15" customWidth="1" min="6" max="6"/>
    <col width="30" customWidth="1" min="7" max="7"/>
    <col width="20" customWidth="1" min="8" max="8"/>
  </cols>
  <sheetData>
    <row r="1">
      <c r="A1" s="17" t="inlineStr">
        <is>
          <t>SKU</t>
        </is>
      </c>
      <c r="B1" s="17" t="inlineStr">
        <is>
          <t>Product Name</t>
        </is>
      </c>
      <c r="C1" s="17" t="inlineStr">
        <is>
          <t>Sale Price (SAR)</t>
        </is>
      </c>
      <c r="D1" s="17" t="inlineStr">
        <is>
          <t>Est. Cost (SAR)</t>
        </is>
      </c>
      <c r="E1" s="17" t="inlineStr">
        <is>
          <t>Qty to Order</t>
        </is>
      </c>
      <c r="F1" s="17" t="inlineStr">
        <is>
          <t>Line Cost (SAR)</t>
        </is>
      </c>
      <c r="G1" s="17" t="inlineStr">
        <is>
          <t>Supplier URL</t>
        </is>
      </c>
      <c r="H1" s="17" t="inlineStr">
        <is>
          <t>Notes</t>
        </is>
      </c>
    </row>
    <row r="2">
      <c r="A2" t="inlineStr">
        <is>
          <t>GC-SW-ACC1</t>
        </is>
      </c>
      <c r="B2" t="inlineStr">
        <is>
          <t>Adobe Creative Cloud 1 Year | أدوبي كرييتف كلاود</t>
        </is>
      </c>
      <c r="C2" s="8" t="n">
        <v>1999</v>
      </c>
      <c r="D2" s="8" t="n">
        <v>1299.34</v>
      </c>
      <c r="E2" t="n">
        <v>0</v>
      </c>
      <c r="F2" s="8">
        <f>D2*E2</f>
        <v/>
      </c>
    </row>
    <row r="3">
      <c r="A3" t="inlineStr">
        <is>
          <t>GC-SW-KTS1</t>
        </is>
      </c>
      <c r="B3" t="inlineStr">
        <is>
          <t>Kaspersky Total Security 1 Year | كاسبرسكي</t>
        </is>
      </c>
      <c r="C3" s="8" t="n">
        <v>119</v>
      </c>
      <c r="D3" s="8" t="n">
        <v>46.99</v>
      </c>
      <c r="E3" t="n">
        <v>0</v>
      </c>
      <c r="F3" s="8">
        <f>D3*E3</f>
        <v/>
      </c>
    </row>
    <row r="4">
      <c r="A4" t="inlineStr">
        <is>
          <t>GC-APL-100</t>
        </is>
      </c>
      <c r="B4" t="inlineStr">
        <is>
          <t>Apple Gift Card $100 | بطاقة آبل</t>
        </is>
      </c>
      <c r="C4" s="8" t="n">
        <v>389</v>
      </c>
      <c r="D4" s="8" t="n">
        <v>199.46</v>
      </c>
      <c r="E4" t="n">
        <v>0</v>
      </c>
      <c r="F4" s="8">
        <f>D4*E4</f>
        <v/>
      </c>
    </row>
    <row r="5">
      <c r="A5" t="inlineStr">
        <is>
          <t>GC-GP-50</t>
        </is>
      </c>
      <c r="B5" t="inlineStr">
        <is>
          <t>Google Play $50 Gift Card | بطاقة قوقل بلاي</t>
        </is>
      </c>
      <c r="C5" s="8" t="n">
        <v>199</v>
      </c>
      <c r="D5" s="8" t="n">
        <v>87</v>
      </c>
      <c r="E5" t="n">
        <v>0</v>
      </c>
      <c r="F5" s="8">
        <f>D5*E5</f>
        <v/>
      </c>
    </row>
    <row r="6">
      <c r="A6" t="inlineStr">
        <is>
          <t>GC-NFX-100</t>
        </is>
      </c>
      <c r="B6" t="inlineStr">
        <is>
          <t>Netflix Gift Card $100 | بطاقة نتفلكس</t>
        </is>
      </c>
      <c r="C6" s="8" t="n">
        <v>389</v>
      </c>
      <c r="D6" s="8" t="n">
        <v>199.46</v>
      </c>
      <c r="E6" t="n">
        <v>0</v>
      </c>
      <c r="F6" s="8">
        <f>D6*E6</f>
        <v/>
      </c>
    </row>
    <row r="7">
      <c r="A7" t="inlineStr">
        <is>
          <t>GC-XBX-GPU3</t>
        </is>
      </c>
      <c r="B7" t="inlineStr">
        <is>
          <t>Xbox Game Pass Ultimate 3 Months | قيم باس</t>
        </is>
      </c>
      <c r="C7" s="8" t="n">
        <v>149</v>
      </c>
      <c r="D7" s="8" t="n">
        <v>61.99</v>
      </c>
      <c r="E7" t="n">
        <v>0</v>
      </c>
      <c r="F7" s="8">
        <f>D7*E7</f>
        <v/>
      </c>
    </row>
    <row r="8">
      <c r="A8" t="inlineStr">
        <is>
          <t>GC-STM-50</t>
        </is>
      </c>
      <c r="B8" t="inlineStr">
        <is>
          <t>Steam Wallet $50 Gift Card | بطاقة ستيم</t>
        </is>
      </c>
      <c r="C8" s="8" t="n">
        <v>199</v>
      </c>
      <c r="D8" s="8" t="n">
        <v>87</v>
      </c>
      <c r="E8" t="n">
        <v>0</v>
      </c>
      <c r="F8" s="8">
        <f>D8*E8</f>
        <v/>
      </c>
    </row>
    <row r="9">
      <c r="A9" t="inlineStr">
        <is>
          <t>GC-PSN-50</t>
        </is>
      </c>
      <c r="B9" t="inlineStr">
        <is>
          <t>PlayStation Store $50 Gift Card | بطاقة بلايستيشن</t>
        </is>
      </c>
      <c r="C9" s="8" t="n">
        <v>199</v>
      </c>
      <c r="D9" s="8" t="n">
        <v>87</v>
      </c>
      <c r="E9" t="n">
        <v>0</v>
      </c>
      <c r="F9" s="8">
        <f>D9*E9</f>
        <v/>
      </c>
    </row>
    <row r="10">
      <c r="A10" t="inlineStr">
        <is>
          <t>GC-SW-OFF24</t>
        </is>
      </c>
      <c r="B10" t="inlineStr">
        <is>
          <t>Microsoft Office 2024 Pro Plus | أوفيس 2024 برو</t>
        </is>
      </c>
      <c r="C10" s="8" t="n">
        <v>349</v>
      </c>
      <c r="D10" s="8" t="n">
        <v>177.22</v>
      </c>
      <c r="E10" t="n">
        <v>0</v>
      </c>
      <c r="F10" s="8">
        <f>D10*E10</f>
        <v/>
      </c>
    </row>
    <row r="11">
      <c r="A11" t="inlineStr">
        <is>
          <t>GC-SW-WIN11</t>
        </is>
      </c>
      <c r="B11" t="inlineStr">
        <is>
          <t>Windows 11 Pro License Key | مفتاح ويندوز 11 برو</t>
        </is>
      </c>
      <c r="C11" s="8" t="n">
        <v>199</v>
      </c>
      <c r="D11" s="8" t="n">
        <v>87</v>
      </c>
      <c r="E11" t="n">
        <v>0</v>
      </c>
      <c r="F11" s="8">
        <f>D11*E11</f>
        <v/>
      </c>
    </row>
    <row r="12">
      <c r="A12" t="inlineStr">
        <is>
          <t>GM-RTR-ASU-001</t>
        </is>
      </c>
      <c r="B12" t="inlineStr">
        <is>
          <t>ASUS ROG Rapture GT-BE19000AI (WiFi 7)</t>
        </is>
      </c>
      <c r="C12" s="8" t="n">
        <v>4799</v>
      </c>
      <c r="D12" s="8" t="n">
        <v>3166.01</v>
      </c>
      <c r="E12" t="n">
        <v>0</v>
      </c>
      <c r="F12" s="8">
        <f>D12*E12</f>
        <v/>
      </c>
    </row>
    <row r="13">
      <c r="A13" t="inlineStr">
        <is>
          <t>GM-PGA-JSA-001</t>
        </is>
      </c>
      <c r="B13" t="inlineStr">
        <is>
          <t>JSAUX 6-in-1 Dock (Steam Deck/ROG Ally)</t>
        </is>
      </c>
      <c r="C13" s="8" t="n">
        <v>459</v>
      </c>
      <c r="D13" s="8" t="n">
        <v>238.35</v>
      </c>
      <c r="E13" t="n">
        <v>0</v>
      </c>
      <c r="F13" s="8">
        <f>D13*E13</f>
        <v/>
      </c>
    </row>
    <row r="14">
      <c r="A14" t="inlineStr">
        <is>
          <t>GM-CMP-NZX-001</t>
        </is>
      </c>
      <c r="B14" t="inlineStr">
        <is>
          <t>NZXT H9 Elite Mid-Tower ATX Case</t>
        </is>
      </c>
      <c r="C14" s="8" t="n">
        <v>1349</v>
      </c>
      <c r="D14" s="8" t="n">
        <v>818.14</v>
      </c>
      <c r="E14" t="n">
        <v>0</v>
      </c>
      <c r="F14" s="8">
        <f>D14*E14</f>
        <v/>
      </c>
    </row>
    <row r="15">
      <c r="A15" t="inlineStr">
        <is>
          <t>GM-CMP-COR-001</t>
        </is>
      </c>
      <c r="B15" t="inlineStr">
        <is>
          <t>Corsair iCUE H150i RGB Elite (360mm AIO)</t>
        </is>
      </c>
      <c r="C15" s="8" t="n">
        <v>1149</v>
      </c>
      <c r="D15" s="8" t="n">
        <v>693.11</v>
      </c>
      <c r="E15" t="n">
        <v>0</v>
      </c>
      <c r="F15" s="8">
        <f>D15*E15</f>
        <v/>
      </c>
    </row>
    <row r="16">
      <c r="A16" t="inlineStr">
        <is>
          <t>GM-GPU-GIG-001</t>
        </is>
      </c>
      <c r="B16" t="inlineStr">
        <is>
          <t>Gigabyte AORUS RTX 5090 Master 32GB</t>
        </is>
      </c>
      <c r="C16" s="8" t="n">
        <v>27999</v>
      </c>
      <c r="D16" s="8" t="n">
        <v>20665.91</v>
      </c>
      <c r="E16" t="n">
        <v>0</v>
      </c>
      <c r="F16" s="8">
        <f>D16*E16</f>
        <v/>
      </c>
    </row>
    <row r="17">
      <c r="A17" t="inlineStr">
        <is>
          <t>GM-GPU-NVD-002</t>
        </is>
      </c>
      <c r="B17" t="inlineStr">
        <is>
          <t>NVIDIA RTX 5080 Founders Edition (16GB)</t>
        </is>
      </c>
      <c r="C17" s="8" t="n">
        <v>6499</v>
      </c>
      <c r="D17" s="8" t="n">
        <v>4740</v>
      </c>
      <c r="E17" t="n">
        <v>0</v>
      </c>
      <c r="F17" s="8">
        <f>D17*E17</f>
        <v/>
      </c>
    </row>
    <row r="18">
      <c r="A18" t="inlineStr">
        <is>
          <t>GM-GPU-NVD-001</t>
        </is>
      </c>
      <c r="B18" t="inlineStr">
        <is>
          <t>NVIDIA RTX 5090 Founders Edition (32GB)</t>
        </is>
      </c>
      <c r="C18" s="8" t="n">
        <v>22999</v>
      </c>
      <c r="D18" s="8" t="n">
        <v>16962.23</v>
      </c>
      <c r="E18" t="n">
        <v>0</v>
      </c>
      <c r="F18" s="8">
        <f>D18*E18</f>
        <v/>
      </c>
    </row>
    <row r="19">
      <c r="A19" t="inlineStr">
        <is>
          <t>GM-STR-HPX-001</t>
        </is>
      </c>
      <c r="B19" t="inlineStr">
        <is>
          <t>HyperX QuadCast S USB Microphone</t>
        </is>
      </c>
      <c r="C19" s="8" t="n">
        <v>949</v>
      </c>
      <c r="D19" s="8" t="n">
        <v>568.12</v>
      </c>
      <c r="E19" t="n">
        <v>0</v>
      </c>
      <c r="F19" s="8">
        <f>D19*E19</f>
        <v/>
      </c>
    </row>
    <row r="20">
      <c r="A20" t="inlineStr">
        <is>
          <t>GM-STR-ELG-001</t>
        </is>
      </c>
      <c r="B20" t="inlineStr">
        <is>
          <t>Elgato Stream Deck MK.2</t>
        </is>
      </c>
      <c r="C20" s="8" t="n">
        <v>949</v>
      </c>
      <c r="D20" s="8" t="n">
        <v>568.12</v>
      </c>
      <c r="E20" t="n">
        <v>0</v>
      </c>
      <c r="F20" s="8">
        <f>D20*E20</f>
        <v/>
      </c>
    </row>
    <row r="21">
      <c r="A21" t="inlineStr">
        <is>
          <t>GM-CAP-AVR-001</t>
        </is>
      </c>
      <c r="B21" t="inlineStr">
        <is>
          <t>AVerMedia Live Gamer Ultra S</t>
        </is>
      </c>
      <c r="C21" s="8" t="n">
        <v>1049</v>
      </c>
      <c r="D21" s="8" t="n">
        <v>630.64</v>
      </c>
      <c r="E21" t="n">
        <v>0</v>
      </c>
      <c r="F21" s="8">
        <f>D21*E21</f>
        <v/>
      </c>
    </row>
    <row r="22">
      <c r="A22" t="inlineStr">
        <is>
          <t>GM-CAP-ELG-001</t>
        </is>
      </c>
      <c r="B22" t="inlineStr">
        <is>
          <t>Elgato HD60 X Capture Card</t>
        </is>
      </c>
      <c r="C22" s="8" t="n">
        <v>1099</v>
      </c>
      <c r="D22" s="8" t="n">
        <v>661.88</v>
      </c>
      <c r="E22" t="n">
        <v>0</v>
      </c>
      <c r="F22" s="8">
        <f>D22*E22</f>
        <v/>
      </c>
    </row>
    <row r="23">
      <c r="A23" t="inlineStr">
        <is>
          <t>GM-CTR-SON-001</t>
        </is>
      </c>
      <c r="B23" t="inlineStr">
        <is>
          <t>Sony DualSense Edge Controller</t>
        </is>
      </c>
      <c r="C23" s="8" t="n">
        <v>1349</v>
      </c>
      <c r="D23" s="8" t="n">
        <v>818.14</v>
      </c>
      <c r="E23" t="n">
        <v>0</v>
      </c>
      <c r="F23" s="8">
        <f>D23*E23</f>
        <v/>
      </c>
    </row>
    <row r="24">
      <c r="A24" t="inlineStr">
        <is>
          <t>GM-CTR-MSF-001</t>
        </is>
      </c>
      <c r="B24" t="inlineStr">
        <is>
          <t>Xbox Elite Controller Series 2 Core</t>
        </is>
      </c>
      <c r="C24" s="8" t="n">
        <v>1149</v>
      </c>
      <c r="D24" s="8" t="n">
        <v>693.11</v>
      </c>
      <c r="E24" t="n">
        <v>0</v>
      </c>
      <c r="F24" s="8">
        <f>D24*E24</f>
        <v/>
      </c>
    </row>
    <row r="25">
      <c r="A25" t="inlineStr">
        <is>
          <t>GM-RGB-GOV-001</t>
        </is>
      </c>
      <c r="B25" t="inlineStr">
        <is>
          <t>Govee DreamView G1 Pro Gaming Light</t>
        </is>
      </c>
      <c r="C25" s="8" t="n">
        <v>749</v>
      </c>
      <c r="D25" s="8" t="n">
        <v>443.14</v>
      </c>
      <c r="E25" t="n">
        <v>0</v>
      </c>
      <c r="F25" s="8">
        <f>D25*E25</f>
        <v/>
      </c>
    </row>
    <row r="26">
      <c r="A26" t="inlineStr">
        <is>
          <t>GM-RGB-COR-001</t>
        </is>
      </c>
      <c r="B26" t="inlineStr">
        <is>
          <t>Corsair iCUE LC100 Lighting Panels</t>
        </is>
      </c>
      <c r="C26" s="8" t="n">
        <v>549</v>
      </c>
      <c r="D26" s="8" t="n">
        <v>288.34</v>
      </c>
      <c r="E26" t="n">
        <v>0</v>
      </c>
      <c r="F26" s="8">
        <f>D26*E26</f>
        <v/>
      </c>
    </row>
    <row r="27">
      <c r="A27" t="inlineStr">
        <is>
          <t>GM-CHR-RAZ-001</t>
        </is>
      </c>
      <c r="B27" t="inlineStr">
        <is>
          <t>Razer Iskur V2 NewGen</t>
        </is>
      </c>
      <c r="C27" s="8" t="n">
        <v>3199</v>
      </c>
      <c r="D27" s="8" t="n">
        <v>2099.33</v>
      </c>
      <c r="E27" t="n">
        <v>0</v>
      </c>
      <c r="F27" s="8">
        <f>D27*E27</f>
        <v/>
      </c>
    </row>
    <row r="28">
      <c r="A28" t="inlineStr">
        <is>
          <t>GM-CHR-SEC-001</t>
        </is>
      </c>
      <c r="B28" t="inlineStr">
        <is>
          <t>Secretlab Titan Evo</t>
        </is>
      </c>
      <c r="C28" s="8" t="n">
        <v>3499</v>
      </c>
      <c r="D28" s="8" t="n">
        <v>2299.35</v>
      </c>
      <c r="E28" t="n">
        <v>0</v>
      </c>
      <c r="F28" s="8">
        <f>D28*E28</f>
        <v/>
      </c>
    </row>
    <row r="29">
      <c r="A29" t="inlineStr">
        <is>
          <t>GM-HST-RAZ-001</t>
        </is>
      </c>
      <c r="B29" t="inlineStr">
        <is>
          <t>Razer BlackShark V2 Pro 2023</t>
        </is>
      </c>
      <c r="C29" s="8" t="n">
        <v>999</v>
      </c>
      <c r="D29" s="8" t="n">
        <v>599.36</v>
      </c>
      <c r="E29" t="n">
        <v>0</v>
      </c>
      <c r="F29" s="8">
        <f>D29*E29</f>
        <v/>
      </c>
    </row>
    <row r="30">
      <c r="A30" t="inlineStr">
        <is>
          <t>GM-HST-STS-001</t>
        </is>
      </c>
      <c r="B30" t="inlineStr">
        <is>
          <t>SteelSeries Arctis Nova 7 Wireless</t>
        </is>
      </c>
      <c r="C30" s="8" t="n">
        <v>1149</v>
      </c>
      <c r="D30" s="8" t="n">
        <v>693.11</v>
      </c>
      <c r="E30" t="n">
        <v>0</v>
      </c>
      <c r="F30" s="8">
        <f>D30*E30</f>
        <v/>
      </c>
    </row>
    <row r="31">
      <c r="A31" t="inlineStr">
        <is>
          <t>GM-HST-HPX-001</t>
        </is>
      </c>
      <c r="B31" t="inlineStr">
        <is>
          <t>HyperX Cloud Alpha Wireless (300hr)</t>
        </is>
      </c>
      <c r="C31" s="8" t="n">
        <v>1199</v>
      </c>
      <c r="D31" s="8" t="n">
        <v>724.39</v>
      </c>
      <c r="E31" t="n">
        <v>0</v>
      </c>
      <c r="F31" s="8">
        <f>D31*E31</f>
        <v/>
      </c>
    </row>
    <row r="32">
      <c r="A32" t="inlineStr">
        <is>
          <t>GM-MOU-RAZ-002</t>
        </is>
      </c>
      <c r="B32" t="inlineStr">
        <is>
          <t>Razer Viper V3 Pro (54g Wireless)</t>
        </is>
      </c>
      <c r="C32" s="8" t="n">
        <v>1049</v>
      </c>
      <c r="D32" s="8" t="n">
        <v>630.64</v>
      </c>
      <c r="E32" t="n">
        <v>0</v>
      </c>
      <c r="F32" s="8">
        <f>D32*E32</f>
        <v/>
      </c>
    </row>
    <row r="33">
      <c r="A33" t="inlineStr">
        <is>
          <t>GM-MOU-LOG-001</t>
        </is>
      </c>
      <c r="B33" t="inlineStr">
        <is>
          <t>Logitech G Pro X Superlight 2 DEX</t>
        </is>
      </c>
      <c r="C33" s="8" t="n">
        <v>1099</v>
      </c>
      <c r="D33" s="8" t="n">
        <v>661.88</v>
      </c>
      <c r="E33" t="n">
        <v>0</v>
      </c>
      <c r="F33" s="8">
        <f>D33*E33</f>
        <v/>
      </c>
    </row>
    <row r="34">
      <c r="A34" t="inlineStr">
        <is>
          <t>GM-MOU-RAZ-001</t>
        </is>
      </c>
      <c r="B34" t="inlineStr">
        <is>
          <t>Razer DeathAdder V4 Pro (57g Wireless)</t>
        </is>
      </c>
      <c r="C34" s="8" t="n">
        <v>1149</v>
      </c>
      <c r="D34" s="8" t="n">
        <v>693.11</v>
      </c>
      <c r="E34" t="n">
        <v>0</v>
      </c>
      <c r="F34" s="8">
        <f>D34*E34</f>
        <v/>
      </c>
    </row>
    <row r="35">
      <c r="A35" t="inlineStr">
        <is>
          <t>GM-KBD-KEY-001</t>
        </is>
      </c>
      <c r="B35" t="inlineStr">
        <is>
          <t>Keychron K10 HE (Arabic Layout)</t>
        </is>
      </c>
      <c r="C35" s="8" t="n">
        <v>999</v>
      </c>
      <c r="D35" s="8" t="n">
        <v>599.36</v>
      </c>
      <c r="E35" t="n">
        <v>0</v>
      </c>
      <c r="F35" s="8">
        <f>D35*E35</f>
        <v/>
      </c>
    </row>
    <row r="36">
      <c r="A36" t="inlineStr">
        <is>
          <t>GM-KBD-LOG-001</t>
        </is>
      </c>
      <c r="B36" t="inlineStr">
        <is>
          <t>Logitech G Pro X TKL LIGHTSPEED</t>
        </is>
      </c>
      <c r="C36" s="8" t="n">
        <v>1199</v>
      </c>
      <c r="D36" s="8" t="n">
        <v>724.39</v>
      </c>
      <c r="E36" t="n">
        <v>0</v>
      </c>
      <c r="F36" s="8">
        <f>D36*E36</f>
        <v/>
      </c>
    </row>
    <row r="37">
      <c r="A37" t="inlineStr">
        <is>
          <t>GM-KBD-COR-001</t>
        </is>
      </c>
      <c r="B37" t="inlineStr">
        <is>
          <t>Corsair K70 MAX RGB</t>
        </is>
      </c>
      <c r="C37" s="8" t="n">
        <v>1299</v>
      </c>
      <c r="D37" s="8" t="n">
        <v>786.86</v>
      </c>
      <c r="E37" t="n">
        <v>0</v>
      </c>
      <c r="F37" s="8">
        <f>D37*E37</f>
        <v/>
      </c>
    </row>
    <row r="38">
      <c r="A38" t="inlineStr">
        <is>
          <t>GM-KBD-RAZ-001</t>
        </is>
      </c>
      <c r="B38" t="inlineStr">
        <is>
          <t>Razer Huntsman V3 Pro TKL</t>
        </is>
      </c>
      <c r="C38" s="8" t="n">
        <v>1349</v>
      </c>
      <c r="D38" s="8" t="n">
        <v>818.14</v>
      </c>
      <c r="E38" t="n">
        <v>0</v>
      </c>
      <c r="F38" s="8">
        <f>D38*E38</f>
        <v/>
      </c>
    </row>
    <row r="39">
      <c r="A39" t="inlineStr">
        <is>
          <t>GM-MON-DEL-001</t>
        </is>
      </c>
      <c r="B39" t="inlineStr">
        <is>
          <t>Dell Alienware AW2725DF (27" QD-OLED 360Hz)</t>
        </is>
      </c>
      <c r="C39" s="8" t="n">
        <v>5599</v>
      </c>
      <c r="D39" s="8" t="n">
        <v>3699.34</v>
      </c>
      <c r="E39" t="n">
        <v>0</v>
      </c>
      <c r="F39" s="8">
        <f>D39*E39</f>
        <v/>
      </c>
    </row>
    <row r="40">
      <c r="A40" t="inlineStr">
        <is>
          <t>GM-MON-LGE-001</t>
        </is>
      </c>
      <c r="B40" t="inlineStr">
        <is>
          <t>LG UltraGear OLED 27GR95QE-B (27" QHD 240Hz)</t>
        </is>
      </c>
      <c r="C40" s="8" t="n">
        <v>4899</v>
      </c>
      <c r="D40" s="8" t="n">
        <v>3232.65</v>
      </c>
      <c r="E40" t="n">
        <v>0</v>
      </c>
      <c r="F40" s="8">
        <f>D40*E40</f>
        <v/>
      </c>
    </row>
    <row r="41">
      <c r="A41" t="inlineStr">
        <is>
          <t>GM-MON-SAM-002</t>
        </is>
      </c>
      <c r="B41" t="inlineStr">
        <is>
          <t>Samsung Odyssey G7 G70D (32" 4K 144Hz)</t>
        </is>
      </c>
      <c r="C41" s="8" t="n">
        <v>3499</v>
      </c>
      <c r="D41" s="8" t="n">
        <v>2299.35</v>
      </c>
      <c r="E41" t="n">
        <v>0</v>
      </c>
      <c r="F41" s="8">
        <f>D41*E41</f>
        <v/>
      </c>
    </row>
    <row r="42">
      <c r="A42" t="inlineStr">
        <is>
          <t>GM-MON-SAM-001</t>
        </is>
      </c>
      <c r="B42" t="inlineStr">
        <is>
          <t>Samsung Odyssey OLED G8 (34" UWQHD 175Hz)</t>
        </is>
      </c>
      <c r="C42" s="8" t="n">
        <v>7799</v>
      </c>
      <c r="D42" s="8" t="n">
        <v>5702.96</v>
      </c>
      <c r="E42" t="n">
        <v>0</v>
      </c>
      <c r="F42" s="8">
        <f>D42*E42</f>
        <v/>
      </c>
    </row>
    <row r="43">
      <c r="A43" t="inlineStr">
        <is>
          <t>GM-MON-ASU-001</t>
        </is>
      </c>
      <c r="B43" t="inlineStr">
        <is>
          <t>ASUS ROG Swift OLED PG27AQDM (27" QHD 240Hz)</t>
        </is>
      </c>
      <c r="C43" s="8" t="n">
        <v>5399</v>
      </c>
      <c r="D43" s="8" t="n">
        <v>3565.99</v>
      </c>
      <c r="E43" t="n">
        <v>0</v>
      </c>
      <c r="F43" s="8">
        <f>D43*E43</f>
        <v/>
      </c>
    </row>
    <row r="44">
      <c r="A44" t="inlineStr">
        <is>
          <t>NT-MPC-DEL-001</t>
        </is>
      </c>
      <c r="B44" t="inlineStr">
        <is>
          <t>Dell OptiPlex 7070 Micro (Refurb)</t>
        </is>
      </c>
      <c r="C44" s="8" t="n">
        <v>1549</v>
      </c>
      <c r="D44" s="8" t="n">
        <v>943.12</v>
      </c>
      <c r="E44" t="n">
        <v>0</v>
      </c>
      <c r="F44" s="8">
        <f>D44*E44</f>
        <v/>
      </c>
    </row>
    <row r="45">
      <c r="A45" t="inlineStr">
        <is>
          <t>NT-MPC-BLK-002</t>
        </is>
      </c>
      <c r="B45" t="inlineStr">
        <is>
          <t>Beelink EQ12 (Intel N100)</t>
        </is>
      </c>
      <c r="C45" s="8" t="n">
        <v>999</v>
      </c>
      <c r="D45" s="8" t="n">
        <v>599.36</v>
      </c>
      <c r="E45" t="n">
        <v>0</v>
      </c>
      <c r="F45" s="8">
        <f>D45*E45</f>
        <v/>
      </c>
    </row>
    <row r="46">
      <c r="A46" t="inlineStr">
        <is>
          <t>NT-MPC-BLK-001</t>
        </is>
      </c>
      <c r="B46" t="inlineStr">
        <is>
          <t>Beelink SER7 (Ryzen 7 7735HS)</t>
        </is>
      </c>
      <c r="C46" s="8" t="n">
        <v>2399</v>
      </c>
      <c r="D46" s="8" t="n">
        <v>1566</v>
      </c>
      <c r="E46" t="n">
        <v>0</v>
      </c>
      <c r="F46" s="8">
        <f>D46*E46</f>
        <v/>
      </c>
    </row>
    <row r="47">
      <c r="A47" t="inlineStr">
        <is>
          <t>NT-MPC-MNF-001</t>
        </is>
      </c>
      <c r="B47" t="inlineStr">
        <is>
          <t>MinisForum MS-01 (Homelab Server)</t>
        </is>
      </c>
      <c r="C47" s="8" t="n">
        <v>3999</v>
      </c>
      <c r="D47" s="8" t="n">
        <v>2632.65</v>
      </c>
      <c r="E47" t="n">
        <v>0</v>
      </c>
      <c r="F47" s="8">
        <f>D47*E47</f>
        <v/>
      </c>
    </row>
    <row r="48">
      <c r="A48" t="inlineStr">
        <is>
          <t>NT-POE-TPL-001</t>
        </is>
      </c>
      <c r="B48" t="inlineStr">
        <is>
          <t>TP-Link TL-SG1005P 5-Port PoE</t>
        </is>
      </c>
      <c r="C48" s="8" t="n">
        <v>299</v>
      </c>
      <c r="D48" s="8" t="n">
        <v>149.44</v>
      </c>
      <c r="E48" t="n">
        <v>0</v>
      </c>
      <c r="F48" s="8">
        <f>D48*E48</f>
        <v/>
      </c>
    </row>
    <row r="49">
      <c r="A49" t="inlineStr">
        <is>
          <t>NT-POE-UBQ-001</t>
        </is>
      </c>
      <c r="B49" t="inlineStr">
        <is>
          <t>Ubiquiti USW-Lite-8-PoE</t>
        </is>
      </c>
      <c r="C49" s="8" t="n">
        <v>849</v>
      </c>
      <c r="D49" s="8" t="n">
        <v>505.61</v>
      </c>
      <c r="E49" t="n">
        <v>0</v>
      </c>
      <c r="F49" s="8">
        <f>D49*E49</f>
        <v/>
      </c>
    </row>
    <row r="50">
      <c r="A50" t="inlineStr">
        <is>
          <t>NT-KVM-ATN-001</t>
        </is>
      </c>
      <c r="B50" t="inlineStr">
        <is>
          <t>ATEN CS1924M 4-Port DP KVM</t>
        </is>
      </c>
      <c r="C50" s="8" t="n">
        <v>2399</v>
      </c>
      <c r="D50" s="8" t="n">
        <v>1566</v>
      </c>
      <c r="E50" t="n">
        <v>0</v>
      </c>
      <c r="F50" s="8">
        <f>D50*E50</f>
        <v/>
      </c>
    </row>
    <row r="51">
      <c r="A51" t="inlineStr">
        <is>
          <t>NT-KVM-TES-001</t>
        </is>
      </c>
      <c r="B51" t="inlineStr">
        <is>
          <t>TESmart HKS0401A1U 4-Port HDMI KVM</t>
        </is>
      </c>
      <c r="C51" s="8" t="n">
        <v>599</v>
      </c>
      <c r="D51" s="8" t="n">
        <v>316.12</v>
      </c>
      <c r="E51" t="n">
        <v>0</v>
      </c>
      <c r="F51" s="8">
        <f>D51*E51</f>
        <v/>
      </c>
    </row>
    <row r="52">
      <c r="A52" t="inlineStr">
        <is>
          <t>NT-FWL-FTN-001</t>
        </is>
      </c>
      <c r="B52" t="inlineStr">
        <is>
          <t>Fortinet FortiGate 60F</t>
        </is>
      </c>
      <c r="C52" s="8" t="n">
        <v>5499</v>
      </c>
      <c r="D52" s="8" t="n">
        <v>3632.66</v>
      </c>
      <c r="E52" t="n">
        <v>0</v>
      </c>
      <c r="F52" s="8">
        <f>D52*E52</f>
        <v/>
      </c>
    </row>
    <row r="53">
      <c r="A53" t="inlineStr">
        <is>
          <t>NT-FWL-NGT-002</t>
        </is>
      </c>
      <c r="B53" t="inlineStr">
        <is>
          <t>Netgate 2100 MAX pfSense+ Gateway</t>
        </is>
      </c>
      <c r="C53" s="8" t="n">
        <v>2499</v>
      </c>
      <c r="D53" s="8" t="n">
        <v>1632.67</v>
      </c>
      <c r="E53" t="n">
        <v>0</v>
      </c>
      <c r="F53" s="8">
        <f>D53*E53</f>
        <v/>
      </c>
    </row>
    <row r="54">
      <c r="A54" t="inlineStr">
        <is>
          <t>NT-FWL-NGT-001</t>
        </is>
      </c>
      <c r="B54" t="inlineStr">
        <is>
          <t>Netgate 4200 MAX pfSense+ Gateway</t>
        </is>
      </c>
      <c r="C54" s="8" t="n">
        <v>3399</v>
      </c>
      <c r="D54" s="8" t="n">
        <v>2232.68</v>
      </c>
      <c r="E54" t="n">
        <v>0</v>
      </c>
      <c r="F54" s="8">
        <f>D54*E54</f>
        <v/>
      </c>
    </row>
    <row r="55">
      <c r="A55" t="inlineStr">
        <is>
          <t>NT-CBL-GEN-001</t>
        </is>
      </c>
      <c r="B55" t="inlineStr">
        <is>
          <t>Cat6a Shielded Bulk Cable (305m)</t>
        </is>
      </c>
      <c r="C55" s="8" t="n">
        <v>849</v>
      </c>
      <c r="D55" s="8" t="n">
        <v>505.61</v>
      </c>
      <c r="E55" t="n">
        <v>0</v>
      </c>
      <c r="F55" s="8">
        <f>D55*E55</f>
        <v/>
      </c>
    </row>
    <row r="56">
      <c r="A56" t="inlineStr">
        <is>
          <t>NT-CBL-FSC-001</t>
        </is>
      </c>
      <c r="B56" t="inlineStr">
        <is>
          <t>10G SFP+ DAC Twinax Cable (1m)</t>
        </is>
      </c>
      <c r="C56" s="8" t="n">
        <v>139</v>
      </c>
      <c r="D56" s="8" t="n">
        <v>57</v>
      </c>
      <c r="E56" t="n">
        <v>0</v>
      </c>
      <c r="F56" s="8">
        <f>D56*E56</f>
        <v/>
      </c>
    </row>
    <row r="57">
      <c r="A57" t="inlineStr">
        <is>
          <t>NT-SFP-FSC-001</t>
        </is>
      </c>
      <c r="B57" t="inlineStr">
        <is>
          <t>FS.com 10GBASE-SR SFP+ Transceiver</t>
        </is>
      </c>
      <c r="C57" s="8" t="n">
        <v>129</v>
      </c>
      <c r="D57" s="8" t="n">
        <v>52.01</v>
      </c>
      <c r="E57" t="n">
        <v>0</v>
      </c>
      <c r="F57" s="8">
        <f>D57*E57</f>
        <v/>
      </c>
    </row>
    <row r="58">
      <c r="A58" t="inlineStr">
        <is>
          <t>NT-SRV-NVP-001</t>
        </is>
      </c>
      <c r="B58" t="inlineStr">
        <is>
          <t>NavePoint 1U Cantilever Rack Shelf</t>
        </is>
      </c>
      <c r="C58" s="8" t="n">
        <v>249</v>
      </c>
      <c r="D58" s="8" t="n">
        <v>112.01</v>
      </c>
      <c r="E58" t="n">
        <v>0</v>
      </c>
      <c r="F58" s="8">
        <f>D58*E58</f>
        <v/>
      </c>
    </row>
    <row r="59">
      <c r="A59" t="inlineStr">
        <is>
          <t>NT-SRV-CBM-001</t>
        </is>
      </c>
      <c r="B59" t="inlineStr">
        <is>
          <t>Cable Matters 24-Port Cat6 Patch Panel (1U)</t>
        </is>
      </c>
      <c r="C59" s="8" t="n">
        <v>239</v>
      </c>
      <c r="D59" s="8" t="n">
        <v>106.99</v>
      </c>
      <c r="E59" t="n">
        <v>0</v>
      </c>
      <c r="F59" s="8">
        <f>D59*E59</f>
        <v/>
      </c>
    </row>
    <row r="60">
      <c r="A60" t="inlineStr">
        <is>
          <t>NT-SRV-STC-001</t>
        </is>
      </c>
      <c r="B60" t="inlineStr">
        <is>
          <t>StarTech RK12WALLOA 12U Wall-Mount Rack</t>
        </is>
      </c>
      <c r="C60" s="8" t="n">
        <v>1399</v>
      </c>
      <c r="D60" s="8" t="n">
        <v>849.38</v>
      </c>
      <c r="E60" t="n">
        <v>0</v>
      </c>
      <c r="F60" s="8">
        <f>D60*E60</f>
        <v/>
      </c>
    </row>
    <row r="61">
      <c r="A61" t="inlineStr">
        <is>
          <t>NT-UPS-APC-002</t>
        </is>
      </c>
      <c r="B61" t="inlineStr">
        <is>
          <t>APC Back-UPS Pro BX1500M (Tower)</t>
        </is>
      </c>
      <c r="C61" s="8" t="n">
        <v>1599</v>
      </c>
      <c r="D61" s="8" t="n">
        <v>974.36</v>
      </c>
      <c r="E61" t="n">
        <v>0</v>
      </c>
      <c r="F61" s="8">
        <f>D61*E61</f>
        <v/>
      </c>
    </row>
    <row r="62">
      <c r="A62" t="inlineStr">
        <is>
          <t>NT-UPS-CYB-001</t>
        </is>
      </c>
      <c r="B62" t="inlineStr">
        <is>
          <t>CyberPower OR1500LCDRM1U (1500VA 1U)</t>
        </is>
      </c>
      <c r="C62" s="8" t="n">
        <v>2099</v>
      </c>
      <c r="D62" s="8" t="n">
        <v>1366.01</v>
      </c>
      <c r="E62" t="n">
        <v>0</v>
      </c>
      <c r="F62" s="8">
        <f>D62*E62</f>
        <v/>
      </c>
    </row>
    <row r="63">
      <c r="A63" t="inlineStr">
        <is>
          <t>NT-UPS-APC-001</t>
        </is>
      </c>
      <c r="B63" t="inlineStr">
        <is>
          <t>APC Smart-UPS SMT1500RM2UC (1500VA Rack)</t>
        </is>
      </c>
      <c r="C63" s="8" t="n">
        <v>4899</v>
      </c>
      <c r="D63" s="8" t="n">
        <v>3232.65</v>
      </c>
      <c r="E63" t="n">
        <v>0</v>
      </c>
      <c r="F63" s="8">
        <f>D63*E63</f>
        <v/>
      </c>
    </row>
    <row r="64">
      <c r="A64" t="inlineStr">
        <is>
          <t>NT-NAS-QNP-002</t>
        </is>
      </c>
      <c r="B64" t="inlineStr">
        <is>
          <t>QNAP TS-262-4G (2-Bay)</t>
        </is>
      </c>
      <c r="C64" s="8" t="n">
        <v>1899</v>
      </c>
      <c r="D64" s="8" t="n">
        <v>1232.66</v>
      </c>
      <c r="E64" t="n">
        <v>0</v>
      </c>
      <c r="F64" s="8">
        <f>D64*E64</f>
        <v/>
      </c>
    </row>
    <row r="65">
      <c r="A65" t="inlineStr">
        <is>
          <t>NT-NAS-QNP-001</t>
        </is>
      </c>
      <c r="B65" t="inlineStr">
        <is>
          <t>QNAP TS-464-8G (4-Bay)</t>
        </is>
      </c>
      <c r="C65" s="8" t="n">
        <v>2799</v>
      </c>
      <c r="D65" s="8" t="n">
        <v>1832.66</v>
      </c>
      <c r="E65" t="n">
        <v>0</v>
      </c>
      <c r="F65" s="8">
        <f>D65*E65</f>
        <v/>
      </c>
    </row>
    <row r="66">
      <c r="A66" t="inlineStr">
        <is>
          <t>NT-NAS-SYN-002</t>
        </is>
      </c>
      <c r="B66" t="inlineStr">
        <is>
          <t>Synology DS925+ (4-Bay)</t>
        </is>
      </c>
      <c r="C66" s="8" t="n">
        <v>3499</v>
      </c>
      <c r="D66" s="8" t="n">
        <v>2299.35</v>
      </c>
      <c r="E66" t="n">
        <v>0</v>
      </c>
      <c r="F66" s="8">
        <f>D66*E66</f>
        <v/>
      </c>
    </row>
    <row r="67">
      <c r="A67" t="inlineStr">
        <is>
          <t>NT-NAS-SYN-001</t>
        </is>
      </c>
      <c r="B67" t="inlineStr">
        <is>
          <t>Synology DS225+ (2-Bay)</t>
        </is>
      </c>
      <c r="C67" s="8" t="n">
        <v>2099</v>
      </c>
      <c r="D67" s="8" t="n">
        <v>1366.01</v>
      </c>
      <c r="E67" t="n">
        <v>0</v>
      </c>
      <c r="F67" s="8">
        <f>D67*E67</f>
        <v/>
      </c>
    </row>
    <row r="68">
      <c r="A68" t="inlineStr">
        <is>
          <t>NT-WAP-TPL-002</t>
        </is>
      </c>
      <c r="B68" t="inlineStr">
        <is>
          <t>TP-Link Omada EAP650</t>
        </is>
      </c>
      <c r="C68" s="8" t="n">
        <v>799</v>
      </c>
      <c r="D68" s="8" t="n">
        <v>474.38</v>
      </c>
      <c r="E68" t="n">
        <v>0</v>
      </c>
      <c r="F68" s="8">
        <f>D68*E68</f>
        <v/>
      </c>
    </row>
    <row r="69">
      <c r="A69" t="inlineStr">
        <is>
          <t>NT-WAP-TPL-001</t>
        </is>
      </c>
      <c r="B69" t="inlineStr">
        <is>
          <t>TP-Link Omada EAP610</t>
        </is>
      </c>
      <c r="C69" s="8" t="n">
        <v>599</v>
      </c>
      <c r="D69" s="8" t="n">
        <v>316.12</v>
      </c>
      <c r="E69" t="n">
        <v>0</v>
      </c>
      <c r="F69" s="8">
        <f>D69*E69</f>
        <v/>
      </c>
    </row>
    <row r="70">
      <c r="A70" t="inlineStr">
        <is>
          <t>NT-WAP-UBQ-002</t>
        </is>
      </c>
      <c r="B70" t="inlineStr">
        <is>
          <t>Ubiquiti UniFi U7 Pro</t>
        </is>
      </c>
      <c r="C70" s="8" t="n">
        <v>1399</v>
      </c>
      <c r="D70" s="8" t="n">
        <v>849.38</v>
      </c>
      <c r="E70" t="n">
        <v>0</v>
      </c>
      <c r="F70" s="8">
        <f>D70*E70</f>
        <v/>
      </c>
    </row>
    <row r="71">
      <c r="A71" t="inlineStr">
        <is>
          <t>NT-WAP-UBQ-001</t>
        </is>
      </c>
      <c r="B71" t="inlineStr">
        <is>
          <t>Ubiquiti UniFi U6 Pro</t>
        </is>
      </c>
      <c r="C71" s="8" t="n">
        <v>999</v>
      </c>
      <c r="D71" s="8" t="n">
        <v>599.36</v>
      </c>
      <c r="E71" t="n">
        <v>0</v>
      </c>
      <c r="F71" s="8">
        <f>D71*E71</f>
        <v/>
      </c>
    </row>
    <row r="72">
      <c r="A72" t="inlineStr">
        <is>
          <t>NT-NET-UBQ-001</t>
        </is>
      </c>
      <c r="B72" t="inlineStr">
        <is>
          <t>Ubiquiti USW-Pro-24-PoE</t>
        </is>
      </c>
      <c r="C72" s="8" t="n">
        <v>3999</v>
      </c>
      <c r="D72" s="8" t="n">
        <v>2632.65</v>
      </c>
      <c r="E72" t="n">
        <v>0</v>
      </c>
      <c r="F72" s="8">
        <f>D72*E72</f>
        <v/>
      </c>
    </row>
    <row r="73">
      <c r="A73" t="inlineStr">
        <is>
          <t>NT-NET-MKT-004</t>
        </is>
      </c>
      <c r="B73" t="inlineStr">
        <is>
          <t>MikroTik CRS312-4C+8XG-RM</t>
        </is>
      </c>
      <c r="C73" s="8" t="n">
        <v>2799</v>
      </c>
      <c r="D73" s="8" t="n">
        <v>1832.66</v>
      </c>
      <c r="E73" t="n">
        <v>0</v>
      </c>
      <c r="F73" s="8">
        <f>D73*E73</f>
        <v/>
      </c>
    </row>
    <row r="74">
      <c r="A74" t="inlineStr">
        <is>
          <t>NT-NET-MKT-003</t>
        </is>
      </c>
      <c r="B74" t="inlineStr">
        <is>
          <t>MikroTik CRS328-24P-4S+RM (PoE)</t>
        </is>
      </c>
      <c r="C74" s="8" t="n">
        <v>2699</v>
      </c>
      <c r="D74" s="8" t="n">
        <v>1765.99</v>
      </c>
      <c r="E74" t="n">
        <v>0</v>
      </c>
      <c r="F74" s="8">
        <f>D74*E74</f>
        <v/>
      </c>
    </row>
    <row r="75">
      <c r="A75" t="inlineStr">
        <is>
          <t>NT-NET-MKT-002</t>
        </is>
      </c>
      <c r="B75" t="inlineStr">
        <is>
          <t>MikroTik CRS326-24G-2S+RM</t>
        </is>
      </c>
      <c r="C75" s="8" t="n">
        <v>1199</v>
      </c>
      <c r="D75" s="8" t="n">
        <v>724.39</v>
      </c>
      <c r="E75" t="n">
        <v>0</v>
      </c>
      <c r="F75" s="8">
        <f>D75*E75</f>
        <v/>
      </c>
    </row>
    <row r="76">
      <c r="A76" t="inlineStr">
        <is>
          <t>NT-NET-MKT-001</t>
        </is>
      </c>
      <c r="B76" t="inlineStr">
        <is>
          <t>MikroTik CRS305-1G-4S+IN</t>
        </is>
      </c>
      <c r="C76" s="8" t="n">
        <v>999</v>
      </c>
      <c r="D76" s="8" t="n">
        <v>599.36</v>
      </c>
      <c r="E76" t="n">
        <v>0</v>
      </c>
      <c r="F76" s="8">
        <f>D76*E76</f>
        <v/>
      </c>
    </row>
    <row r="77">
      <c r="A77" t="inlineStr">
        <is>
          <t>SH-SWB-SWBT-003</t>
        </is>
      </c>
      <c r="B77" t="inlineStr">
        <is>
          <t>SwitchBot Blind Tilt</t>
        </is>
      </c>
      <c r="C77" s="8" t="n">
        <v>479</v>
      </c>
      <c r="D77" s="8" t="n">
        <v>249.45</v>
      </c>
      <c r="E77" t="n">
        <v>0</v>
      </c>
      <c r="F77" s="8">
        <f>D77*E77</f>
        <v/>
      </c>
    </row>
    <row r="78">
      <c r="A78" t="inlineStr">
        <is>
          <t>SH-SWB-SWBT-002</t>
        </is>
      </c>
      <c r="B78" t="inlineStr">
        <is>
          <t>SwitchBot Bot (Smart Button Pusher)</t>
        </is>
      </c>
      <c r="C78" s="8" t="n">
        <v>239</v>
      </c>
      <c r="D78" s="8" t="n">
        <v>106.99</v>
      </c>
      <c r="E78" t="n">
        <v>0</v>
      </c>
      <c r="F78" s="8">
        <f>D78*E78</f>
        <v/>
      </c>
    </row>
    <row r="79">
      <c r="A79" t="inlineStr">
        <is>
          <t>SH-SWB-SWBT-001</t>
        </is>
      </c>
      <c r="B79" t="inlineStr">
        <is>
          <t>SwitchBot Hub 2 (Matter Enabled)</t>
        </is>
      </c>
      <c r="C79" s="8" t="n">
        <v>479</v>
      </c>
      <c r="D79" s="8" t="n">
        <v>249.45</v>
      </c>
      <c r="E79" t="n">
        <v>0</v>
      </c>
      <c r="F79" s="8">
        <f>D79*E79</f>
        <v/>
      </c>
    </row>
    <row r="80">
      <c r="A80" t="inlineStr">
        <is>
          <t>SH-HUB-HUBI-001</t>
        </is>
      </c>
      <c r="B80" t="inlineStr">
        <is>
          <t>Hubitat Elevation C-8 Pro</t>
        </is>
      </c>
      <c r="C80" s="8" t="n">
        <v>1199</v>
      </c>
      <c r="D80" s="8" t="n">
        <v>724.39</v>
      </c>
      <c r="E80" t="n">
        <v>0</v>
      </c>
      <c r="F80" s="8">
        <f>D80*E80</f>
        <v/>
      </c>
    </row>
    <row r="81">
      <c r="A81" t="inlineStr">
        <is>
          <t>SH-HUB-HASS-001</t>
        </is>
      </c>
      <c r="B81" t="inlineStr">
        <is>
          <t>Home Assistant Green</t>
        </is>
      </c>
      <c r="C81" s="8" t="n">
        <v>699</v>
      </c>
      <c r="D81" s="8" t="n">
        <v>371.66</v>
      </c>
      <c r="E81" t="n">
        <v>0</v>
      </c>
      <c r="F81" s="8">
        <f>D81*E81</f>
        <v/>
      </c>
    </row>
    <row r="82">
      <c r="A82" t="inlineStr">
        <is>
          <t>SH-HUB-AQRA-001</t>
        </is>
      </c>
      <c r="B82" t="inlineStr">
        <is>
          <t>Aqara Hub M3</t>
        </is>
      </c>
      <c r="C82" s="8" t="n">
        <v>899</v>
      </c>
      <c r="D82" s="8" t="n">
        <v>536.89</v>
      </c>
      <c r="E82" t="n">
        <v>0</v>
      </c>
      <c r="F82" s="8">
        <f>D82*E82</f>
        <v/>
      </c>
    </row>
    <row r="83">
      <c r="A83" t="inlineStr">
        <is>
          <t>SH-BLD-IKEA-001</t>
        </is>
      </c>
      <c r="B83" t="inlineStr">
        <is>
          <t>IKEA FYRTUR Blackout Smart Roller Blind</t>
        </is>
      </c>
      <c r="C83" s="8" t="n">
        <v>949</v>
      </c>
      <c r="D83" s="8" t="n">
        <v>568.12</v>
      </c>
      <c r="E83" t="n">
        <v>0</v>
      </c>
      <c r="F83" s="8">
        <f>D83*E83</f>
        <v/>
      </c>
    </row>
    <row r="84">
      <c r="A84" t="inlineStr">
        <is>
          <t>SH-BLD-SWBT-001</t>
        </is>
      </c>
      <c r="B84" t="inlineStr">
        <is>
          <t>SwitchBot Curtain 3</t>
        </is>
      </c>
      <c r="C84" s="8" t="n">
        <v>649</v>
      </c>
      <c r="D84" s="8" t="n">
        <v>343.88</v>
      </c>
      <c r="E84" t="n">
        <v>0</v>
      </c>
      <c r="F84" s="8">
        <f>D84*E84</f>
        <v/>
      </c>
    </row>
    <row r="85">
      <c r="A85" t="inlineStr">
        <is>
          <t>SH-VDB-EUFY-001</t>
        </is>
      </c>
      <c r="B85" t="inlineStr">
        <is>
          <t>Eufy Video Doorbell E340 (Dual Camera)</t>
        </is>
      </c>
      <c r="C85" s="8" t="n">
        <v>999</v>
      </c>
      <c r="D85" s="8" t="n">
        <v>599.36</v>
      </c>
      <c r="E85" t="n">
        <v>0</v>
      </c>
      <c r="F85" s="8">
        <f>D85*E85</f>
        <v/>
      </c>
    </row>
    <row r="86">
      <c r="A86" t="inlineStr">
        <is>
          <t>SH-VDB-RING-001</t>
        </is>
      </c>
      <c r="B86" t="inlineStr">
        <is>
          <t>Ring Battery Doorbell Plus</t>
        </is>
      </c>
      <c r="C86" s="8" t="n">
        <v>999</v>
      </c>
      <c r="D86" s="8" t="n">
        <v>599.36</v>
      </c>
      <c r="E86" t="n">
        <v>0</v>
      </c>
      <c r="F86" s="8">
        <f>D86*E86</f>
        <v/>
      </c>
    </row>
    <row r="87">
      <c r="A87" t="inlineStr">
        <is>
          <t>SH-CAM-RELK-001</t>
        </is>
      </c>
      <c r="B87" t="inlineStr">
        <is>
          <t>Reolink Argus 4 Pro (4K)</t>
        </is>
      </c>
      <c r="C87" s="8" t="n">
        <v>899</v>
      </c>
      <c r="D87" s="8" t="n">
        <v>536.89</v>
      </c>
      <c r="E87" t="n">
        <v>0</v>
      </c>
      <c r="F87" s="8">
        <f>D87*E87</f>
        <v/>
      </c>
    </row>
    <row r="88">
      <c r="A88" t="inlineStr">
        <is>
          <t>SH-CAM-EUFY-001</t>
        </is>
      </c>
      <c r="B88" t="inlineStr">
        <is>
          <t>Eufy eufyCam 3 (4K + HomeBase 3 Kit)</t>
        </is>
      </c>
      <c r="C88" s="8" t="n">
        <v>1649</v>
      </c>
      <c r="D88" s="8" t="n">
        <v>1005.64</v>
      </c>
      <c r="E88" t="n">
        <v>0</v>
      </c>
      <c r="F88" s="8">
        <f>D88*E88</f>
        <v/>
      </c>
    </row>
    <row r="89">
      <c r="A89" t="inlineStr">
        <is>
          <t>SH-CAM-ARLO-001</t>
        </is>
      </c>
      <c r="B89" t="inlineStr">
        <is>
          <t>Arlo Pro 5 2K Spotlight Camera</t>
        </is>
      </c>
      <c r="C89" s="8" t="n">
        <v>1549</v>
      </c>
      <c r="D89" s="8" t="n">
        <v>943.12</v>
      </c>
      <c r="E89" t="n">
        <v>0</v>
      </c>
      <c r="F89" s="8">
        <f>D89*E89</f>
        <v/>
      </c>
    </row>
    <row r="90">
      <c r="A90" t="inlineStr">
        <is>
          <t>SH-CAM-RING-001</t>
        </is>
      </c>
      <c r="B90" t="inlineStr">
        <is>
          <t>Ring Indoor Cam (2nd Gen)</t>
        </is>
      </c>
      <c r="C90" s="8" t="n">
        <v>479</v>
      </c>
      <c r="D90" s="8" t="n">
        <v>249.45</v>
      </c>
      <c r="E90" t="n">
        <v>0</v>
      </c>
      <c r="F90" s="8">
        <f>D90*E90</f>
        <v/>
      </c>
    </row>
    <row r="91">
      <c r="A91" t="inlineStr">
        <is>
          <t>SH-PLG-MERS-001</t>
        </is>
      </c>
      <c r="B91" t="inlineStr">
        <is>
          <t>Meross Smart Plug Mini MSS110 (HomeKit)</t>
        </is>
      </c>
      <c r="C91" s="8" t="n">
        <v>159</v>
      </c>
      <c r="D91" s="8" t="n">
        <v>67.01000000000001</v>
      </c>
      <c r="E91" t="n">
        <v>0</v>
      </c>
      <c r="F91" s="8">
        <f>D91*E91</f>
        <v/>
      </c>
    </row>
    <row r="92">
      <c r="A92" t="inlineStr">
        <is>
          <t>SH-PLG-TPLK-001</t>
        </is>
      </c>
      <c r="B92" t="inlineStr">
        <is>
          <t>TP-Link Tapo P125M Smart Plug (Matter, 2-pack)</t>
        </is>
      </c>
      <c r="C92" s="8" t="n">
        <v>149</v>
      </c>
      <c r="D92" s="8" t="n">
        <v>61.99</v>
      </c>
      <c r="E92" t="n">
        <v>0</v>
      </c>
      <c r="F92" s="8">
        <f>D92*E92</f>
        <v/>
      </c>
    </row>
    <row r="93">
      <c r="A93" t="inlineStr">
        <is>
          <t>SH-THR-ECOB-001</t>
        </is>
      </c>
      <c r="B93" t="inlineStr">
        <is>
          <t>Ecobee Smart Thermostat Premium</t>
        </is>
      </c>
      <c r="C93" s="8" t="n">
        <v>1549</v>
      </c>
      <c r="D93" s="8" t="n">
        <v>943.12</v>
      </c>
      <c r="E93" t="n">
        <v>0</v>
      </c>
      <c r="F93" s="8">
        <f>D93*E93</f>
        <v/>
      </c>
    </row>
    <row r="94">
      <c r="A94" t="inlineStr">
        <is>
          <t>SH-THR-NEST-001</t>
        </is>
      </c>
      <c r="B94" t="inlineStr">
        <is>
          <t>Google Nest Learning Thermostat (4th Gen)</t>
        </is>
      </c>
      <c r="C94" s="8" t="n">
        <v>1699</v>
      </c>
      <c r="D94" s="8" t="n">
        <v>1036.88</v>
      </c>
      <c r="E94" t="n">
        <v>0</v>
      </c>
      <c r="F94" s="8">
        <f>D94*E94</f>
        <v/>
      </c>
    </row>
    <row r="95">
      <c r="A95" t="inlineStr">
        <is>
          <t>SH-RVC-ECVX-001</t>
        </is>
      </c>
      <c r="B95" t="inlineStr">
        <is>
          <t>Ecovacs Deebot X9 Pro Omni</t>
        </is>
      </c>
      <c r="C95" s="8" t="n">
        <v>5699</v>
      </c>
      <c r="D95" s="8" t="n">
        <v>4147.43</v>
      </c>
      <c r="E95" t="n">
        <v>0</v>
      </c>
      <c r="F95" s="8">
        <f>D95*E95</f>
        <v/>
      </c>
    </row>
    <row r="96">
      <c r="A96" t="inlineStr">
        <is>
          <t>SH-RVC-DREM-001</t>
        </is>
      </c>
      <c r="B96" t="inlineStr">
        <is>
          <t>Dreame L50 Ultra</t>
        </is>
      </c>
      <c r="C96" s="8" t="n">
        <v>4599</v>
      </c>
      <c r="D96" s="8" t="n">
        <v>3032.66</v>
      </c>
      <c r="E96" t="n">
        <v>0</v>
      </c>
      <c r="F96" s="8">
        <f>D96*E96</f>
        <v/>
      </c>
    </row>
    <row r="97">
      <c r="A97" t="inlineStr">
        <is>
          <t>SH-RVC-RBRC-001</t>
        </is>
      </c>
      <c r="B97" t="inlineStr">
        <is>
          <t>Roborock Qrevo CurvX</t>
        </is>
      </c>
      <c r="C97" s="8" t="n">
        <v>4599</v>
      </c>
      <c r="D97" s="8" t="n">
        <v>3032.66</v>
      </c>
      <c r="E97" t="n">
        <v>0</v>
      </c>
      <c r="F97" s="8">
        <f>D97*E97</f>
        <v/>
      </c>
    </row>
    <row r="98">
      <c r="A98" t="inlineStr">
        <is>
          <t>SH-LGT-GOVE-002</t>
        </is>
      </c>
      <c r="B98" t="inlineStr">
        <is>
          <t>Govee Glide Hexagon Light Panels Ultra (10-pack)</t>
        </is>
      </c>
      <c r="C98" s="8" t="n">
        <v>1299</v>
      </c>
      <c r="D98" s="8" t="n">
        <v>786.86</v>
      </c>
      <c r="E98" t="n">
        <v>0</v>
      </c>
      <c r="F98" s="8">
        <f>D98*E98</f>
        <v/>
      </c>
    </row>
    <row r="99">
      <c r="A99" t="inlineStr">
        <is>
          <t>SH-LGT-GOVE-001</t>
        </is>
      </c>
      <c r="B99" t="inlineStr">
        <is>
          <t>Govee RGBIC LED Strip M1 (5m)</t>
        </is>
      </c>
      <c r="C99" s="8" t="n">
        <v>399</v>
      </c>
      <c r="D99" s="8" t="n">
        <v>205.01</v>
      </c>
      <c r="E99" t="n">
        <v>0</v>
      </c>
      <c r="F99" s="8">
        <f>D99*E99</f>
        <v/>
      </c>
    </row>
    <row r="100">
      <c r="A100" t="inlineStr">
        <is>
          <t>SH-LGT-LIFX-001</t>
        </is>
      </c>
      <c r="B100" t="inlineStr">
        <is>
          <t>LIFX Color A19 1100lm Bulb</t>
        </is>
      </c>
      <c r="C100" s="8" t="n">
        <v>279</v>
      </c>
      <c r="D100" s="8" t="n">
        <v>138.34</v>
      </c>
      <c r="E100" t="n">
        <v>0</v>
      </c>
      <c r="F100" s="8">
        <f>D100*E100</f>
        <v/>
      </c>
    </row>
    <row r="101">
      <c r="A101" t="inlineStr">
        <is>
          <t>SH-LGT-PHUE-002</t>
        </is>
      </c>
      <c r="B101" t="inlineStr">
        <is>
          <t>Philips Hue Gradient Lightstrip (2m)</t>
        </is>
      </c>
      <c r="C101" s="8" t="n">
        <v>1149</v>
      </c>
      <c r="D101" s="8" t="n">
        <v>693.11</v>
      </c>
      <c r="E101" t="n">
        <v>0</v>
      </c>
      <c r="F101" s="8">
        <f>D101*E101</f>
        <v/>
      </c>
    </row>
    <row r="102">
      <c r="A102" t="inlineStr">
        <is>
          <t>SH-LGT-PHUE-001</t>
        </is>
      </c>
      <c r="B102" t="inlineStr">
        <is>
          <t>Philips Hue Starter Kit (3x A19 + Bridge)</t>
        </is>
      </c>
      <c r="C102" s="8" t="n">
        <v>899</v>
      </c>
      <c r="D102" s="8" t="n">
        <v>536.89</v>
      </c>
      <c r="E102" t="n">
        <v>0</v>
      </c>
      <c r="F102" s="8">
        <f>D102*E102</f>
        <v/>
      </c>
    </row>
    <row r="103">
      <c r="A103" t="inlineStr">
        <is>
          <t>SH-LCK-AUGS-001</t>
        </is>
      </c>
      <c r="B103" t="inlineStr">
        <is>
          <t>August Wi-Fi Smart Lock (4th Gen)</t>
        </is>
      </c>
      <c r="C103" s="8" t="n">
        <v>1299</v>
      </c>
      <c r="D103" s="8" t="n">
        <v>786.86</v>
      </c>
      <c r="E103" t="n">
        <v>0</v>
      </c>
      <c r="F103" s="8">
        <f>D103*E103</f>
        <v/>
      </c>
    </row>
    <row r="104">
      <c r="A104" t="inlineStr">
        <is>
          <t>SH-LCK-AQRA-001</t>
        </is>
      </c>
      <c r="B104" t="inlineStr">
        <is>
          <t>Aqara Smart Lock U200</t>
        </is>
      </c>
      <c r="C104" s="8" t="n">
        <v>1249</v>
      </c>
      <c r="D104" s="8" t="n">
        <v>755.62</v>
      </c>
      <c r="E104" t="n">
        <v>0</v>
      </c>
      <c r="F104" s="8">
        <f>D104*E104</f>
        <v/>
      </c>
    </row>
    <row r="105">
      <c r="A105" t="inlineStr">
        <is>
          <t>SH-LCK-YALE-001</t>
        </is>
      </c>
      <c r="B105" t="inlineStr">
        <is>
          <t>Yale Assure Lock 2 Wi-Fi</t>
        </is>
      </c>
      <c r="C105" s="8" t="n">
        <v>1549</v>
      </c>
      <c r="D105" s="8" t="n">
        <v>943.12</v>
      </c>
      <c r="E105" t="n">
        <v>0</v>
      </c>
      <c r="F105" s="8">
        <f>D105*E105</f>
        <v/>
      </c>
    </row>
    <row r="106">
      <c r="A106" t="inlineStr">
        <is>
          <t>SH-DSP-GGLE-001</t>
        </is>
      </c>
      <c r="B106" t="inlineStr">
        <is>
          <t>Google Nest Hub (2nd Gen)</t>
        </is>
      </c>
      <c r="C106" s="8" t="n">
        <v>699</v>
      </c>
      <c r="D106" s="8" t="n">
        <v>371.66</v>
      </c>
      <c r="E106" t="n">
        <v>0</v>
      </c>
      <c r="F106" s="8">
        <f>D106*E106</f>
        <v/>
      </c>
    </row>
    <row r="107">
      <c r="A107" t="inlineStr">
        <is>
          <t>SH-DSP-AMZN-001</t>
        </is>
      </c>
      <c r="B107" t="inlineStr">
        <is>
          <t>Amazon Echo Show 8 (3rd Gen)</t>
        </is>
      </c>
      <c r="C107" s="8" t="n">
        <v>999</v>
      </c>
      <c r="D107" s="8" t="n">
        <v>599.36</v>
      </c>
      <c r="E107" t="n">
        <v>0</v>
      </c>
      <c r="F107" s="8">
        <f>D107*E107</f>
        <v/>
      </c>
    </row>
    <row r="108">
      <c r="A108" t="inlineStr">
        <is>
          <t>SH-SPK-AMZN-002</t>
        </is>
      </c>
      <c r="B108" t="inlineStr">
        <is>
          <t>Amazon Echo Dot (5th Gen)</t>
        </is>
      </c>
      <c r="C108" s="8" t="n">
        <v>399</v>
      </c>
      <c r="D108" s="8" t="n">
        <v>205.01</v>
      </c>
      <c r="E108" t="n">
        <v>0</v>
      </c>
      <c r="F108" s="8">
        <f>D108*E108</f>
        <v/>
      </c>
    </row>
    <row r="109">
      <c r="A109" t="inlineStr">
        <is>
          <t>SH-SPK-GGLE-001</t>
        </is>
      </c>
      <c r="B109" t="inlineStr">
        <is>
          <t>Google Nest Audio</t>
        </is>
      </c>
      <c r="C109" s="8" t="n">
        <v>699</v>
      </c>
      <c r="D109" s="8" t="n">
        <v>371.66</v>
      </c>
      <c r="E109" t="n">
        <v>0</v>
      </c>
      <c r="F109" s="8">
        <f>D109*E109</f>
        <v/>
      </c>
    </row>
    <row r="110">
      <c r="A110" t="inlineStr">
        <is>
          <t>SH-SPK-APPL-001</t>
        </is>
      </c>
      <c r="B110" t="inlineStr">
        <is>
          <t>Apple HomePod Mini</t>
        </is>
      </c>
      <c r="C110" s="8" t="n">
        <v>699</v>
      </c>
      <c r="D110" s="8" t="n">
        <v>371.66</v>
      </c>
      <c r="E110" t="n">
        <v>0</v>
      </c>
      <c r="F110" s="8">
        <f>D110*E110</f>
        <v/>
      </c>
    </row>
    <row r="111">
      <c r="A111" t="inlineStr">
        <is>
          <t>SH-SPK-AMZN-001</t>
        </is>
      </c>
      <c r="B111" t="inlineStr">
        <is>
          <t>Amazon Echo (4th Gen)</t>
        </is>
      </c>
      <c r="C111" s="8" t="n">
        <v>699</v>
      </c>
      <c r="D111" s="8" t="n">
        <v>371.66</v>
      </c>
      <c r="E111" t="n">
        <v>0</v>
      </c>
      <c r="F111" s="8">
        <f>D111*E111</f>
        <v/>
      </c>
    </row>
    <row r="112">
      <c r="A112" t="inlineStr">
        <is>
          <t>NG-SEC-007</t>
        </is>
      </c>
      <c r="B112" t="inlineStr">
        <is>
          <t>Eufy Video Doorbell S330 - Dual Camera Smart Doorbell (2K + Package Cam)</t>
        </is>
      </c>
      <c r="C112" s="8" t="n">
        <v>1449</v>
      </c>
      <c r="D112" s="8" t="n">
        <v>880.61</v>
      </c>
      <c r="E112" t="n">
        <v>0</v>
      </c>
      <c r="F112" s="8">
        <f>D112*E112</f>
        <v/>
      </c>
    </row>
    <row r="113">
      <c r="A113" t="inlineStr">
        <is>
          <t>NG-SEC-006</t>
        </is>
      </c>
      <c r="B113" t="inlineStr">
        <is>
          <t>Ajax Hub 2 Plus - Professional Wireless Smart Alarm System</t>
        </is>
      </c>
      <c r="C113" s="8" t="n">
        <v>2499</v>
      </c>
      <c r="D113" s="8" t="n">
        <v>1632.67</v>
      </c>
      <c r="E113" t="n">
        <v>0</v>
      </c>
      <c r="F113" s="8">
        <f>D113*E113</f>
        <v/>
      </c>
    </row>
    <row r="114">
      <c r="A114" t="inlineStr">
        <is>
          <t>NG-SEC-005</t>
        </is>
      </c>
      <c r="B114" t="inlineStr">
        <is>
          <t>Reolink 16-Channel PoE NVR (RLN16-410) - 4K Network Video Recorder</t>
        </is>
      </c>
      <c r="C114" s="8" t="n">
        <v>1599</v>
      </c>
      <c r="D114" s="8" t="n">
        <v>974.36</v>
      </c>
      <c r="E114" t="n">
        <v>0</v>
      </c>
      <c r="F114" s="8">
        <f>D114*E114</f>
        <v/>
      </c>
    </row>
    <row r="115">
      <c r="A115" t="inlineStr">
        <is>
          <t>NG-SEC-004</t>
        </is>
      </c>
      <c r="B115" t="inlineStr">
        <is>
          <t>Ubiquiti UniFi Protect G4 Doorbell Pro - 5MP Smart Doorbell with Fingerprint Rea</t>
        </is>
      </c>
      <c r="C115" s="8" t="n">
        <v>2299</v>
      </c>
      <c r="D115" s="8" t="n">
        <v>1499.33</v>
      </c>
      <c r="E115" t="n">
        <v>0</v>
      </c>
      <c r="F115" s="8">
        <f>D115*E115</f>
        <v/>
      </c>
    </row>
    <row r="116">
      <c r="A116" t="inlineStr">
        <is>
          <t>NG-SEC-003</t>
        </is>
      </c>
      <c r="B116" t="inlineStr">
        <is>
          <t>Hikvision DS-2CD2143G2-I - 4MP AcuSense Dome Camera</t>
        </is>
      </c>
      <c r="C116" s="8" t="n">
        <v>749</v>
      </c>
      <c r="D116" s="8" t="n">
        <v>443.14</v>
      </c>
      <c r="E116" t="n">
        <v>0</v>
      </c>
      <c r="F116" s="8">
        <f>D116*E116</f>
        <v/>
      </c>
    </row>
    <row r="117">
      <c r="A117" t="inlineStr">
        <is>
          <t>NG-SEC-002</t>
        </is>
      </c>
      <c r="B117" t="inlineStr">
        <is>
          <t>Reolink Argus 4 Pro - Solar-Powered Wireless 4K Security Camera</t>
        </is>
      </c>
      <c r="C117" s="8" t="n">
        <v>1199</v>
      </c>
      <c r="D117" s="8" t="n">
        <v>724.39</v>
      </c>
      <c r="E117" t="n">
        <v>0</v>
      </c>
      <c r="F117" s="8">
        <f>D117*E117</f>
        <v/>
      </c>
    </row>
    <row r="118">
      <c r="A118" t="inlineStr">
        <is>
          <t>NG-SEC-001</t>
        </is>
      </c>
      <c r="B118" t="inlineStr">
        <is>
          <t>Reolink RLC-810A - 4K PoE AI Security Camera</t>
        </is>
      </c>
      <c r="C118" s="8" t="n">
        <v>549</v>
      </c>
      <c r="D118" s="8" t="n">
        <v>288.34</v>
      </c>
      <c r="E118" t="n">
        <v>0</v>
      </c>
      <c r="F118" s="8">
        <f>D118*E118</f>
        <v/>
      </c>
    </row>
    <row r="119">
      <c r="A119" t="inlineStr">
        <is>
          <t>NG-DRN-008</t>
        </is>
      </c>
      <c r="B119" t="inlineStr">
        <is>
          <t>DJI Pocket 3 - Pocket-Sized Gimbal Camera with 1-Inch Sensor</t>
        </is>
      </c>
      <c r="C119" s="8" t="n">
        <v>2999</v>
      </c>
      <c r="D119" s="8" t="n">
        <v>1966.01</v>
      </c>
      <c r="E119" t="n">
        <v>0</v>
      </c>
      <c r="F119" s="8">
        <f>D119*E119</f>
        <v/>
      </c>
    </row>
    <row r="120">
      <c r="A120" t="inlineStr">
        <is>
          <t>NG-DRN-007</t>
        </is>
      </c>
      <c r="B120" t="inlineStr">
        <is>
          <t>Roborock S8 MaxV Ultra - Smart Robot Vacuum with 10,000Pa Suction</t>
        </is>
      </c>
      <c r="C120" s="8" t="n">
        <v>7699</v>
      </c>
      <c r="D120" s="8" t="n">
        <v>5628.9</v>
      </c>
      <c r="E120" t="n">
        <v>0</v>
      </c>
      <c r="F120" s="8">
        <f>D120*E120</f>
        <v/>
      </c>
    </row>
    <row r="121">
      <c r="A121" t="inlineStr">
        <is>
          <t>NG-DRN-006</t>
        </is>
      </c>
      <c r="B121" t="inlineStr">
        <is>
          <t>FIMI X8 Mini V2 - 4K Drone at 245g with Competitive Pricing</t>
        </is>
      </c>
      <c r="C121" s="8" t="n">
        <v>2399</v>
      </c>
      <c r="D121" s="8" t="n">
        <v>1566</v>
      </c>
      <c r="E121" t="n">
        <v>0</v>
      </c>
      <c r="F121" s="8">
        <f>D121*E121</f>
        <v/>
      </c>
    </row>
    <row r="122">
      <c r="A122" t="inlineStr">
        <is>
          <t>NG-DRN-005</t>
        </is>
      </c>
      <c r="B122" t="inlineStr">
        <is>
          <t>Insta360 X4 - 8K 360-Degree Camera</t>
        </is>
      </c>
      <c r="C122" s="8" t="n">
        <v>3499</v>
      </c>
      <c r="D122" s="8" t="n">
        <v>2299.35</v>
      </c>
      <c r="E122" t="n">
        <v>0</v>
      </c>
      <c r="F122" s="8">
        <f>D122*E122</f>
        <v/>
      </c>
    </row>
    <row r="123">
      <c r="A123" t="inlineStr">
        <is>
          <t>NG-DRN-004</t>
        </is>
      </c>
      <c r="B123" t="inlineStr">
        <is>
          <t>DJI RS 4 - 3-Axis Gimbal Stabilizer for Professional Cameras</t>
        </is>
      </c>
      <c r="C123" s="8" t="n">
        <v>3099</v>
      </c>
      <c r="D123" s="8" t="n">
        <v>2032.65</v>
      </c>
      <c r="E123" t="n">
        <v>0</v>
      </c>
      <c r="F123" s="8">
        <f>D123*E123</f>
        <v/>
      </c>
    </row>
    <row r="124">
      <c r="A124" t="inlineStr">
        <is>
          <t>NG-DRN-003</t>
        </is>
      </c>
      <c r="B124" t="inlineStr">
        <is>
          <t>DJI Osmo Action 5 Pro - 4K/120fps Waterproof Action Camera</t>
        </is>
      </c>
      <c r="C124" s="8" t="n">
        <v>2499</v>
      </c>
      <c r="D124" s="8" t="n">
        <v>1632.67</v>
      </c>
      <c r="E124" t="n">
        <v>0</v>
      </c>
      <c r="F124" s="8">
        <f>D124*E124</f>
        <v/>
      </c>
    </row>
    <row r="125">
      <c r="A125" t="inlineStr">
        <is>
          <t>NG-DRN-002</t>
        </is>
      </c>
      <c r="B125" t="inlineStr">
        <is>
          <t>DJI Avata 2 - Immersive FPV Drone with Goggles</t>
        </is>
      </c>
      <c r="C125" s="8" t="n">
        <v>4099</v>
      </c>
      <c r="D125" s="8" t="n">
        <v>2699.33</v>
      </c>
      <c r="E125" t="n">
        <v>0</v>
      </c>
      <c r="F125" s="8">
        <f>D125*E125</f>
        <v/>
      </c>
    </row>
    <row r="126">
      <c r="A126" t="inlineStr">
        <is>
          <t>NG-DRN-001</t>
        </is>
      </c>
      <c r="B126" t="inlineStr">
        <is>
          <t>DJI Mini 4 Pro - Sub-249g Drone with 4K/60fps Camera</t>
        </is>
      </c>
      <c r="C126" s="8" t="n">
        <v>6099</v>
      </c>
      <c r="D126" s="8" t="n">
        <v>4443.71</v>
      </c>
      <c r="E126" t="n">
        <v>0</v>
      </c>
      <c r="F126" s="8">
        <f>D126*E126</f>
        <v/>
      </c>
    </row>
    <row r="127">
      <c r="A127" t="inlineStr">
        <is>
          <t>NG-CBL-008</t>
        </is>
      </c>
      <c r="B127" t="inlineStr">
        <is>
          <t>HDMI 2.1 8K Fiber Optic Cable (10m) - Zero Signal Loss</t>
        </is>
      </c>
      <c r="C127" s="8" t="n">
        <v>359</v>
      </c>
      <c r="D127" s="8" t="n">
        <v>182.78</v>
      </c>
      <c r="E127" t="n">
        <v>0</v>
      </c>
      <c r="F127" s="8">
        <f>D127*E127</f>
        <v/>
      </c>
    </row>
    <row r="128">
      <c r="A128" t="inlineStr">
        <is>
          <t>NG-CBL-007</t>
        </is>
      </c>
      <c r="B128" t="inlineStr">
        <is>
          <t>DAC SFP+ 10G Direct Attach Cable (3m) - Direct Switch-to-Switch Connection</t>
        </is>
      </c>
      <c r="C128" s="8" t="n">
        <v>229</v>
      </c>
      <c r="D128" s="8" t="n">
        <v>102</v>
      </c>
      <c r="E128" t="n">
        <v>0</v>
      </c>
      <c r="F128" s="8">
        <f>D128*E128</f>
        <v/>
      </c>
    </row>
    <row r="129">
      <c r="A129" t="inlineStr">
        <is>
          <t>NG-CBL-006</t>
        </is>
      </c>
      <c r="B129" t="inlineStr">
        <is>
          <t>Ugreen 5-in-1 USB-C Dock - HDMI 4K + Ethernet + USB 3.0</t>
        </is>
      </c>
      <c r="C129" s="8" t="n">
        <v>249</v>
      </c>
      <c r="D129" s="8" t="n">
        <v>112.01</v>
      </c>
      <c r="E129" t="n">
        <v>0</v>
      </c>
      <c r="F129" s="8">
        <f>D129*E129</f>
        <v/>
      </c>
    </row>
    <row r="130">
      <c r="A130" t="inlineStr">
        <is>
          <t>NG-CBL-005</t>
        </is>
      </c>
      <c r="B130" t="inlineStr">
        <is>
          <t>Baseus USB-C 100W Charging Cable (2m) - Fast Charge for Laptops and Phones</t>
        </is>
      </c>
      <c r="C130" s="8" t="n">
        <v>109</v>
      </c>
      <c r="D130" s="8" t="n">
        <v>35.59</v>
      </c>
      <c r="E130" t="n">
        <v>0</v>
      </c>
      <c r="F130" s="8">
        <f>D130*E130</f>
        <v/>
      </c>
    </row>
    <row r="131">
      <c r="A131" t="inlineStr">
        <is>
          <t>NG-CBL-004</t>
        </is>
      </c>
      <c r="B131" t="inlineStr">
        <is>
          <t>Ugreen Cat 8 Ethernet Cable (5m) - 40Gbps Network Cable</t>
        </is>
      </c>
      <c r="C131" s="8" t="n">
        <v>149</v>
      </c>
      <c r="D131" s="8" t="n">
        <v>61.99</v>
      </c>
      <c r="E131" t="n">
        <v>0</v>
      </c>
      <c r="F131" s="8">
        <f>D131*E131</f>
        <v/>
      </c>
    </row>
    <row r="132">
      <c r="A132" t="inlineStr">
        <is>
          <t>NG-CBL-003</t>
        </is>
      </c>
      <c r="B132" t="inlineStr">
        <is>
          <t>Cable Matters Thunderbolt 4 Cable (2m) - 40Gbps with 100W Charging</t>
        </is>
      </c>
      <c r="C132" s="8" t="n">
        <v>419</v>
      </c>
      <c r="D132" s="8" t="n">
        <v>216.11</v>
      </c>
      <c r="E132" t="n">
        <v>0</v>
      </c>
      <c r="F132" s="8">
        <f>D132*E132</f>
        <v/>
      </c>
    </row>
    <row r="133">
      <c r="A133" t="inlineStr">
        <is>
          <t>NG-CBL-002</t>
        </is>
      </c>
      <c r="B133" t="inlineStr">
        <is>
          <t>Anker USB-C Hub 7-in-1 - Multi-Port Adapter for Laptops</t>
        </is>
      </c>
      <c r="C133" s="8" t="n">
        <v>349</v>
      </c>
      <c r="D133" s="8" t="n">
        <v>177.22</v>
      </c>
      <c r="E133" t="n">
        <v>0</v>
      </c>
      <c r="F133" s="8">
        <f>D133*E133</f>
        <v/>
      </c>
    </row>
    <row r="134">
      <c r="A134" t="inlineStr">
        <is>
          <t>NG-CBL-001</t>
        </is>
      </c>
      <c r="B134" t="inlineStr">
        <is>
          <t>Ugreen USB-C to HDMI 2.1 Cable (2m) - 8K@60Hz Output</t>
        </is>
      </c>
      <c r="C134" s="8" t="n">
        <v>219</v>
      </c>
      <c r="D134" s="8" t="n">
        <v>97.01000000000001</v>
      </c>
      <c r="E134" t="n">
        <v>0</v>
      </c>
      <c r="F134" s="8">
        <f>D134*E134</f>
        <v/>
      </c>
    </row>
    <row r="135">
      <c r="A135" t="inlineStr">
        <is>
          <t>NG-3DP-008</t>
        </is>
      </c>
      <c r="B135" t="inlineStr">
        <is>
          <t>Phrozen Sonic Mini 8K S - 22-Micron Pixel Resin 3D Printer</t>
        </is>
      </c>
      <c r="C135" s="8" t="n">
        <v>2899</v>
      </c>
      <c r="D135" s="8" t="n">
        <v>1899.34</v>
      </c>
      <c r="E135" t="n">
        <v>0</v>
      </c>
      <c r="F135" s="8">
        <f>D135*E135</f>
        <v/>
      </c>
    </row>
    <row r="136">
      <c r="A136" t="inlineStr">
        <is>
          <t>NG-3DP-007</t>
        </is>
      </c>
      <c r="B136" t="inlineStr">
        <is>
          <t>Creality Sonic Pad - Klipper Tablet to Supercharge Your 3D Printer</t>
        </is>
      </c>
      <c r="C136" s="8" t="n">
        <v>1049</v>
      </c>
      <c r="D136" s="8" t="n">
        <v>630.64</v>
      </c>
      <c r="E136" t="n">
        <v>0</v>
      </c>
      <c r="F136" s="8">
        <f>D136*E136</f>
        <v/>
      </c>
    </row>
    <row r="137">
      <c r="A137" t="inlineStr">
        <is>
          <t>NG-3DP-006</t>
        </is>
      </c>
      <c r="B137" t="inlineStr">
        <is>
          <t>BIQU H2 V2S Direct Drive Extruder - Lightweight Upgrade for Your 3D Printer</t>
        </is>
      </c>
      <c r="C137" s="8" t="n">
        <v>599</v>
      </c>
      <c r="D137" s="8" t="n">
        <v>316.12</v>
      </c>
      <c r="E137" t="n">
        <v>0</v>
      </c>
      <c r="F137" s="8">
        <f>D137*E137</f>
        <v/>
      </c>
    </row>
    <row r="138">
      <c r="A138" t="inlineStr">
        <is>
          <t>NG-3DP-005</t>
        </is>
      </c>
      <c r="B138" t="inlineStr">
        <is>
          <t>Elegoo Saturn 3 Ultra - 12K Resin 3D Printer with 10-inch Screen</t>
        </is>
      </c>
      <c r="C138" s="8" t="n">
        <v>3499</v>
      </c>
      <c r="D138" s="8" t="n">
        <v>2299.35</v>
      </c>
      <c r="E138" t="n">
        <v>0</v>
      </c>
      <c r="F138" s="8">
        <f>D138*E138</f>
        <v/>
      </c>
    </row>
    <row r="139">
      <c r="A139" t="inlineStr">
        <is>
          <t>NG-3DP-004</t>
        </is>
      </c>
      <c r="B139" t="inlineStr">
        <is>
          <t>eSUN PLA+ Filament 10-Color Pack - 10kg Total for 3D Printing</t>
        </is>
      </c>
      <c r="C139" s="8" t="n">
        <v>1299</v>
      </c>
      <c r="D139" s="8" t="n">
        <v>786.86</v>
      </c>
      <c r="E139" t="n">
        <v>0</v>
      </c>
      <c r="F139" s="8">
        <f>D139*E139</f>
        <v/>
      </c>
    </row>
    <row r="140">
      <c r="A140" t="inlineStr">
        <is>
          <t>NG-3DP-003</t>
        </is>
      </c>
      <c r="B140" t="inlineStr">
        <is>
          <t>Creality K1 Max - Large Format 3D Printer at 600mm/s</t>
        </is>
      </c>
      <c r="C140" s="8" t="n">
        <v>4199</v>
      </c>
      <c r="D140" s="8" t="n">
        <v>2766</v>
      </c>
      <c r="E140" t="n">
        <v>0</v>
      </c>
      <c r="F140" s="8">
        <f>D140*E140</f>
        <v/>
      </c>
    </row>
    <row r="141">
      <c r="A141" t="inlineStr">
        <is>
          <t>NG-3DP-002</t>
        </is>
      </c>
      <c r="B141" t="inlineStr">
        <is>
          <t>Bambu Lab AMS - Automatic Material System for Multi-Color 3D Printing</t>
        </is>
      </c>
      <c r="C141" s="8" t="n">
        <v>1949</v>
      </c>
      <c r="D141" s="8" t="n">
        <v>1266</v>
      </c>
      <c r="E141" t="n">
        <v>0</v>
      </c>
      <c r="F141" s="8">
        <f>D141*E141</f>
        <v/>
      </c>
    </row>
    <row r="142">
      <c r="A142" t="inlineStr">
        <is>
          <t>NG-3DP-001</t>
        </is>
      </c>
      <c r="B142" t="inlineStr">
        <is>
          <t>Bambu Lab P1S 3D Printer - Blazing Speed and Pro Quality in an Enclosed Design</t>
        </is>
      </c>
      <c r="C142" s="8" t="n">
        <v>5099</v>
      </c>
      <c r="D142" s="8" t="n">
        <v>3366</v>
      </c>
      <c r="E142" t="n">
        <v>0</v>
      </c>
      <c r="F142" s="8">
        <f>D142*E142</f>
        <v/>
      </c>
    </row>
    <row r="143">
      <c r="A143" t="inlineStr">
        <is>
          <t>NG-ACC-010</t>
        </is>
      </c>
      <c r="B143" t="inlineStr">
        <is>
          <t>WD Red Plus 8TB NAS Hard Drive - Built for Always-On NAS Systems</t>
        </is>
      </c>
      <c r="C143" s="8" t="n">
        <v>1449</v>
      </c>
      <c r="D143" s="8" t="n">
        <v>880.61</v>
      </c>
      <c r="E143" t="n">
        <v>0</v>
      </c>
      <c r="F143" s="8">
        <f>D143*E143</f>
        <v/>
      </c>
    </row>
    <row r="144">
      <c r="A144" t="inlineStr">
        <is>
          <t>NG-ACC-009</t>
        </is>
      </c>
      <c r="B144" t="inlineStr">
        <is>
          <t>Ugreen Nexode 100W GaN Charger - 4-Port Gallium Nitride Fast Charger</t>
        </is>
      </c>
      <c r="C144" s="8" t="n">
        <v>439</v>
      </c>
      <c r="D144" s="8" t="n">
        <v>227.21</v>
      </c>
      <c r="E144" t="n">
        <v>0</v>
      </c>
      <c r="F144" s="8">
        <f>D144*E144</f>
        <v/>
      </c>
    </row>
    <row r="145">
      <c r="A145" t="inlineStr">
        <is>
          <t>NG-ACC-008</t>
        </is>
      </c>
      <c r="B145" t="inlineStr">
        <is>
          <t>CalDigit TS4 Thunderbolt 4 Dock - 18-Port Professional Docking Station</t>
        </is>
      </c>
      <c r="C145" s="8" t="n">
        <v>2899</v>
      </c>
      <c r="D145" s="8" t="n">
        <v>1899.34</v>
      </c>
      <c r="E145" t="n">
        <v>0</v>
      </c>
      <c r="F145" s="8">
        <f>D145*E145</f>
        <v/>
      </c>
    </row>
    <row r="146">
      <c r="A146" t="inlineStr">
        <is>
          <t>NG-ACC-007</t>
        </is>
      </c>
      <c r="B146" t="inlineStr">
        <is>
          <t>Anker PowerConf S330 USB Speakerphone - Smart Noise-Canceling Conference Speaker</t>
        </is>
      </c>
      <c r="C146" s="8" t="n">
        <v>599</v>
      </c>
      <c r="D146" s="8" t="n">
        <v>316.12</v>
      </c>
      <c r="E146" t="n">
        <v>0</v>
      </c>
      <c r="F146" s="8">
        <f>D146*E146</f>
        <v/>
      </c>
    </row>
    <row r="147">
      <c r="A147" t="inlineStr">
        <is>
          <t>NG-ACC-006</t>
        </is>
      </c>
      <c r="B147" t="inlineStr">
        <is>
          <t>Samsung T7 Shield 2TB Portable SSD - Rugged, Fast, and Secure</t>
        </is>
      </c>
      <c r="C147" s="8" t="n">
        <v>1299</v>
      </c>
      <c r="D147" s="8" t="n">
        <v>786.86</v>
      </c>
      <c r="E147" t="n">
        <v>0</v>
      </c>
      <c r="F147" s="8">
        <f>D147*E147</f>
        <v/>
      </c>
    </row>
    <row r="148">
      <c r="A148" t="inlineStr">
        <is>
          <t>NG-MKR-010</t>
        </is>
      </c>
      <c r="B148" t="inlineStr">
        <is>
          <t>Elegoo Mars 4 Ultra Resin 3D Printer - 9K Resolution for Stunning Detail</t>
        </is>
      </c>
      <c r="C148" s="8" t="n">
        <v>2399</v>
      </c>
      <c r="D148" s="8" t="n">
        <v>1566</v>
      </c>
      <c r="E148" t="n">
        <v>0</v>
      </c>
      <c r="F148" s="8">
        <f>D148*E148</f>
        <v/>
      </c>
    </row>
    <row r="149">
      <c r="A149" t="inlineStr">
        <is>
          <t>NG-MKR-009</t>
        </is>
      </c>
      <c r="B149" t="inlineStr">
        <is>
          <t>ESP32-S3 DevKit 10-Pack - Wi-Fi + Bluetooth 5 Microcontroller for Smart Projects</t>
        </is>
      </c>
      <c r="C149" s="8" t="n">
        <v>699</v>
      </c>
      <c r="D149" s="8" t="n">
        <v>371.66</v>
      </c>
      <c r="E149" t="n">
        <v>0</v>
      </c>
      <c r="F149" s="8">
        <f>D149*E149</f>
        <v/>
      </c>
    </row>
    <row r="150">
      <c r="A150" t="inlineStr">
        <is>
          <t>NG-MKR-008</t>
        </is>
      </c>
      <c r="B150" t="inlineStr">
        <is>
          <t>Creality Ender-3 V3 SE - The Best Entry-Level 3D Printer</t>
        </is>
      </c>
      <c r="C150" s="8" t="n">
        <v>1199</v>
      </c>
      <c r="D150" s="8" t="n">
        <v>724.39</v>
      </c>
      <c r="E150" t="n">
        <v>0</v>
      </c>
      <c r="F150" s="8">
        <f>D150*E150</f>
        <v/>
      </c>
    </row>
    <row r="151">
      <c r="A151" t="inlineStr">
        <is>
          <t>NG-MKR-007</t>
        </is>
      </c>
      <c r="B151" t="inlineStr">
        <is>
          <t>Prusa Mini+ 3D Printer - Professional Precision in a Compact Package</t>
        </is>
      </c>
      <c r="C151" s="8" t="n">
        <v>3299</v>
      </c>
      <c r="D151" s="8" t="n">
        <v>2166</v>
      </c>
      <c r="E151" t="n">
        <v>0</v>
      </c>
      <c r="F151" s="8">
        <f>D151*E151</f>
        <v/>
      </c>
    </row>
    <row r="152">
      <c r="A152" t="inlineStr">
        <is>
          <t>NG-MKR-006</t>
        </is>
      </c>
      <c r="B152" t="inlineStr">
        <is>
          <t>Arduino Mega 2560 Rev3 - The Ultimate Microcontroller Board for Advanced Project</t>
        </is>
      </c>
      <c r="C152" s="8" t="n">
        <v>549</v>
      </c>
      <c r="D152" s="8" t="n">
        <v>288.34</v>
      </c>
      <c r="E152" t="n">
        <v>0</v>
      </c>
      <c r="F152" s="8">
        <f>D152*E152</f>
        <v/>
      </c>
    </row>
    <row r="153">
      <c r="A153" t="inlineStr">
        <is>
          <t>NG-GAM-012</t>
        </is>
      </c>
      <c r="B153" t="inlineStr">
        <is>
          <t>Elgato Wave:3 - Premium USB Condenser Microphone for Streaming</t>
        </is>
      </c>
      <c r="C153" s="8" t="n">
        <v>1149</v>
      </c>
      <c r="D153" s="8" t="n">
        <v>693.11</v>
      </c>
      <c r="E153" t="n">
        <v>0</v>
      </c>
      <c r="F153" s="8">
        <f>D153*E153</f>
        <v/>
      </c>
    </row>
    <row r="154">
      <c r="A154" t="inlineStr">
        <is>
          <t>NG-GAM-011</t>
        </is>
      </c>
      <c r="B154" t="inlineStr">
        <is>
          <t>SteelSeries QcK Heavy XXL - Extra-Large Gaming Mouse Pad</t>
        </is>
      </c>
      <c r="C154" s="8" t="n">
        <v>289</v>
      </c>
      <c r="D154" s="8" t="n">
        <v>143.89</v>
      </c>
      <c r="E154" t="n">
        <v>0</v>
      </c>
      <c r="F154" s="8">
        <f>D154*E154</f>
        <v/>
      </c>
    </row>
    <row r="155">
      <c r="A155" t="inlineStr">
        <is>
          <t>NG-GAM-010</t>
        </is>
      </c>
      <c r="B155" t="inlineStr">
        <is>
          <t>BenQ Zowie XL2546K - 240Hz Esports Gaming Monitor</t>
        </is>
      </c>
      <c r="C155" s="8" t="n">
        <v>2999</v>
      </c>
      <c r="D155" s="8" t="n">
        <v>1966.01</v>
      </c>
      <c r="E155" t="n">
        <v>0</v>
      </c>
      <c r="F155" s="8">
        <f>D155*E155</f>
        <v/>
      </c>
    </row>
    <row r="156">
      <c r="A156" t="inlineStr">
        <is>
          <t>NG-GAM-009</t>
        </is>
      </c>
      <c r="B156" t="inlineStr">
        <is>
          <t>Corsair K70 RGB Pro - Legendary Mechanical Gaming Keyboard</t>
        </is>
      </c>
      <c r="C156" s="8" t="n">
        <v>999</v>
      </c>
      <c r="D156" s="8" t="n">
        <v>599.36</v>
      </c>
      <c r="E156" t="n">
        <v>0</v>
      </c>
      <c r="F156" s="8">
        <f>D156*E156</f>
        <v/>
      </c>
    </row>
    <row r="157">
      <c r="A157" t="inlineStr">
        <is>
          <t>NG-GAM-008</t>
        </is>
      </c>
      <c r="B157" t="inlineStr">
        <is>
          <t>Razer Basilisk V3 X HyperSpeed - Versatile Wireless Gaming Mouse</t>
        </is>
      </c>
      <c r="C157" s="8" t="n">
        <v>649</v>
      </c>
      <c r="D157" s="8" t="n">
        <v>343.88</v>
      </c>
      <c r="E157" t="n">
        <v>0</v>
      </c>
      <c r="F157" s="8">
        <f>D157*E157</f>
        <v/>
      </c>
    </row>
    <row r="158">
      <c r="A158" t="inlineStr">
        <is>
          <t>NG-GAM-007</t>
        </is>
      </c>
      <c r="B158" t="inlineStr">
        <is>
          <t>8BitDo Arcade Stick - Authentic Arcade Experience at Home</t>
        </is>
      </c>
      <c r="C158" s="8" t="n">
        <v>799</v>
      </c>
      <c r="D158" s="8" t="n">
        <v>474.38</v>
      </c>
      <c r="E158" t="n">
        <v>0</v>
      </c>
      <c r="F158" s="8">
        <f>D158*E158</f>
        <v/>
      </c>
    </row>
    <row r="159">
      <c r="A159" t="inlineStr">
        <is>
          <t>NG-GAM-006</t>
        </is>
      </c>
      <c r="B159" t="inlineStr">
        <is>
          <t>SteelSeries Arctis Nova 7 - Multi-Platform Wireless Gaming Headset</t>
        </is>
      </c>
      <c r="C159" s="8" t="n">
        <v>1199</v>
      </c>
      <c r="D159" s="8" t="n">
        <v>724.39</v>
      </c>
      <c r="E159" t="n">
        <v>0</v>
      </c>
      <c r="F159" s="8">
        <f>D159*E159</f>
        <v/>
      </c>
    </row>
    <row r="160">
      <c r="A160" t="inlineStr">
        <is>
          <t>NG-GAM-005</t>
        </is>
      </c>
      <c r="B160" t="inlineStr">
        <is>
          <t>Elgato HD60 X - External Capture Card for Streaming and Recording</t>
        </is>
      </c>
      <c r="C160" s="8" t="n">
        <v>1249</v>
      </c>
      <c r="D160" s="8" t="n">
        <v>755.62</v>
      </c>
      <c r="E160" t="n">
        <v>0</v>
      </c>
      <c r="F160" s="8">
        <f>D160*E160</f>
        <v/>
      </c>
    </row>
    <row r="161">
      <c r="A161" t="inlineStr">
        <is>
          <t>NG-GAM-004</t>
        </is>
      </c>
      <c r="B161" t="inlineStr">
        <is>
          <t>Razer BlackWidow V4 75% - Compact Mechanical Gaming Keyboard</t>
        </is>
      </c>
      <c r="C161" s="8" t="n">
        <v>1199</v>
      </c>
      <c r="D161" s="8" t="n">
        <v>724.39</v>
      </c>
      <c r="E161" t="n">
        <v>0</v>
      </c>
      <c r="F161" s="8">
        <f>D161*E161</f>
        <v/>
      </c>
    </row>
    <row r="162">
      <c r="A162" t="inlineStr">
        <is>
          <t>NG-GAM-003</t>
        </is>
      </c>
      <c r="B162" t="inlineStr">
        <is>
          <t>HyperX Cloud III Wireless - Premium Wireless Gaming Headset</t>
        </is>
      </c>
      <c r="C162" s="8" t="n">
        <v>999</v>
      </c>
      <c r="D162" s="8" t="n">
        <v>599.36</v>
      </c>
      <c r="E162" t="n">
        <v>0</v>
      </c>
      <c r="F162" s="8">
        <f>D162*E162</f>
        <v/>
      </c>
    </row>
    <row r="163">
      <c r="A163" t="inlineStr">
        <is>
          <t>NG-GAM-002</t>
        </is>
      </c>
      <c r="B163" t="inlineStr">
        <is>
          <t>Razer DeathAdder V3 HyperSpeed - Ultra-Light Wireless Gaming Mouse</t>
        </is>
      </c>
      <c r="C163" s="8" t="n">
        <v>849</v>
      </c>
      <c r="D163" s="8" t="n">
        <v>505.61</v>
      </c>
      <c r="E163" t="n">
        <v>0</v>
      </c>
      <c r="F163" s="8">
        <f>D163*E163</f>
        <v/>
      </c>
    </row>
    <row r="164">
      <c r="A164" t="inlineStr">
        <is>
          <t>NG-GAM-001</t>
        </is>
      </c>
      <c r="B164" t="inlineStr">
        <is>
          <t>8BitDo Ultimate C Bluetooth Controller - Multi-Platform Gaming</t>
        </is>
      </c>
      <c r="C164" s="8" t="n">
        <v>309</v>
      </c>
      <c r="D164" s="8" t="n">
        <v>154.99</v>
      </c>
      <c r="E164" t="n">
        <v>0</v>
      </c>
      <c r="F164" s="8">
        <f>D164*E164</f>
        <v/>
      </c>
    </row>
    <row r="165">
      <c r="A165" t="inlineStr">
        <is>
          <t>NG-NET-012</t>
        </is>
      </c>
      <c r="B165" t="inlineStr">
        <is>
          <t>Ubiquiti UniFi Cloud Gateway Ultra - All-in-One UniFi Gateway</t>
        </is>
      </c>
      <c r="C165" s="8" t="n">
        <v>899</v>
      </c>
      <c r="D165" s="8" t="n">
        <v>536.89</v>
      </c>
      <c r="E165" t="n">
        <v>0</v>
      </c>
      <c r="F165" s="8">
        <f>D165*E165</f>
        <v/>
      </c>
    </row>
    <row r="166">
      <c r="A166" t="inlineStr">
        <is>
          <t>NG-NET-011</t>
        </is>
      </c>
      <c r="B166" t="inlineStr">
        <is>
          <t>TP-Link Archer AXE75 - AXE5400 Tri-Band WiFi 6E Router</t>
        </is>
      </c>
      <c r="C166" s="8" t="n">
        <v>1299</v>
      </c>
      <c r="D166" s="8" t="n">
        <v>786.86</v>
      </c>
      <c r="E166" t="n">
        <v>0</v>
      </c>
      <c r="F166" s="8">
        <f>D166*E166</f>
        <v/>
      </c>
    </row>
    <row r="167">
      <c r="A167" t="inlineStr">
        <is>
          <t>NG-NET-010</t>
        </is>
      </c>
      <c r="B167" t="inlineStr">
        <is>
          <t>Ubiquiti UniFi USW-Flex-Mini - Ultra-Compact 5-Port Managed Switch</t>
        </is>
      </c>
      <c r="C167" s="8" t="n">
        <v>219</v>
      </c>
      <c r="D167" s="8" t="n">
        <v>97.01000000000001</v>
      </c>
      <c r="E167" t="n">
        <v>0</v>
      </c>
      <c r="F167" s="8">
        <f>D167*E167</f>
        <v/>
      </c>
    </row>
    <row r="168">
      <c r="A168" t="inlineStr">
        <is>
          <t>NG-NET-009</t>
        </is>
      </c>
      <c r="B168" t="inlineStr">
        <is>
          <t>Netgear GS308E - 8-Port Gigabit Plus Smart Managed Switch</t>
        </is>
      </c>
      <c r="C168" s="8" t="n">
        <v>209</v>
      </c>
      <c r="D168" s="8" t="n">
        <v>91.98999999999999</v>
      </c>
      <c r="E168" t="n">
        <v>0</v>
      </c>
      <c r="F168" s="8">
        <f>D168*E168</f>
        <v/>
      </c>
    </row>
    <row r="169">
      <c r="A169" t="inlineStr">
        <is>
          <t>NG-NET-008</t>
        </is>
      </c>
      <c r="B169" t="inlineStr">
        <is>
          <t>MikroTik hEX S (RB760iGS) - 5-Port Gigabit Router with SFP and USB</t>
        </is>
      </c>
      <c r="C169" s="8" t="n">
        <v>649</v>
      </c>
      <c r="D169" s="8" t="n">
        <v>343.88</v>
      </c>
      <c r="E169" t="n">
        <v>0</v>
      </c>
      <c r="F169" s="8">
        <f>D169*E169</f>
        <v/>
      </c>
    </row>
    <row r="170">
      <c r="A170" t="inlineStr">
        <is>
          <t>NG-NET-007</t>
        </is>
      </c>
      <c r="B170" t="inlineStr">
        <is>
          <t>Ubiquiti EdgeRouter X - Advanced Gigabit Router in a Pocket-Sized Form</t>
        </is>
      </c>
      <c r="C170" s="8" t="n">
        <v>549</v>
      </c>
      <c r="D170" s="8" t="n">
        <v>288.34</v>
      </c>
      <c r="E170" t="n">
        <v>0</v>
      </c>
      <c r="F170" s="8">
        <f>D170*E170</f>
        <v/>
      </c>
    </row>
    <row r="171">
      <c r="A171" t="inlineStr">
        <is>
          <t>NG-NET-006</t>
        </is>
      </c>
      <c r="B171" t="inlineStr">
        <is>
          <t>TP-Link TL-SG108E - 8-Port Gigabit Easy Smart Managed Switch</t>
        </is>
      </c>
      <c r="C171" s="8" t="n">
        <v>229</v>
      </c>
      <c r="D171" s="8" t="n">
        <v>102</v>
      </c>
      <c r="E171" t="n">
        <v>0</v>
      </c>
      <c r="F171" s="8">
        <f>D171*E171</f>
        <v/>
      </c>
    </row>
    <row r="172">
      <c r="A172" t="inlineStr">
        <is>
          <t>NG-NET-005</t>
        </is>
      </c>
      <c r="B172" t="inlineStr">
        <is>
          <t>Ubiquiti UniFi 6 Lite - WiFi 6 Access Point (AX1500)</t>
        </is>
      </c>
      <c r="C172" s="8" t="n">
        <v>849</v>
      </c>
      <c r="D172" s="8" t="n">
        <v>505.61</v>
      </c>
      <c r="E172" t="n">
        <v>0</v>
      </c>
      <c r="F172" s="8">
        <f>D172*E172</f>
        <v/>
      </c>
    </row>
    <row r="173">
      <c r="A173" t="inlineStr">
        <is>
          <t>NG-NET-004</t>
        </is>
      </c>
      <c r="B173" t="inlineStr">
        <is>
          <t>MikroTik CRS305-1G-4S+IN - 4-Port 10G SFP+ Desktop Switch</t>
        </is>
      </c>
      <c r="C173" s="8" t="n">
        <v>1149</v>
      </c>
      <c r="D173" s="8" t="n">
        <v>693.11</v>
      </c>
      <c r="E173" t="n">
        <v>0</v>
      </c>
      <c r="F173" s="8">
        <f>D173*E173</f>
        <v/>
      </c>
    </row>
    <row r="174">
      <c r="A174" t="inlineStr">
        <is>
          <t>NG-NET-003</t>
        </is>
      </c>
      <c r="B174" t="inlineStr">
        <is>
          <t>Ubiquiti UniFi Switch Lite 16 PoE - 16-Port Managed Gigabit PoE+ Switch</t>
        </is>
      </c>
      <c r="C174" s="8" t="n">
        <v>1399</v>
      </c>
      <c r="D174" s="8" t="n">
        <v>849.38</v>
      </c>
      <c r="E174" t="n">
        <v>0</v>
      </c>
      <c r="F174" s="8">
        <f>D174*E174</f>
        <v/>
      </c>
    </row>
    <row r="175">
      <c r="A175" t="inlineStr">
        <is>
          <t>NG-NET-002</t>
        </is>
      </c>
      <c r="B175" t="inlineStr">
        <is>
          <t>TP-Link Deco XE75 (3-Pack) - AXE5400 WiFi 6E Whole-Home Mesh System</t>
        </is>
      </c>
      <c r="C175" s="8" t="n">
        <v>2099</v>
      </c>
      <c r="D175" s="8" t="n">
        <v>1366.01</v>
      </c>
      <c r="E175" t="n">
        <v>0</v>
      </c>
      <c r="F175" s="8">
        <f>D175*E175</f>
        <v/>
      </c>
    </row>
    <row r="176">
      <c r="A176" t="inlineStr">
        <is>
          <t>NG-NET-001</t>
        </is>
      </c>
      <c r="B176" t="inlineStr">
        <is>
          <t>MikroTik hAP ax3 - WiFi 6 Router with RouterOS Power</t>
        </is>
      </c>
      <c r="C176" s="8" t="n">
        <v>799</v>
      </c>
      <c r="D176" s="8" t="n">
        <v>474.38</v>
      </c>
      <c r="E176" t="n">
        <v>0</v>
      </c>
      <c r="F176" s="8">
        <f>D176*E176</f>
        <v/>
      </c>
    </row>
    <row r="177">
      <c r="A177" t="inlineStr">
        <is>
          <t>NG-SH-015</t>
        </is>
      </c>
      <c r="B177" t="inlineStr">
        <is>
          <t>Sonoff SNZB-02D Zigbee Temperature &amp;amp; Humidity Sensor with LCD Display</t>
        </is>
      </c>
      <c r="C177" s="8" t="n">
        <v>159</v>
      </c>
      <c r="D177" s="8" t="n">
        <v>67.01000000000001</v>
      </c>
      <c r="E177" t="n">
        <v>0</v>
      </c>
      <c r="F177" s="8">
        <f>D177*E177</f>
        <v/>
      </c>
    </row>
    <row r="178">
      <c r="A178" t="inlineStr">
        <is>
          <t>NG-SH-014</t>
        </is>
      </c>
      <c r="B178" t="inlineStr">
        <is>
          <t>MOES Zigbee Smart Thermostat (BHT-002-GCLZB) - Programmable HVAC Control</t>
        </is>
      </c>
      <c r="C178" s="8" t="n">
        <v>379</v>
      </c>
      <c r="D178" s="8" t="n">
        <v>193.88</v>
      </c>
      <c r="E178" t="n">
        <v>0</v>
      </c>
      <c r="F178" s="8">
        <f>D178*E178</f>
        <v/>
      </c>
    </row>
    <row r="179">
      <c r="A179" t="inlineStr">
        <is>
          <t>NG-SH-013</t>
        </is>
      </c>
      <c r="B179" t="inlineStr">
        <is>
          <t>Zemismart Zigbee Smart Tubular Motor (ZM25TQ) - Heavy-Duty Roller Blind Motor</t>
        </is>
      </c>
      <c r="C179" s="8" t="n">
        <v>699</v>
      </c>
      <c r="D179" s="8" t="n">
        <v>371.66</v>
      </c>
      <c r="E179" t="n">
        <v>0</v>
      </c>
      <c r="F179" s="8">
        <f>D179*E179</f>
        <v/>
      </c>
    </row>
    <row r="180">
      <c r="A180" t="inlineStr">
        <is>
          <t>NG-SH-012</t>
        </is>
      </c>
      <c r="B180" t="inlineStr">
        <is>
          <t>Aqara Roller Shade Driver E1 (RSD-M01) - Smart Roller Blind Motor with HomeKit</t>
        </is>
      </c>
      <c r="C180" s="8" t="n">
        <v>599</v>
      </c>
      <c r="D180" s="8" t="n">
        <v>316.12</v>
      </c>
      <c r="E180" t="n">
        <v>0</v>
      </c>
      <c r="F180" s="8">
        <f>D180*E180</f>
        <v/>
      </c>
    </row>
    <row r="181">
      <c r="A181" t="inlineStr">
        <is>
          <t>NG-SH-011</t>
        </is>
      </c>
      <c r="B181" t="inlineStr">
        <is>
          <t>SwitchBot Bot (S1) - Robotic Finger That Makes Any Button Smart</t>
        </is>
      </c>
      <c r="C181" s="8" t="n">
        <v>279</v>
      </c>
      <c r="D181" s="8" t="n">
        <v>138.34</v>
      </c>
      <c r="E181" t="n">
        <v>0</v>
      </c>
      <c r="F181" s="8">
        <f>D181*E181</f>
        <v/>
      </c>
    </row>
    <row r="182">
      <c r="A182" t="inlineStr">
        <is>
          <t>NG-SH-010</t>
        </is>
      </c>
      <c r="B182" t="inlineStr">
        <is>
          <t>Eve Energy Smart Plug (Matter/Thread) - Next-Gen Smart Plug with Power Monitorin</t>
        </is>
      </c>
      <c r="C182" s="8" t="n">
        <v>399</v>
      </c>
      <c r="D182" s="8" t="n">
        <v>205.01</v>
      </c>
      <c r="E182" t="n">
        <v>0</v>
      </c>
      <c r="F182" s="8">
        <f>D182*E182</f>
        <v/>
      </c>
    </row>
    <row r="183">
      <c r="A183" t="inlineStr">
        <is>
          <t>NG-SH-009</t>
        </is>
      </c>
      <c r="B183" t="inlineStr">
        <is>
          <t>Aqara Motion Sensor P1 (MS-S02) - Wide-Angle 170° Smart PIR Sensor</t>
        </is>
      </c>
      <c r="C183" s="8" t="n">
        <v>279</v>
      </c>
      <c r="D183" s="8" t="n">
        <v>138.34</v>
      </c>
      <c r="E183" t="n">
        <v>0</v>
      </c>
      <c r="F183" s="8">
        <f>D183*E183</f>
        <v/>
      </c>
    </row>
    <row r="184">
      <c r="A184" t="inlineStr">
        <is>
          <t>NG-SH-008</t>
        </is>
      </c>
      <c r="B184" t="inlineStr">
        <is>
          <t>Shelly Plus 1PM - Smart Wi-Fi Relay with Power Monitoring</t>
        </is>
      </c>
      <c r="C184" s="8" t="n">
        <v>189</v>
      </c>
      <c r="D184" s="8" t="n">
        <v>82.01000000000001</v>
      </c>
      <c r="E184" t="n">
        <v>0</v>
      </c>
      <c r="F184" s="8">
        <f>D184*E184</f>
        <v/>
      </c>
    </row>
    <row r="185">
      <c r="A185" t="inlineStr">
        <is>
          <t>NG-SH-007</t>
        </is>
      </c>
      <c r="B185" t="inlineStr">
        <is>
          <t>SwitchBot Curtain 3 (W2400000) - Turn Any Curtain Smart in Minutes</t>
        </is>
      </c>
      <c r="C185" s="8" t="n">
        <v>549</v>
      </c>
      <c r="D185" s="8" t="n">
        <v>288.34</v>
      </c>
      <c r="E185" t="n">
        <v>0</v>
      </c>
      <c r="F185" s="8">
        <f>D185*E185</f>
        <v/>
      </c>
    </row>
    <row r="186">
      <c r="A186" t="inlineStr">
        <is>
          <t>NG-SH-006</t>
        </is>
      </c>
      <c r="B186" t="inlineStr">
        <is>
          <t>Aqara Hub M2 (HM2-G01) - Multi-Protocol Smart Home Gateway</t>
        </is>
      </c>
      <c r="C186" s="8" t="n">
        <v>499</v>
      </c>
      <c r="D186" s="8" t="n">
        <v>260.55</v>
      </c>
      <c r="E186" t="n">
        <v>0</v>
      </c>
      <c r="F186" s="8">
        <f>D186*E186</f>
        <v/>
      </c>
    </row>
    <row r="187">
      <c r="A187" t="inlineStr">
        <is>
          <t>NG-ENT-010</t>
        </is>
      </c>
      <c r="B187" t="inlineStr">
        <is>
          <t>Ubiquiti UniFi Switch Pro 24 PoE (USW-Pro-24-PoE) - Smart Managed PoE+ Switch</t>
        </is>
      </c>
      <c r="C187" s="8" t="n">
        <v>4199</v>
      </c>
      <c r="D187" s="8" t="n">
        <v>2766</v>
      </c>
      <c r="E187" t="n">
        <v>0</v>
      </c>
      <c r="F187" s="8">
        <f>D187*E187</f>
        <v/>
      </c>
    </row>
    <row r="188">
      <c r="A188" t="inlineStr">
        <is>
          <t>NG-ENT-009</t>
        </is>
      </c>
      <c r="B188" t="inlineStr">
        <is>
          <t>HPE ProLiant DL380 Gen10 Server (Refurbished) - Data Center Power at Smart Prici</t>
        </is>
      </c>
      <c r="C188" s="8" t="n">
        <v>6499</v>
      </c>
      <c r="D188" s="8" t="n">
        <v>4740</v>
      </c>
      <c r="E188" t="n">
        <v>0</v>
      </c>
      <c r="F188" s="8">
        <f>D188*E188</f>
        <v/>
      </c>
    </row>
    <row r="189">
      <c r="A189" t="inlineStr">
        <is>
          <t>NG-ENT-008</t>
        </is>
      </c>
      <c r="B189" t="inlineStr">
        <is>
          <t>APC Smart-UPS 1500VA LCD RM 2U (SMT1500RMI2U) - Pure Sine Wave Rack UPS</t>
        </is>
      </c>
      <c r="C189" s="8" t="n">
        <v>4899</v>
      </c>
      <c r="D189" s="8" t="n">
        <v>3232.65</v>
      </c>
      <c r="E189" t="n">
        <v>0</v>
      </c>
      <c r="F189" s="8">
        <f>D189*E189</f>
        <v/>
      </c>
    </row>
    <row r="190">
      <c r="A190" t="inlineStr">
        <is>
          <t>NG-ENT-007</t>
        </is>
      </c>
      <c r="B190" t="inlineStr">
        <is>
          <t>MikroTik CRS326-24G-2S+RM 24-Port Managed Gigabit Switch with 10G SFP+</t>
        </is>
      </c>
      <c r="C190" s="8" t="n">
        <v>1649</v>
      </c>
      <c r="D190" s="8" t="n">
        <v>1005.64</v>
      </c>
      <c r="E190" t="n">
        <v>0</v>
      </c>
      <c r="F190" s="8">
        <f>D190*E190</f>
        <v/>
      </c>
    </row>
    <row r="191">
      <c r="A191" t="inlineStr">
        <is>
          <t>NG-ENT-006</t>
        </is>
      </c>
      <c r="B191" t="inlineStr">
        <is>
          <t>Synology DiskStation DS1621+ 6-Bay NAS - Enterprise Storage Powerhouse</t>
        </is>
      </c>
      <c r="C191" s="8" t="n">
        <v>5599</v>
      </c>
      <c r="D191" s="8" t="n">
        <v>3699.34</v>
      </c>
      <c r="E191" t="n">
        <v>0</v>
      </c>
      <c r="F191" s="8">
        <f>D191*E191</f>
        <v/>
      </c>
    </row>
    <row r="192">
      <c r="A192" t="inlineStr">
        <is>
          <t>NG-ACC-005</t>
        </is>
      </c>
      <c r="B192" t="inlineStr">
        <is>
          <t>Flipper Zero - The Ultimate Multi-Tool for Geeks and Cyber-Research</t>
        </is>
      </c>
      <c r="C192" s="8" t="n">
        <v>1799</v>
      </c>
      <c r="D192" s="8" t="n">
        <v>1099.39</v>
      </c>
      <c r="E192" t="n">
        <v>0</v>
      </c>
      <c r="F192" s="8">
        <f>D192*E192</f>
        <v/>
      </c>
    </row>
    <row r="193">
      <c r="A193" t="inlineStr">
        <is>
          <t>NG-ACC-004</t>
        </is>
      </c>
      <c r="B193" t="inlineStr">
        <is>
          <t>Seagate IronWolf 18TB NAS Internal Hard Drive - Built for 24/7 Performance</t>
        </is>
      </c>
      <c r="C193" s="8" t="n">
        <v>2699</v>
      </c>
      <c r="D193" s="8" t="n">
        <v>1765.99</v>
      </c>
      <c r="E193" t="n">
        <v>0</v>
      </c>
      <c r="F193" s="8">
        <f>D193*E193</f>
        <v/>
      </c>
    </row>
    <row r="194">
      <c r="A194" t="inlineStr">
        <is>
          <t>NG-ACC-003</t>
        </is>
      </c>
      <c r="B194" t="inlineStr">
        <is>
          <t>Mark Ryden Anti-theft Laptop Backpack - Maximum Protection for Your Tech</t>
        </is>
      </c>
      <c r="C194" s="8" t="n">
        <v>409</v>
      </c>
      <c r="D194" s="8" t="n">
        <v>210.56</v>
      </c>
      <c r="E194" t="n">
        <v>0</v>
      </c>
      <c r="F194" s="8">
        <f>D194*E194</f>
        <v/>
      </c>
    </row>
    <row r="195">
      <c r="A195" t="inlineStr">
        <is>
          <t>NG-ACC-002</t>
        </is>
      </c>
      <c r="B195" t="inlineStr">
        <is>
          <t>Anker 735 GaN 65W Charger - Compact 3-Port Fast Charger</t>
        </is>
      </c>
      <c r="C195" s="8" t="n">
        <v>379</v>
      </c>
      <c r="D195" s="8" t="n">
        <v>193.88</v>
      </c>
      <c r="E195" t="n">
        <v>0</v>
      </c>
      <c r="F195" s="8">
        <f>D195*E195</f>
        <v/>
      </c>
    </row>
    <row r="196">
      <c r="A196" t="inlineStr">
        <is>
          <t>NG-ACC-001</t>
        </is>
      </c>
      <c r="B196" t="inlineStr">
        <is>
          <t>Baseus Blade 100W Power Bank - Ultra-Slim Laptop Portable Charger</t>
        </is>
      </c>
      <c r="C196" s="8" t="n">
        <v>499</v>
      </c>
      <c r="D196" s="8" t="n">
        <v>260.55</v>
      </c>
      <c r="E196" t="n">
        <v>0</v>
      </c>
      <c r="F196" s="8">
        <f>D196*E196</f>
        <v/>
      </c>
    </row>
    <row r="197">
      <c r="A197" t="inlineStr">
        <is>
          <t>NG-MKR-005</t>
        </is>
      </c>
      <c r="B197" t="inlineStr">
        <is>
          <t>Elgato Stream Deck MK.2 - Professional Productivity Console with 15 LCD Keys</t>
        </is>
      </c>
      <c r="C197" s="8" t="n">
        <v>1249</v>
      </c>
      <c r="D197" s="8" t="n">
        <v>755.62</v>
      </c>
      <c r="E197" t="n">
        <v>0</v>
      </c>
      <c r="F197" s="8">
        <f>D197*E197</f>
        <v/>
      </c>
    </row>
    <row r="198">
      <c r="A198" t="inlineStr">
        <is>
          <t>NG-MKR-004</t>
        </is>
      </c>
      <c r="B198" t="inlineStr">
        <is>
          <t>Meta Quest 3 128GB - The Most Powerful Mixed Reality Headset</t>
        </is>
      </c>
      <c r="C198" s="8" t="n">
        <v>3299</v>
      </c>
      <c r="D198" s="8" t="n">
        <v>2166</v>
      </c>
      <c r="E198" t="n">
        <v>0</v>
      </c>
      <c r="F198" s="8">
        <f>D198*E198</f>
        <v/>
      </c>
    </row>
    <row r="199">
      <c r="A199" t="inlineStr">
        <is>
          <t>NG-MKR-003</t>
        </is>
      </c>
      <c r="B199" t="inlineStr">
        <is>
          <t>Keychron Q1 - Premium Full Aluminum Custom Mechanical Keyboard</t>
        </is>
      </c>
      <c r="C199" s="8" t="n">
        <v>1449</v>
      </c>
      <c r="D199" s="8" t="n">
        <v>880.61</v>
      </c>
      <c r="E199" t="n">
        <v>0</v>
      </c>
      <c r="F199" s="8">
        <f>D199*E199</f>
        <v/>
      </c>
    </row>
    <row r="200">
      <c r="A200" t="inlineStr">
        <is>
          <t>NG-MKR-002</t>
        </is>
      </c>
      <c r="B200" t="inlineStr">
        <is>
          <t>Raspberry Pi 5 Ultimate Starter Kit - Everything You Need in One Box</t>
        </is>
      </c>
      <c r="C200" s="8" t="n">
        <v>1149</v>
      </c>
      <c r="D200" s="8" t="n">
        <v>693.11</v>
      </c>
      <c r="E200" t="n">
        <v>0</v>
      </c>
      <c r="F200" s="8">
        <f>D200*E200</f>
        <v/>
      </c>
    </row>
    <row r="201">
      <c r="A201" t="inlineStr">
        <is>
          <t>NG-MKR-001</t>
        </is>
      </c>
      <c r="B201" t="inlineStr">
        <is>
          <t>Raspberry Pi 5 8GB - The New Standard in Single Board Computing</t>
        </is>
      </c>
      <c r="C201" s="8" t="n">
        <v>899</v>
      </c>
      <c r="D201" s="8" t="n">
        <v>536.89</v>
      </c>
      <c r="E201" t="n">
        <v>0</v>
      </c>
      <c r="F201" s="8">
        <f>D201*E201</f>
        <v/>
      </c>
    </row>
    <row r="202">
      <c r="A202" t="inlineStr">
        <is>
          <t>NG-SH-005</t>
        </is>
      </c>
      <c r="B202" t="inlineStr">
        <is>
          <t>Sonoff TX Ultimate (T5) Smart Wall Switch - Interactive Elegance with RGB</t>
        </is>
      </c>
      <c r="C202" s="8" t="n">
        <v>269</v>
      </c>
      <c r="D202" s="8" t="n">
        <v>132.79</v>
      </c>
      <c r="E202" t="n">
        <v>0</v>
      </c>
      <c r="F202" s="8">
        <f>D202*E202</f>
        <v/>
      </c>
    </row>
    <row r="203">
      <c r="A203" t="inlineStr">
        <is>
          <t>NG-SH-004</t>
        </is>
      </c>
      <c r="B203" t="inlineStr">
        <is>
          <t>Aqara Water Leak Sensor - Safeguard Your Home from Water Damage</t>
        </is>
      </c>
      <c r="C203" s="8" t="n">
        <v>219</v>
      </c>
      <c r="D203" s="8" t="n">
        <v>97.01000000000001</v>
      </c>
      <c r="E203" t="n">
        <v>0</v>
      </c>
      <c r="F203" s="8">
        <f>D203*E203</f>
        <v/>
      </c>
    </row>
    <row r="204">
      <c r="A204" t="inlineStr">
        <is>
          <t>NG-SH-003</t>
        </is>
      </c>
      <c r="B204" t="inlineStr">
        <is>
          <t>Broadlink RM4 Pro - Universal Smart Remote for IR &amp;amp; RF Devices</t>
        </is>
      </c>
      <c r="C204" s="8" t="n">
        <v>359</v>
      </c>
      <c r="D204" s="8" t="n">
        <v>182.78</v>
      </c>
      <c r="E204" t="n">
        <v>0</v>
      </c>
      <c r="F204" s="8">
        <f>D204*E204</f>
        <v/>
      </c>
    </row>
    <row r="205">
      <c r="A205" t="inlineStr">
        <is>
          <t>NG-SH-002</t>
        </is>
      </c>
      <c r="B205" t="inlineStr">
        <is>
          <t>UniFi Protect G4 Pro Camera - 4K Ultra HD Surveillance Excellence</t>
        </is>
      </c>
      <c r="C205" s="8" t="n">
        <v>2899</v>
      </c>
      <c r="D205" s="8" t="n">
        <v>1899.34</v>
      </c>
      <c r="E205" t="n">
        <v>0</v>
      </c>
      <c r="F205" s="8">
        <f>D205*E205</f>
        <v/>
      </c>
    </row>
    <row r="206">
      <c r="A206" t="inlineStr">
        <is>
          <t>NG-SH-001</t>
        </is>
      </c>
      <c r="B206" t="inlineStr">
        <is>
          <t>Aqara Smart Door Lock A100 - Elite Security with Apple HomeKey Support</t>
        </is>
      </c>
      <c r="C206" s="8" t="n">
        <v>1649</v>
      </c>
      <c r="D206" s="8" t="n">
        <v>1005.64</v>
      </c>
      <c r="E206" t="n">
        <v>0</v>
      </c>
      <c r="F206" s="8">
        <f>D206*E206</f>
        <v/>
      </c>
    </row>
    <row r="207">
      <c r="A207" t="inlineStr">
        <is>
          <t>NG-ENT-005</t>
        </is>
      </c>
      <c r="B207" t="inlineStr">
        <is>
          <t>Asustor Flashstor 6 (FS6706T) - All-NVMe SSD NAS for Extreme Performance</t>
        </is>
      </c>
      <c r="C207" s="8" t="n">
        <v>3099</v>
      </c>
      <c r="D207" s="8" t="n">
        <v>2032.65</v>
      </c>
      <c r="E207" t="n">
        <v>0</v>
      </c>
      <c r="F207" s="8">
        <f>D207*E207</f>
        <v/>
      </c>
    </row>
    <row r="208">
      <c r="A208" t="inlineStr">
        <is>
          <t>NG-ENT-004</t>
        </is>
      </c>
      <c r="B208" t="inlineStr">
        <is>
          <t>UniFi 6 Long-Range (U6-LR) - High-Performance WiFi 6 Access Point</t>
        </is>
      </c>
      <c r="C208" s="8" t="n">
        <v>1649</v>
      </c>
      <c r="D208" s="8" t="n">
        <v>1005.64</v>
      </c>
      <c r="E208" t="n">
        <v>0</v>
      </c>
      <c r="F208" s="8">
        <f>D208*E208</f>
        <v/>
      </c>
    </row>
    <row r="209">
      <c r="A209" t="inlineStr">
        <is>
          <t>NG-ENT-003</t>
        </is>
      </c>
      <c r="B209" t="inlineStr">
        <is>
          <t>Ubiquiti UniFi Dream Machine Pro (UDM-Pro) - All-in-One Enterprise Network Conso</t>
        </is>
      </c>
      <c r="C209" s="8" t="n">
        <v>3099</v>
      </c>
      <c r="D209" s="8" t="n">
        <v>2032.65</v>
      </c>
      <c r="E209" t="n">
        <v>0</v>
      </c>
      <c r="F209" s="8">
        <f>D209*E209</f>
        <v/>
      </c>
    </row>
    <row r="210">
      <c r="A210" t="inlineStr">
        <is>
          <t>NG-ENT-002</t>
        </is>
      </c>
      <c r="B210" t="inlineStr">
        <is>
          <t>Asustor Lockerstor 4 (AS6604T) - Professional 4-Bay NAS for Creators</t>
        </is>
      </c>
      <c r="C210" s="8" t="n">
        <v>3099</v>
      </c>
      <c r="D210" s="8" t="n">
        <v>2032.65</v>
      </c>
      <c r="E210" t="n">
        <v>0</v>
      </c>
      <c r="F210" s="8">
        <f>D210*E210</f>
        <v/>
      </c>
    </row>
    <row r="211">
      <c r="A211" t="inlineStr">
        <is>
          <t>NG-ENT-001</t>
        </is>
      </c>
      <c r="B211" t="inlineStr">
        <is>
          <t>Dell PowerEdge R730 Refurbished Server - Enterprise Power, Smart Investment</t>
        </is>
      </c>
      <c r="C211" s="8" t="n">
        <v>8099</v>
      </c>
      <c r="D211" s="8" t="n">
        <v>5925.19</v>
      </c>
      <c r="E211" t="n">
        <v>0</v>
      </c>
      <c r="F211" s="8">
        <f>D211*E211</f>
        <v/>
      </c>
    </row>
    <row r="213">
      <c r="E213" s="21" t="inlineStr">
        <is>
          <t>TOTAL:</t>
        </is>
      </c>
      <c r="F213" s="19">
        <f>SUM(F2:F211)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NeoGen Store — Products, Costs &amp; Profit</t>
        </is>
      </c>
    </row>
    <row r="3">
      <c r="A3" s="23" t="inlineStr">
        <is>
          <t>Sheets in this workbook:</t>
        </is>
      </c>
    </row>
    <row r="4">
      <c r="A4" t="inlineStr"/>
    </row>
    <row r="5">
      <c r="A5" t="inlineStr">
        <is>
          <t>1. Profit Analysis</t>
        </is>
      </c>
    </row>
    <row r="6">
      <c r="A6" t="inlineStr">
        <is>
          <t xml:space="preserve">   — Every product with sale price, estimated buy cost, and profit.</t>
        </is>
      </c>
    </row>
    <row r="7">
      <c r="A7" t="inlineStr">
        <is>
          <t xml:space="preserve">   — Column J (Buy Cost SAR) is editable. Replace with real AliExpress price to get accurate profit.</t>
        </is>
      </c>
    </row>
    <row r="8">
      <c r="A8" t="inlineStr">
        <is>
          <t xml:space="preserve">   — Columns K (Profit) and L (Margin %) recalculate automatically.</t>
        </is>
      </c>
    </row>
    <row r="9">
      <c r="A9" t="inlineStr">
        <is>
          <t xml:space="preserve">   — Colors in Margin % column: red = low margin, yellow = medium, green = healthy.</t>
        </is>
      </c>
    </row>
    <row r="10">
      <c r="A10" t="inlineStr"/>
    </row>
    <row r="11">
      <c r="A11" t="inlineStr">
        <is>
          <t>2. By Category</t>
        </is>
      </c>
    </row>
    <row r="12">
      <c r="A12" t="inlineStr">
        <is>
          <t xml:space="preserve">   — Aggregated: product count, total sale value, estimated cost, estimated profit per category.</t>
        </is>
      </c>
    </row>
    <row r="13">
      <c r="A13" t="inlineStr">
        <is>
          <t xml:space="preserve">   — Tells you where your catalog is concentrated and which categories are most profitable.</t>
        </is>
      </c>
    </row>
    <row r="14">
      <c r="A14" t="inlineStr"/>
    </row>
    <row r="15">
      <c r="A15" t="inlineStr">
        <is>
          <t>3. Buy List Template</t>
        </is>
      </c>
    </row>
    <row r="16">
      <c r="A16" t="inlineStr">
        <is>
          <t xml:space="preserve">   — Clone this sheet to build a purchase order.</t>
        </is>
      </c>
    </row>
    <row r="17">
      <c r="A17" t="inlineStr">
        <is>
          <t xml:space="preserve">   — Fill Column E (Qty to Order) and Column F auto-computes line cost.</t>
        </is>
      </c>
    </row>
    <row r="18">
      <c r="A18" t="inlineStr">
        <is>
          <t xml:space="preserve">   — Bottom row shows total order value in SAR.</t>
        </is>
      </c>
    </row>
    <row r="19">
      <c r="A19" t="inlineStr"/>
    </row>
    <row r="20">
      <c r="A20" t="inlineStr">
        <is>
          <t>Price formula (estimated from tiered markup):</t>
        </is>
      </c>
    </row>
    <row r="21">
      <c r="A21" t="inlineStr">
        <is>
          <t xml:space="preserve">   - Items &lt; $10 AliExpress  →  ~2.5× + 20 SAR flat</t>
        </is>
      </c>
    </row>
    <row r="22">
      <c r="A22" t="inlineStr">
        <is>
          <t xml:space="preserve">   - Items $10-30           →  ~2.0× + 25 SAR flat</t>
        </is>
      </c>
    </row>
    <row r="23">
      <c r="A23" t="inlineStr">
        <is>
          <t xml:space="preserve">   - Items $30-100          →  ~1.8× + 30 SAR flat</t>
        </is>
      </c>
    </row>
    <row r="24">
      <c r="A24" t="inlineStr">
        <is>
          <t xml:space="preserve">   - Items $100-300         →  ~1.6× + 40 SAR flat</t>
        </is>
      </c>
    </row>
    <row r="25">
      <c r="A25" t="inlineStr">
        <is>
          <t xml:space="preserve">   - Items $300-1000        →  ~1.5× + 50 SAR flat</t>
        </is>
      </c>
    </row>
    <row r="26">
      <c r="A26" t="inlineStr">
        <is>
          <t xml:space="preserve">   - Items &gt; $1000          →  ~1.35× + 100 SAR flat</t>
        </is>
      </c>
    </row>
    <row r="27">
      <c r="A27" t="inlineStr"/>
    </row>
    <row r="28">
      <c r="A28" t="inlineStr">
        <is>
          <t>Products in catalog: 210</t>
        </is>
      </c>
    </row>
    <row r="29">
      <c r="A29" t="inlineStr">
        <is>
          <t>Currency: Saudi Riyal (SAR)</t>
        </is>
      </c>
    </row>
    <row r="30">
      <c r="A30" t="inlineStr">
        <is>
          <t>USD → SAR rate used for cost estimate: 3.75</t>
        </is>
      </c>
    </row>
    <row r="31">
      <c r="A31" t="inlineStr"/>
    </row>
    <row r="32">
      <c r="A32" t="inlineStr">
        <is>
          <t>Data source: neogen.store live WooCommerce API, snapshot 2026-04-21</t>
        </is>
      </c>
    </row>
    <row r="33">
      <c r="A33" t="inlineStr">
        <is>
          <t>Business entity: FAHAD SAAD FAHAD ALMANSOUR Office For Electronic Services · CR 7053130576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2026-04-21T05:25:06Z</dcterms:created>
  <dcterms:modified xsi:type="dcterms:W3CDTF">2026-04-21T05:25:06Z</dcterms:modified>
</cp:coreProperties>
</file>