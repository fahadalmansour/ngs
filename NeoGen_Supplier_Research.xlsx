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Supplier Research" sheetId="1" state="visible" r:id="rId1"/>
    <sheet name="2. Category Intel" sheetId="2" state="visible" r:id="rId2"/>
    <sheet name="3. DSers Import" sheetId="3" state="visible" r:id="rId3"/>
    <sheet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SAR"/>
    <numFmt numFmtId="165" formatCode="$#,##0.00"/>
    <numFmt numFmtId="166" formatCode="0.0%"/>
  </numFmts>
  <fonts count="19">
    <font>
      <name val="Calibri"/>
      <family val="2"/>
      <color theme="1"/>
      <sz val="11"/>
      <scheme val="minor"/>
    </font>
    <font>
      <b val="1"/>
      <color rgb="00C89B47"/>
      <sz val="11"/>
    </font>
    <font>
      <color rgb="000066FF"/>
      <sz val="10"/>
      <u val="single"/>
    </font>
    <font>
      <b val="1"/>
      <color rgb="000066FF"/>
      <sz val="12"/>
    </font>
    <font>
      <sz val="10"/>
    </font>
    <font>
      <b val="1"/>
      <sz val="12"/>
    </font>
    <font>
      <b val="1"/>
    </font>
    <font>
      <b val="1"/>
      <color rgb="00FFCC00"/>
    </font>
    <font>
      <b val="1"/>
      <color rgb="00E8734A"/>
      <sz val="12"/>
    </font>
    <font>
      <i val="1"/>
      <color rgb="006B6B74"/>
    </font>
    <font>
      <b val="1"/>
      <color rgb="000066FF"/>
      <sz val="14"/>
    </font>
    <font>
      <b val="1"/>
      <color rgb="003FE88F"/>
    </font>
    <font>
      <b val="1"/>
      <color rgb="00C89B47"/>
      <sz val="12"/>
    </font>
    <font>
      <color rgb="006B6B74"/>
      <sz val="10"/>
    </font>
    <font>
      <b val="1"/>
      <color rgb="000066FF"/>
      <sz val="18"/>
    </font>
    <font>
      <sz val="12"/>
    </font>
    <font>
      <sz val="11"/>
    </font>
    <font>
      <b val="1"/>
      <color rgb="00C89B47"/>
      <sz val="10"/>
    </font>
    <font>
      <b val="1"/>
      <color rgb="000066FF"/>
      <sz val="13"/>
    </font>
  </fonts>
  <fills count="6">
    <fill>
      <patternFill/>
    </fill>
    <fill>
      <patternFill patternType="gray125"/>
    </fill>
    <fill>
      <patternFill patternType="solid">
        <fgColor rgb="000A0A0B"/>
      </patternFill>
    </fill>
    <fill>
      <patternFill patternType="solid">
        <fgColor rgb="00FFF9E6"/>
      </patternFill>
    </fill>
    <fill>
      <patternFill patternType="solid">
        <fgColor rgb="00E8F4F8"/>
      </patternFill>
    </fill>
    <fill>
      <patternFill patternType="solid">
        <fgColor rgb="00F5F5F7"/>
      </patternFill>
    </fill>
  </fills>
  <borders count="2">
    <border>
      <left/>
      <right/>
      <top/>
      <bottom/>
      <diagonal/>
    </border>
    <border>
      <left style="thin">
        <color rgb="002A2519"/>
      </left>
      <right style="thin">
        <color rgb="002A2519"/>
      </right>
      <top style="medium">
        <color rgb="00C89B47"/>
      </top>
      <bottom style="medium">
        <color rgb="00C89B47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2" fillId="5" borderId="0" applyAlignment="1" pivotButton="0" quotePrefix="0" xfId="0">
      <alignment horizontal="center"/>
    </xf>
    <xf numFmtId="165" fontId="0" fillId="3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164" fontId="0" fillId="4" borderId="0" pivotButton="0" quotePrefix="0" xfId="0"/>
    <xf numFmtId="166" fontId="0" fillId="4" borderId="0" pivotButton="0" quotePrefix="0" xfId="0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2" borderId="0" pivotButton="0" quotePrefix="0" xfId="0"/>
    <xf numFmtId="164" fontId="7" fillId="2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3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liexpress.com/w/wholesale-Adobe+Creative+Cloud+1+Year.html" TargetMode="External" Id="rId1" /><Relationship Type="http://schemas.openxmlformats.org/officeDocument/2006/relationships/hyperlink" Target="https://www.amazon.sa/s?k=Adobe+Creative+Cloud+1+Year" TargetMode="External" Id="rId2" /><Relationship Type="http://schemas.openxmlformats.org/officeDocument/2006/relationships/hyperlink" Target="https://www.noon.com/saudi-en/search/?q=Adobe+Creative+Cloud+1+Year" TargetMode="External" Id="rId3" /><Relationship Type="http://schemas.openxmlformats.org/officeDocument/2006/relationships/hyperlink" Target="https://www.jarir.com/sa-en/catalogsearch/result/?q=Adobe+Creative+Cloud+1+Year" TargetMode="External" Id="rId4" /><Relationship Type="http://schemas.openxmlformats.org/officeDocument/2006/relationships/hyperlink" Target="https://www.aliexpress.com/w/wholesale-Kaspersky+Total+Security+1+Year.html" TargetMode="External" Id="rId5" /><Relationship Type="http://schemas.openxmlformats.org/officeDocument/2006/relationships/hyperlink" Target="https://www.amazon.sa/s?k=Kaspersky+Total+Security+1+Year" TargetMode="External" Id="rId6" /><Relationship Type="http://schemas.openxmlformats.org/officeDocument/2006/relationships/hyperlink" Target="https://www.noon.com/saudi-en/search/?q=Kaspersky+Total+Security+1+Year" TargetMode="External" Id="rId7" /><Relationship Type="http://schemas.openxmlformats.org/officeDocument/2006/relationships/hyperlink" Target="https://www.jarir.com/sa-en/catalogsearch/result/?q=Kaspersky+Total+Security+1+Year" TargetMode="External" Id="rId8" /><Relationship Type="http://schemas.openxmlformats.org/officeDocument/2006/relationships/hyperlink" Target="https://www.aliexpress.com/w/wholesale-Apple+Gift+Card+%24100.html" TargetMode="External" Id="rId9" /><Relationship Type="http://schemas.openxmlformats.org/officeDocument/2006/relationships/hyperlink" Target="https://www.amazon.sa/s?k=Apple+Gift+Card+%24100" TargetMode="External" Id="rId10" /><Relationship Type="http://schemas.openxmlformats.org/officeDocument/2006/relationships/hyperlink" Target="https://www.noon.com/saudi-en/search/?q=Apple+Gift+Card+%24100" TargetMode="External" Id="rId11" /><Relationship Type="http://schemas.openxmlformats.org/officeDocument/2006/relationships/hyperlink" Target="https://www.jarir.com/sa-en/catalogsearch/result/?q=Apple+Gift+Card+%24100" TargetMode="External" Id="rId12" /><Relationship Type="http://schemas.openxmlformats.org/officeDocument/2006/relationships/hyperlink" Target="https://www.aliexpress.com/w/wholesale-Google+Play+%2450+Gift+Card.html" TargetMode="External" Id="rId13" /><Relationship Type="http://schemas.openxmlformats.org/officeDocument/2006/relationships/hyperlink" Target="https://www.amazon.sa/s?k=Google+Play+%2450+Gift+Card" TargetMode="External" Id="rId14" /><Relationship Type="http://schemas.openxmlformats.org/officeDocument/2006/relationships/hyperlink" Target="https://www.noon.com/saudi-en/search/?q=Google+Play+%2450+Gift+Card" TargetMode="External" Id="rId15" /><Relationship Type="http://schemas.openxmlformats.org/officeDocument/2006/relationships/hyperlink" Target="https://www.jarir.com/sa-en/catalogsearch/result/?q=Google+Play+%2450+Gift+Card" TargetMode="External" Id="rId16" /><Relationship Type="http://schemas.openxmlformats.org/officeDocument/2006/relationships/hyperlink" Target="https://www.aliexpress.com/w/wholesale-Netflix+Gift+Card+%24100.html" TargetMode="External" Id="rId17" /><Relationship Type="http://schemas.openxmlformats.org/officeDocument/2006/relationships/hyperlink" Target="https://www.amazon.sa/s?k=Netflix+Gift+Card+%24100" TargetMode="External" Id="rId18" /><Relationship Type="http://schemas.openxmlformats.org/officeDocument/2006/relationships/hyperlink" Target="https://www.noon.com/saudi-en/search/?q=Netflix+Gift+Card+%24100" TargetMode="External" Id="rId19" /><Relationship Type="http://schemas.openxmlformats.org/officeDocument/2006/relationships/hyperlink" Target="https://www.jarir.com/sa-en/catalogsearch/result/?q=Netflix+Gift+Card+%24100" TargetMode="External" Id="rId20" /><Relationship Type="http://schemas.openxmlformats.org/officeDocument/2006/relationships/hyperlink" Target="https://www.aliexpress.com/w/wholesale-Xbox+Game+Pass+Ultimate+3+Months.html" TargetMode="External" Id="rId21" /><Relationship Type="http://schemas.openxmlformats.org/officeDocument/2006/relationships/hyperlink" Target="https://www.amazon.sa/s?k=Xbox+Game+Pass+Ultimate+3+Months" TargetMode="External" Id="rId22" /><Relationship Type="http://schemas.openxmlformats.org/officeDocument/2006/relationships/hyperlink" Target="https://www.noon.com/saudi-en/search/?q=Xbox+Game+Pass+Ultimate+3+Months" TargetMode="External" Id="rId23" /><Relationship Type="http://schemas.openxmlformats.org/officeDocument/2006/relationships/hyperlink" Target="https://www.jarir.com/sa-en/catalogsearch/result/?q=Xbox+Game+Pass+Ultimate+3+Months" TargetMode="External" Id="rId24" /><Relationship Type="http://schemas.openxmlformats.org/officeDocument/2006/relationships/hyperlink" Target="https://www.aliexpress.com/w/wholesale-Steam+Wallet+%2450+Gift+Card.html" TargetMode="External" Id="rId25" /><Relationship Type="http://schemas.openxmlformats.org/officeDocument/2006/relationships/hyperlink" Target="https://www.amazon.sa/s?k=Steam+Wallet+%2450+Gift+Card" TargetMode="External" Id="rId26" /><Relationship Type="http://schemas.openxmlformats.org/officeDocument/2006/relationships/hyperlink" Target="https://www.noon.com/saudi-en/search/?q=Steam+Wallet+%2450+Gift+Card" TargetMode="External" Id="rId27" /><Relationship Type="http://schemas.openxmlformats.org/officeDocument/2006/relationships/hyperlink" Target="https://www.jarir.com/sa-en/catalogsearch/result/?q=Steam+Wallet+%2450+Gift+Card" TargetMode="External" Id="rId28" /><Relationship Type="http://schemas.openxmlformats.org/officeDocument/2006/relationships/hyperlink" Target="https://www.aliexpress.com/w/wholesale-PlayStation+Store+%2450+Gift+Card.html" TargetMode="External" Id="rId29" /><Relationship Type="http://schemas.openxmlformats.org/officeDocument/2006/relationships/hyperlink" Target="https://www.amazon.sa/s?k=PlayStation+Store+%2450+Gift+Card" TargetMode="External" Id="rId30" /><Relationship Type="http://schemas.openxmlformats.org/officeDocument/2006/relationships/hyperlink" Target="https://www.noon.com/saudi-en/search/?q=PlayStation+Store+%2450+Gift+Card" TargetMode="External" Id="rId31" /><Relationship Type="http://schemas.openxmlformats.org/officeDocument/2006/relationships/hyperlink" Target="https://www.jarir.com/sa-en/catalogsearch/result/?q=PlayStation+Store+%2450+Gift+Card" TargetMode="External" Id="rId32" /><Relationship Type="http://schemas.openxmlformats.org/officeDocument/2006/relationships/hyperlink" Target="https://www.aliexpress.com/w/wholesale-Microsoft+Office+2024+Pro+Plus.html" TargetMode="External" Id="rId33" /><Relationship Type="http://schemas.openxmlformats.org/officeDocument/2006/relationships/hyperlink" Target="https://www.amazon.sa/s?k=Microsoft+Office+2024+Pro+Plus" TargetMode="External" Id="rId34" /><Relationship Type="http://schemas.openxmlformats.org/officeDocument/2006/relationships/hyperlink" Target="https://www.noon.com/saudi-en/search/?q=Microsoft+Office+2024+Pro+Plus" TargetMode="External" Id="rId35" /><Relationship Type="http://schemas.openxmlformats.org/officeDocument/2006/relationships/hyperlink" Target="https://www.jarir.com/sa-en/catalogsearch/result/?q=Microsoft+Office+2024+Pro+Plus" TargetMode="External" Id="rId36" /><Relationship Type="http://schemas.openxmlformats.org/officeDocument/2006/relationships/hyperlink" Target="https://www.aliexpress.com/w/wholesale-Windows+11+Pro+License+Key.html" TargetMode="External" Id="rId37" /><Relationship Type="http://schemas.openxmlformats.org/officeDocument/2006/relationships/hyperlink" Target="https://www.amazon.sa/s?k=Windows+11+Pro+License+Key" TargetMode="External" Id="rId38" /><Relationship Type="http://schemas.openxmlformats.org/officeDocument/2006/relationships/hyperlink" Target="https://www.noon.com/saudi-en/search/?q=Windows+11+Pro+License+Key" TargetMode="External" Id="rId39" /><Relationship Type="http://schemas.openxmlformats.org/officeDocument/2006/relationships/hyperlink" Target="https://www.jarir.com/sa-en/catalogsearch/result/?q=Windows+11+Pro+License+Key" TargetMode="External" Id="rId40" /><Relationship Type="http://schemas.openxmlformats.org/officeDocument/2006/relationships/hyperlink" Target="https://www.aliexpress.com/w/wholesale-ASUS+ROG+Rapture+GT-BE19000AI.html" TargetMode="External" Id="rId41" /><Relationship Type="http://schemas.openxmlformats.org/officeDocument/2006/relationships/hyperlink" Target="https://www.amazon.sa/s?k=ASUS+ROG+Rapture+GT-BE19000AI" TargetMode="External" Id="rId42" /><Relationship Type="http://schemas.openxmlformats.org/officeDocument/2006/relationships/hyperlink" Target="https://www.noon.com/saudi-en/search/?q=ASUS+ROG+Rapture+GT-BE19000AI" TargetMode="External" Id="rId43" /><Relationship Type="http://schemas.openxmlformats.org/officeDocument/2006/relationships/hyperlink" Target="https://www.jarir.com/sa-en/catalogsearch/result/?q=ASUS+ROG+Rapture+GT-BE19000AI" TargetMode="External" Id="rId44" /><Relationship Type="http://schemas.openxmlformats.org/officeDocument/2006/relationships/hyperlink" Target="https://www.aliexpress.com/w/wholesale-JSAUX+6-in-1+Dock.html" TargetMode="External" Id="rId45" /><Relationship Type="http://schemas.openxmlformats.org/officeDocument/2006/relationships/hyperlink" Target="https://www.amazon.sa/s?k=JSAUX+6-in-1+Dock" TargetMode="External" Id="rId46" /><Relationship Type="http://schemas.openxmlformats.org/officeDocument/2006/relationships/hyperlink" Target="https://www.noon.com/saudi-en/search/?q=JSAUX+6-in-1+Dock" TargetMode="External" Id="rId47" /><Relationship Type="http://schemas.openxmlformats.org/officeDocument/2006/relationships/hyperlink" Target="https://www.jarir.com/sa-en/catalogsearch/result/?q=JSAUX+6-in-1+Dock" TargetMode="External" Id="rId48" /><Relationship Type="http://schemas.openxmlformats.org/officeDocument/2006/relationships/hyperlink" Target="https://www.aliexpress.com/w/wholesale-NZXT+H9+Elite+Mid-Tower+ATX+Case.html" TargetMode="External" Id="rId49" /><Relationship Type="http://schemas.openxmlformats.org/officeDocument/2006/relationships/hyperlink" Target="https://www.amazon.sa/s?k=NZXT+H9+Elite+Mid-Tower+ATX+Case" TargetMode="External" Id="rId50" /><Relationship Type="http://schemas.openxmlformats.org/officeDocument/2006/relationships/hyperlink" Target="https://www.noon.com/saudi-en/search/?q=NZXT+H9+Elite+Mid-Tower+ATX+Case" TargetMode="External" Id="rId51" /><Relationship Type="http://schemas.openxmlformats.org/officeDocument/2006/relationships/hyperlink" Target="https://www.jarir.com/sa-en/catalogsearch/result/?q=NZXT+H9+Elite+Mid-Tower+ATX+Case" TargetMode="External" Id="rId52" /><Relationship Type="http://schemas.openxmlformats.org/officeDocument/2006/relationships/hyperlink" Target="https://www.aliexpress.com/w/wholesale-Corsair+iCUE+H150i+RGB+Elite.html" TargetMode="External" Id="rId53" /><Relationship Type="http://schemas.openxmlformats.org/officeDocument/2006/relationships/hyperlink" Target="https://www.amazon.sa/s?k=Corsair+iCUE+H150i+RGB+Elite" TargetMode="External" Id="rId54" /><Relationship Type="http://schemas.openxmlformats.org/officeDocument/2006/relationships/hyperlink" Target="https://www.noon.com/saudi-en/search/?q=Corsair+iCUE+H150i+RGB+Elite" TargetMode="External" Id="rId55" /><Relationship Type="http://schemas.openxmlformats.org/officeDocument/2006/relationships/hyperlink" Target="https://www.jarir.com/sa-en/catalogsearch/result/?q=Corsair+iCUE+H150i+RGB+Elite" TargetMode="External" Id="rId56" /><Relationship Type="http://schemas.openxmlformats.org/officeDocument/2006/relationships/hyperlink" Target="https://www.aliexpress.com/w/wholesale-Gigabyte+AORUS+RTX+5090+Master+32GB.html" TargetMode="External" Id="rId57" /><Relationship Type="http://schemas.openxmlformats.org/officeDocument/2006/relationships/hyperlink" Target="https://www.amazon.sa/s?k=Gigabyte+AORUS+RTX+5090+Master+32GB" TargetMode="External" Id="rId58" /><Relationship Type="http://schemas.openxmlformats.org/officeDocument/2006/relationships/hyperlink" Target="https://www.noon.com/saudi-en/search/?q=Gigabyte+AORUS+RTX+5090+Master+32GB" TargetMode="External" Id="rId59" /><Relationship Type="http://schemas.openxmlformats.org/officeDocument/2006/relationships/hyperlink" Target="https://www.jarir.com/sa-en/catalogsearch/result/?q=Gigabyte+AORUS+RTX+5090+Master+32GB" TargetMode="External" Id="rId60" /><Relationship Type="http://schemas.openxmlformats.org/officeDocument/2006/relationships/hyperlink" Target="https://www.aliexpress.com/w/wholesale-NVIDIA+RTX+5080+Founders+Edition.html" TargetMode="External" Id="rId61" /><Relationship Type="http://schemas.openxmlformats.org/officeDocument/2006/relationships/hyperlink" Target="https://www.amazon.sa/s?k=NVIDIA+RTX+5080+Founders+Edition" TargetMode="External" Id="rId62" /><Relationship Type="http://schemas.openxmlformats.org/officeDocument/2006/relationships/hyperlink" Target="https://www.noon.com/saudi-en/search/?q=NVIDIA+RTX+5080+Founders+Edition" TargetMode="External" Id="rId63" /><Relationship Type="http://schemas.openxmlformats.org/officeDocument/2006/relationships/hyperlink" Target="https://www.jarir.com/sa-en/catalogsearch/result/?q=NVIDIA+RTX+5080+Founders+Edition" TargetMode="External" Id="rId64" /><Relationship Type="http://schemas.openxmlformats.org/officeDocument/2006/relationships/hyperlink" Target="https://www.aliexpress.com/w/wholesale-NVIDIA+RTX+5090+Founders+Edition.html" TargetMode="External" Id="rId65" /><Relationship Type="http://schemas.openxmlformats.org/officeDocument/2006/relationships/hyperlink" Target="https://www.amazon.sa/s?k=NVIDIA+RTX+5090+Founders+Edition" TargetMode="External" Id="rId66" /><Relationship Type="http://schemas.openxmlformats.org/officeDocument/2006/relationships/hyperlink" Target="https://www.noon.com/saudi-en/search/?q=NVIDIA+RTX+5090+Founders+Edition" TargetMode="External" Id="rId67" /><Relationship Type="http://schemas.openxmlformats.org/officeDocument/2006/relationships/hyperlink" Target="https://www.jarir.com/sa-en/catalogsearch/result/?q=NVIDIA+RTX+5090+Founders+Edition" TargetMode="External" Id="rId68" /><Relationship Type="http://schemas.openxmlformats.org/officeDocument/2006/relationships/hyperlink" Target="https://www.aliexpress.com/w/wholesale-HyperX+QuadCast+S+USB+Microphone.html" TargetMode="External" Id="rId69" /><Relationship Type="http://schemas.openxmlformats.org/officeDocument/2006/relationships/hyperlink" Target="https://www.amazon.sa/s?k=HyperX+QuadCast+S+USB+Microphone" TargetMode="External" Id="rId70" /><Relationship Type="http://schemas.openxmlformats.org/officeDocument/2006/relationships/hyperlink" Target="https://www.noon.com/saudi-en/search/?q=HyperX+QuadCast+S+USB+Microphone" TargetMode="External" Id="rId71" /><Relationship Type="http://schemas.openxmlformats.org/officeDocument/2006/relationships/hyperlink" Target="https://www.jarir.com/sa-en/catalogsearch/result/?q=HyperX+QuadCast+S+USB+Microphone" TargetMode="External" Id="rId72" /><Relationship Type="http://schemas.openxmlformats.org/officeDocument/2006/relationships/hyperlink" Target="https://www.aliexpress.com/w/wholesale-Elgato+Stream+Deck+MK.2.html" TargetMode="External" Id="rId73" /><Relationship Type="http://schemas.openxmlformats.org/officeDocument/2006/relationships/hyperlink" Target="https://www.amazon.sa/s?k=Elgato+Stream+Deck+MK.2" TargetMode="External" Id="rId74" /><Relationship Type="http://schemas.openxmlformats.org/officeDocument/2006/relationships/hyperlink" Target="https://www.noon.com/saudi-en/search/?q=Elgato+Stream+Deck+MK.2" TargetMode="External" Id="rId75" /><Relationship Type="http://schemas.openxmlformats.org/officeDocument/2006/relationships/hyperlink" Target="https://www.jarir.com/sa-en/catalogsearch/result/?q=Elgato+Stream+Deck+MK.2" TargetMode="External" Id="rId76" /><Relationship Type="http://schemas.openxmlformats.org/officeDocument/2006/relationships/hyperlink" Target="https://www.aliexpress.com/w/wholesale-AVerMedia+Live+Gamer+Ultra+S.html" TargetMode="External" Id="rId77" /><Relationship Type="http://schemas.openxmlformats.org/officeDocument/2006/relationships/hyperlink" Target="https://www.amazon.sa/s?k=AVerMedia+Live+Gamer+Ultra+S" TargetMode="External" Id="rId78" /><Relationship Type="http://schemas.openxmlformats.org/officeDocument/2006/relationships/hyperlink" Target="https://www.noon.com/saudi-en/search/?q=AVerMedia+Live+Gamer+Ultra+S" TargetMode="External" Id="rId79" /><Relationship Type="http://schemas.openxmlformats.org/officeDocument/2006/relationships/hyperlink" Target="https://www.jarir.com/sa-en/catalogsearch/result/?q=AVerMedia+Live+Gamer+Ultra+S" TargetMode="External" Id="rId80" /><Relationship Type="http://schemas.openxmlformats.org/officeDocument/2006/relationships/hyperlink" Target="https://www.aliexpress.com/w/wholesale-Elgato+HD60+X+Capture+Card.html" TargetMode="External" Id="rId81" /><Relationship Type="http://schemas.openxmlformats.org/officeDocument/2006/relationships/hyperlink" Target="https://www.amazon.sa/s?k=Elgato+HD60+X+Capture+Card" TargetMode="External" Id="rId82" /><Relationship Type="http://schemas.openxmlformats.org/officeDocument/2006/relationships/hyperlink" Target="https://www.noon.com/saudi-en/search/?q=Elgato+HD60+X+Capture+Card" TargetMode="External" Id="rId83" /><Relationship Type="http://schemas.openxmlformats.org/officeDocument/2006/relationships/hyperlink" Target="https://www.jarir.com/sa-en/catalogsearch/result/?q=Elgato+HD60+X+Capture+Card" TargetMode="External" Id="rId84" /><Relationship Type="http://schemas.openxmlformats.org/officeDocument/2006/relationships/hyperlink" Target="https://www.aliexpress.com/w/wholesale-Sony+DualSense+Edge+Controller.html" TargetMode="External" Id="rId85" /><Relationship Type="http://schemas.openxmlformats.org/officeDocument/2006/relationships/hyperlink" Target="https://www.amazon.sa/s?k=Sony+DualSense+Edge+Controller" TargetMode="External" Id="rId86" /><Relationship Type="http://schemas.openxmlformats.org/officeDocument/2006/relationships/hyperlink" Target="https://www.noon.com/saudi-en/search/?q=Sony+DualSense+Edge+Controller" TargetMode="External" Id="rId87" /><Relationship Type="http://schemas.openxmlformats.org/officeDocument/2006/relationships/hyperlink" Target="https://www.jarir.com/sa-en/catalogsearch/result/?q=Sony+DualSense+Edge+Controller" TargetMode="External" Id="rId88" /><Relationship Type="http://schemas.openxmlformats.org/officeDocument/2006/relationships/hyperlink" Target="https://www.aliexpress.com/w/wholesale-Xbox+Elite+Controller+Series+2+Core.html" TargetMode="External" Id="rId89" /><Relationship Type="http://schemas.openxmlformats.org/officeDocument/2006/relationships/hyperlink" Target="https://www.amazon.sa/s?k=Xbox+Elite+Controller+Series+2+Core" TargetMode="External" Id="rId90" /><Relationship Type="http://schemas.openxmlformats.org/officeDocument/2006/relationships/hyperlink" Target="https://www.noon.com/saudi-en/search/?q=Xbox+Elite+Controller+Series+2+Core" TargetMode="External" Id="rId91" /><Relationship Type="http://schemas.openxmlformats.org/officeDocument/2006/relationships/hyperlink" Target="https://www.jarir.com/sa-en/catalogsearch/result/?q=Xbox+Elite+Controller+Series+2+Core" TargetMode="External" Id="rId92" /><Relationship Type="http://schemas.openxmlformats.org/officeDocument/2006/relationships/hyperlink" Target="https://www.aliexpress.com/w/wholesale-Govee+DreamView+G1+Pro+Gaming+Light.html" TargetMode="External" Id="rId93" /><Relationship Type="http://schemas.openxmlformats.org/officeDocument/2006/relationships/hyperlink" Target="https://www.amazon.sa/s?k=Govee+DreamView+G1+Pro+Gaming+Light" TargetMode="External" Id="rId94" /><Relationship Type="http://schemas.openxmlformats.org/officeDocument/2006/relationships/hyperlink" Target="https://www.noon.com/saudi-en/search/?q=Govee+DreamView+G1+Pro+Gaming+Light" TargetMode="External" Id="rId95" /><Relationship Type="http://schemas.openxmlformats.org/officeDocument/2006/relationships/hyperlink" Target="https://www.jarir.com/sa-en/catalogsearch/result/?q=Govee+DreamView+G1+Pro+Gaming+Light" TargetMode="External" Id="rId96" /><Relationship Type="http://schemas.openxmlformats.org/officeDocument/2006/relationships/hyperlink" Target="https://www.aliexpress.com/w/wholesale-Corsair+iCUE+LC100+Lighting+Panels.html" TargetMode="External" Id="rId97" /><Relationship Type="http://schemas.openxmlformats.org/officeDocument/2006/relationships/hyperlink" Target="https://www.amazon.sa/s?k=Corsair+iCUE+LC100+Lighting+Panels" TargetMode="External" Id="rId98" /><Relationship Type="http://schemas.openxmlformats.org/officeDocument/2006/relationships/hyperlink" Target="https://www.noon.com/saudi-en/search/?q=Corsair+iCUE+LC100+Lighting+Panels" TargetMode="External" Id="rId99" /><Relationship Type="http://schemas.openxmlformats.org/officeDocument/2006/relationships/hyperlink" Target="https://www.jarir.com/sa-en/catalogsearch/result/?q=Corsair+iCUE+LC100+Lighting+Panels" TargetMode="External" Id="rId100" /><Relationship Type="http://schemas.openxmlformats.org/officeDocument/2006/relationships/hyperlink" Target="https://www.aliexpress.com/w/wholesale-Razer+Iskur+V2+NewGen.html" TargetMode="External" Id="rId101" /><Relationship Type="http://schemas.openxmlformats.org/officeDocument/2006/relationships/hyperlink" Target="https://www.amazon.sa/s?k=Razer+Iskur+V2+NewGen" TargetMode="External" Id="rId102" /><Relationship Type="http://schemas.openxmlformats.org/officeDocument/2006/relationships/hyperlink" Target="https://www.noon.com/saudi-en/search/?q=Razer+Iskur+V2+NewGen" TargetMode="External" Id="rId103" /><Relationship Type="http://schemas.openxmlformats.org/officeDocument/2006/relationships/hyperlink" Target="https://www.jarir.com/sa-en/catalogsearch/result/?q=Razer+Iskur+V2+NewGen" TargetMode="External" Id="rId104" /><Relationship Type="http://schemas.openxmlformats.org/officeDocument/2006/relationships/hyperlink" Target="https://www.aliexpress.com/w/wholesale-Secretlab+Titan+Evo.html" TargetMode="External" Id="rId105" /><Relationship Type="http://schemas.openxmlformats.org/officeDocument/2006/relationships/hyperlink" Target="https://www.amazon.sa/s?k=Secretlab+Titan+Evo" TargetMode="External" Id="rId106" /><Relationship Type="http://schemas.openxmlformats.org/officeDocument/2006/relationships/hyperlink" Target="https://www.noon.com/saudi-en/search/?q=Secretlab+Titan+Evo" TargetMode="External" Id="rId107" /><Relationship Type="http://schemas.openxmlformats.org/officeDocument/2006/relationships/hyperlink" Target="https://www.jarir.com/sa-en/catalogsearch/result/?q=Secretlab+Titan+Evo" TargetMode="External" Id="rId108" /><Relationship Type="http://schemas.openxmlformats.org/officeDocument/2006/relationships/hyperlink" Target="https://www.aliexpress.com/w/wholesale-Razer+BlackShark+V2+Pro+2023.html" TargetMode="External" Id="rId109" /><Relationship Type="http://schemas.openxmlformats.org/officeDocument/2006/relationships/hyperlink" Target="https://www.amazon.sa/s?k=Razer+BlackShark+V2+Pro+2023" TargetMode="External" Id="rId110" /><Relationship Type="http://schemas.openxmlformats.org/officeDocument/2006/relationships/hyperlink" Target="https://www.noon.com/saudi-en/search/?q=Razer+BlackShark+V2+Pro+2023" TargetMode="External" Id="rId111" /><Relationship Type="http://schemas.openxmlformats.org/officeDocument/2006/relationships/hyperlink" Target="https://www.jarir.com/sa-en/catalogsearch/result/?q=Razer+BlackShark+V2+Pro+2023" TargetMode="External" Id="rId112" /><Relationship Type="http://schemas.openxmlformats.org/officeDocument/2006/relationships/hyperlink" Target="https://www.aliexpress.com/w/wholesale-SteelSeries+Arctis+Nova+7+Wireless.html" TargetMode="External" Id="rId113" /><Relationship Type="http://schemas.openxmlformats.org/officeDocument/2006/relationships/hyperlink" Target="https://www.amazon.sa/s?k=SteelSeries+Arctis+Nova+7+Wireless" TargetMode="External" Id="rId114" /><Relationship Type="http://schemas.openxmlformats.org/officeDocument/2006/relationships/hyperlink" Target="https://www.noon.com/saudi-en/search/?q=SteelSeries+Arctis+Nova+7+Wireless" TargetMode="External" Id="rId115" /><Relationship Type="http://schemas.openxmlformats.org/officeDocument/2006/relationships/hyperlink" Target="https://www.jarir.com/sa-en/catalogsearch/result/?q=SteelSeries+Arctis+Nova+7+Wireless" TargetMode="External" Id="rId116" /><Relationship Type="http://schemas.openxmlformats.org/officeDocument/2006/relationships/hyperlink" Target="https://www.aliexpress.com/w/wholesale-HyperX+Cloud+Alpha+Wireless.html" TargetMode="External" Id="rId117" /><Relationship Type="http://schemas.openxmlformats.org/officeDocument/2006/relationships/hyperlink" Target="https://www.amazon.sa/s?k=HyperX+Cloud+Alpha+Wireless" TargetMode="External" Id="rId118" /><Relationship Type="http://schemas.openxmlformats.org/officeDocument/2006/relationships/hyperlink" Target="https://www.noon.com/saudi-en/search/?q=HyperX+Cloud+Alpha+Wireless" TargetMode="External" Id="rId119" /><Relationship Type="http://schemas.openxmlformats.org/officeDocument/2006/relationships/hyperlink" Target="https://www.jarir.com/sa-en/catalogsearch/result/?q=HyperX+Cloud+Alpha+Wireless" TargetMode="External" Id="rId120" /><Relationship Type="http://schemas.openxmlformats.org/officeDocument/2006/relationships/hyperlink" Target="https://www.aliexpress.com/w/wholesale-Razer+Viper+V3+Pro.html" TargetMode="External" Id="rId121" /><Relationship Type="http://schemas.openxmlformats.org/officeDocument/2006/relationships/hyperlink" Target="https://www.amazon.sa/s?k=Razer+Viper+V3+Pro" TargetMode="External" Id="rId122" /><Relationship Type="http://schemas.openxmlformats.org/officeDocument/2006/relationships/hyperlink" Target="https://www.noon.com/saudi-en/search/?q=Razer+Viper+V3+Pro" TargetMode="External" Id="rId123" /><Relationship Type="http://schemas.openxmlformats.org/officeDocument/2006/relationships/hyperlink" Target="https://www.jarir.com/sa-en/catalogsearch/result/?q=Razer+Viper+V3+Pro" TargetMode="External" Id="rId124" /><Relationship Type="http://schemas.openxmlformats.org/officeDocument/2006/relationships/hyperlink" Target="https://www.aliexpress.com/w/wholesale-Logitech+G+Pro+X+Superlight+2+DEX.html" TargetMode="External" Id="rId125" /><Relationship Type="http://schemas.openxmlformats.org/officeDocument/2006/relationships/hyperlink" Target="https://www.amazon.sa/s?k=Logitech+G+Pro+X+Superlight+2+DEX" TargetMode="External" Id="rId126" /><Relationship Type="http://schemas.openxmlformats.org/officeDocument/2006/relationships/hyperlink" Target="https://www.noon.com/saudi-en/search/?q=Logitech+G+Pro+X+Superlight+2+DEX" TargetMode="External" Id="rId127" /><Relationship Type="http://schemas.openxmlformats.org/officeDocument/2006/relationships/hyperlink" Target="https://www.jarir.com/sa-en/catalogsearch/result/?q=Logitech+G+Pro+X+Superlight+2+DEX" TargetMode="External" Id="rId128" /><Relationship Type="http://schemas.openxmlformats.org/officeDocument/2006/relationships/hyperlink" Target="https://www.aliexpress.com/w/wholesale-Razer+DeathAdder+V4+Pro.html" TargetMode="External" Id="rId129" /><Relationship Type="http://schemas.openxmlformats.org/officeDocument/2006/relationships/hyperlink" Target="https://www.amazon.sa/s?k=Razer+DeathAdder+V4+Pro" TargetMode="External" Id="rId130" /><Relationship Type="http://schemas.openxmlformats.org/officeDocument/2006/relationships/hyperlink" Target="https://www.noon.com/saudi-en/search/?q=Razer+DeathAdder+V4+Pro" TargetMode="External" Id="rId131" /><Relationship Type="http://schemas.openxmlformats.org/officeDocument/2006/relationships/hyperlink" Target="https://www.jarir.com/sa-en/catalogsearch/result/?q=Razer+DeathAdder+V4+Pro" TargetMode="External" Id="rId132" /><Relationship Type="http://schemas.openxmlformats.org/officeDocument/2006/relationships/hyperlink" Target="https://www.aliexpress.com/w/wholesale-Keychron+K10+HE.html" TargetMode="External" Id="rId133" /><Relationship Type="http://schemas.openxmlformats.org/officeDocument/2006/relationships/hyperlink" Target="https://www.amazon.sa/s?k=Keychron+K10+HE" TargetMode="External" Id="rId134" /><Relationship Type="http://schemas.openxmlformats.org/officeDocument/2006/relationships/hyperlink" Target="https://www.noon.com/saudi-en/search/?q=Keychron+K10+HE" TargetMode="External" Id="rId135" /><Relationship Type="http://schemas.openxmlformats.org/officeDocument/2006/relationships/hyperlink" Target="https://www.jarir.com/sa-en/catalogsearch/result/?q=Keychron+K10+HE" TargetMode="External" Id="rId136" /><Relationship Type="http://schemas.openxmlformats.org/officeDocument/2006/relationships/hyperlink" Target="https://www.aliexpress.com/w/wholesale-Logitech+G+Pro+X+TKL+LIGHTSPEED.html" TargetMode="External" Id="rId137" /><Relationship Type="http://schemas.openxmlformats.org/officeDocument/2006/relationships/hyperlink" Target="https://www.amazon.sa/s?k=Logitech+G+Pro+X+TKL+LIGHTSPEED" TargetMode="External" Id="rId138" /><Relationship Type="http://schemas.openxmlformats.org/officeDocument/2006/relationships/hyperlink" Target="https://www.noon.com/saudi-en/search/?q=Logitech+G+Pro+X+TKL+LIGHTSPEED" TargetMode="External" Id="rId139" /><Relationship Type="http://schemas.openxmlformats.org/officeDocument/2006/relationships/hyperlink" Target="https://www.jarir.com/sa-en/catalogsearch/result/?q=Logitech+G+Pro+X+TKL+LIGHTSPEED" TargetMode="External" Id="rId140" /><Relationship Type="http://schemas.openxmlformats.org/officeDocument/2006/relationships/hyperlink" Target="https://www.aliexpress.com/w/wholesale-Corsair+K70+MAX+RGB.html" TargetMode="External" Id="rId141" /><Relationship Type="http://schemas.openxmlformats.org/officeDocument/2006/relationships/hyperlink" Target="https://www.amazon.sa/s?k=Corsair+K70+MAX+RGB" TargetMode="External" Id="rId142" /><Relationship Type="http://schemas.openxmlformats.org/officeDocument/2006/relationships/hyperlink" Target="https://www.noon.com/saudi-en/search/?q=Corsair+K70+MAX+RGB" TargetMode="External" Id="rId143" /><Relationship Type="http://schemas.openxmlformats.org/officeDocument/2006/relationships/hyperlink" Target="https://www.jarir.com/sa-en/catalogsearch/result/?q=Corsair+K70+MAX+RGB" TargetMode="External" Id="rId144" /><Relationship Type="http://schemas.openxmlformats.org/officeDocument/2006/relationships/hyperlink" Target="https://www.aliexpress.com/w/wholesale-Razer+Huntsman+V3+Pro+TKL.html" TargetMode="External" Id="rId145" /><Relationship Type="http://schemas.openxmlformats.org/officeDocument/2006/relationships/hyperlink" Target="https://www.amazon.sa/s?k=Razer+Huntsman+V3+Pro+TKL" TargetMode="External" Id="rId146" /><Relationship Type="http://schemas.openxmlformats.org/officeDocument/2006/relationships/hyperlink" Target="https://www.noon.com/saudi-en/search/?q=Razer+Huntsman+V3+Pro+TKL" TargetMode="External" Id="rId147" /><Relationship Type="http://schemas.openxmlformats.org/officeDocument/2006/relationships/hyperlink" Target="https://www.jarir.com/sa-en/catalogsearch/result/?q=Razer+Huntsman+V3+Pro+TKL" TargetMode="External" Id="rId148" /><Relationship Type="http://schemas.openxmlformats.org/officeDocument/2006/relationships/hyperlink" Target="https://www.aliexpress.com/w/wholesale-Dell+Alienware+AW2725DF.html" TargetMode="External" Id="rId149" /><Relationship Type="http://schemas.openxmlformats.org/officeDocument/2006/relationships/hyperlink" Target="https://www.amazon.sa/s?k=Dell+Alienware+AW2725DF" TargetMode="External" Id="rId150" /><Relationship Type="http://schemas.openxmlformats.org/officeDocument/2006/relationships/hyperlink" Target="https://www.noon.com/saudi-en/search/?q=Dell+Alienware+AW2725DF" TargetMode="External" Id="rId151" /><Relationship Type="http://schemas.openxmlformats.org/officeDocument/2006/relationships/hyperlink" Target="https://www.jarir.com/sa-en/catalogsearch/result/?q=Dell+Alienware+AW2725DF" TargetMode="External" Id="rId152" /><Relationship Type="http://schemas.openxmlformats.org/officeDocument/2006/relationships/hyperlink" Target="https://www.aliexpress.com/w/wholesale-LG+UltraGear+OLED+27GR95QE-B.html" TargetMode="External" Id="rId153" /><Relationship Type="http://schemas.openxmlformats.org/officeDocument/2006/relationships/hyperlink" Target="https://www.amazon.sa/s?k=LG+UltraGear+OLED+27GR95QE-B" TargetMode="External" Id="rId154" /><Relationship Type="http://schemas.openxmlformats.org/officeDocument/2006/relationships/hyperlink" Target="https://www.noon.com/saudi-en/search/?q=LG+UltraGear+OLED+27GR95QE-B" TargetMode="External" Id="rId155" /><Relationship Type="http://schemas.openxmlformats.org/officeDocument/2006/relationships/hyperlink" Target="https://www.jarir.com/sa-en/catalogsearch/result/?q=LG+UltraGear+OLED+27GR95QE-B" TargetMode="External" Id="rId156" /><Relationship Type="http://schemas.openxmlformats.org/officeDocument/2006/relationships/hyperlink" Target="https://www.aliexpress.com/w/wholesale-Samsung+Odyssey+G7+G70D.html" TargetMode="External" Id="rId157" /><Relationship Type="http://schemas.openxmlformats.org/officeDocument/2006/relationships/hyperlink" Target="https://www.amazon.sa/s?k=Samsung+Odyssey+G7+G70D" TargetMode="External" Id="rId158" /><Relationship Type="http://schemas.openxmlformats.org/officeDocument/2006/relationships/hyperlink" Target="https://www.noon.com/saudi-en/search/?q=Samsung+Odyssey+G7+G70D" TargetMode="External" Id="rId159" /><Relationship Type="http://schemas.openxmlformats.org/officeDocument/2006/relationships/hyperlink" Target="https://www.jarir.com/sa-en/catalogsearch/result/?q=Samsung+Odyssey+G7+G70D" TargetMode="External" Id="rId160" /><Relationship Type="http://schemas.openxmlformats.org/officeDocument/2006/relationships/hyperlink" Target="https://www.aliexpress.com/w/wholesale-Samsung+Odyssey+OLED+G8.html" TargetMode="External" Id="rId161" /><Relationship Type="http://schemas.openxmlformats.org/officeDocument/2006/relationships/hyperlink" Target="https://www.amazon.sa/s?k=Samsung+Odyssey+OLED+G8" TargetMode="External" Id="rId162" /><Relationship Type="http://schemas.openxmlformats.org/officeDocument/2006/relationships/hyperlink" Target="https://www.noon.com/saudi-en/search/?q=Samsung+Odyssey+OLED+G8" TargetMode="External" Id="rId163" /><Relationship Type="http://schemas.openxmlformats.org/officeDocument/2006/relationships/hyperlink" Target="https://www.jarir.com/sa-en/catalogsearch/result/?q=Samsung+Odyssey+OLED+G8" TargetMode="External" Id="rId164" /><Relationship Type="http://schemas.openxmlformats.org/officeDocument/2006/relationships/hyperlink" Target="https://www.aliexpress.com/w/wholesale-ASUS+ROG+Swift+OLED+PG27AQDM.html" TargetMode="External" Id="rId165" /><Relationship Type="http://schemas.openxmlformats.org/officeDocument/2006/relationships/hyperlink" Target="https://www.amazon.sa/s?k=ASUS+ROG+Swift+OLED+PG27AQDM" TargetMode="External" Id="rId166" /><Relationship Type="http://schemas.openxmlformats.org/officeDocument/2006/relationships/hyperlink" Target="https://www.noon.com/saudi-en/search/?q=ASUS+ROG+Swift+OLED+PG27AQDM" TargetMode="External" Id="rId167" /><Relationship Type="http://schemas.openxmlformats.org/officeDocument/2006/relationships/hyperlink" Target="https://www.jarir.com/sa-en/catalogsearch/result/?q=ASUS+ROG+Swift+OLED+PG27AQDM" TargetMode="External" Id="rId168" /><Relationship Type="http://schemas.openxmlformats.org/officeDocument/2006/relationships/hyperlink" Target="https://www.aliexpress.com/w/wholesale-Dell+OptiPlex+7070+Micro.html" TargetMode="External" Id="rId169" /><Relationship Type="http://schemas.openxmlformats.org/officeDocument/2006/relationships/hyperlink" Target="https://www.amazon.sa/s?k=Dell+OptiPlex+7070+Micro" TargetMode="External" Id="rId170" /><Relationship Type="http://schemas.openxmlformats.org/officeDocument/2006/relationships/hyperlink" Target="https://www.noon.com/saudi-en/search/?q=Dell+OptiPlex+7070+Micro" TargetMode="External" Id="rId171" /><Relationship Type="http://schemas.openxmlformats.org/officeDocument/2006/relationships/hyperlink" Target="https://www.jarir.com/sa-en/catalogsearch/result/?q=Dell+OptiPlex+7070+Micro" TargetMode="External" Id="rId172" /><Relationship Type="http://schemas.openxmlformats.org/officeDocument/2006/relationships/hyperlink" Target="https://www.aliexpress.com/w/wholesale-Beelink+EQ12.html" TargetMode="External" Id="rId173" /><Relationship Type="http://schemas.openxmlformats.org/officeDocument/2006/relationships/hyperlink" Target="https://www.amazon.sa/s?k=Beelink+EQ12" TargetMode="External" Id="rId174" /><Relationship Type="http://schemas.openxmlformats.org/officeDocument/2006/relationships/hyperlink" Target="https://www.noon.com/saudi-en/search/?q=Beelink+EQ12" TargetMode="External" Id="rId175" /><Relationship Type="http://schemas.openxmlformats.org/officeDocument/2006/relationships/hyperlink" Target="https://www.jarir.com/sa-en/catalogsearch/result/?q=Beelink+EQ12" TargetMode="External" Id="rId176" /><Relationship Type="http://schemas.openxmlformats.org/officeDocument/2006/relationships/hyperlink" Target="https://www.aliexpress.com/w/wholesale-Beelink+SER7.html" TargetMode="External" Id="rId177" /><Relationship Type="http://schemas.openxmlformats.org/officeDocument/2006/relationships/hyperlink" Target="https://www.amazon.sa/s?k=Beelink+SER7" TargetMode="External" Id="rId178" /><Relationship Type="http://schemas.openxmlformats.org/officeDocument/2006/relationships/hyperlink" Target="https://www.noon.com/saudi-en/search/?q=Beelink+SER7" TargetMode="External" Id="rId179" /><Relationship Type="http://schemas.openxmlformats.org/officeDocument/2006/relationships/hyperlink" Target="https://www.jarir.com/sa-en/catalogsearch/result/?q=Beelink+SER7" TargetMode="External" Id="rId180" /><Relationship Type="http://schemas.openxmlformats.org/officeDocument/2006/relationships/hyperlink" Target="https://www.aliexpress.com/w/wholesale-MinisForum+MS-01.html" TargetMode="External" Id="rId181" /><Relationship Type="http://schemas.openxmlformats.org/officeDocument/2006/relationships/hyperlink" Target="https://www.amazon.sa/s?k=MinisForum+MS-01" TargetMode="External" Id="rId182" /><Relationship Type="http://schemas.openxmlformats.org/officeDocument/2006/relationships/hyperlink" Target="https://www.noon.com/saudi-en/search/?q=MinisForum+MS-01" TargetMode="External" Id="rId183" /><Relationship Type="http://schemas.openxmlformats.org/officeDocument/2006/relationships/hyperlink" Target="https://www.jarir.com/sa-en/catalogsearch/result/?q=MinisForum+MS-01" TargetMode="External" Id="rId184" /><Relationship Type="http://schemas.openxmlformats.org/officeDocument/2006/relationships/hyperlink" Target="https://www.aliexpress.com/w/wholesale-TP-Link+TL-SG1005P+5-Port+PoE.html" TargetMode="External" Id="rId185" /><Relationship Type="http://schemas.openxmlformats.org/officeDocument/2006/relationships/hyperlink" Target="https://www.amazon.sa/s?k=TP-Link+TL-SG1005P+5-Port+PoE" TargetMode="External" Id="rId186" /><Relationship Type="http://schemas.openxmlformats.org/officeDocument/2006/relationships/hyperlink" Target="https://www.noon.com/saudi-en/search/?q=TP-Link+TL-SG1005P+5-Port+PoE" TargetMode="External" Id="rId187" /><Relationship Type="http://schemas.openxmlformats.org/officeDocument/2006/relationships/hyperlink" Target="https://www.jarir.com/sa-en/catalogsearch/result/?q=TP-Link+TL-SG1005P+5-Port+PoE" TargetMode="External" Id="rId188" /><Relationship Type="http://schemas.openxmlformats.org/officeDocument/2006/relationships/hyperlink" Target="https://www.aliexpress.com/w/wholesale-Ubiquiti+USW-Lite-8-PoE.html" TargetMode="External" Id="rId189" /><Relationship Type="http://schemas.openxmlformats.org/officeDocument/2006/relationships/hyperlink" Target="https://www.amazon.sa/s?k=Ubiquiti+USW-Lite-8-PoE" TargetMode="External" Id="rId190" /><Relationship Type="http://schemas.openxmlformats.org/officeDocument/2006/relationships/hyperlink" Target="https://www.noon.com/saudi-en/search/?q=Ubiquiti+USW-Lite-8-PoE" TargetMode="External" Id="rId191" /><Relationship Type="http://schemas.openxmlformats.org/officeDocument/2006/relationships/hyperlink" Target="https://www.jarir.com/sa-en/catalogsearch/result/?q=Ubiquiti+USW-Lite-8-PoE" TargetMode="External" Id="rId192" /><Relationship Type="http://schemas.openxmlformats.org/officeDocument/2006/relationships/hyperlink" Target="https://www.aliexpress.com/w/wholesale-ATEN+CS1924M+4-Port+DP+KVM.html" TargetMode="External" Id="rId193" /><Relationship Type="http://schemas.openxmlformats.org/officeDocument/2006/relationships/hyperlink" Target="https://www.amazon.sa/s?k=ATEN+CS1924M+4-Port+DP+KVM" TargetMode="External" Id="rId194" /><Relationship Type="http://schemas.openxmlformats.org/officeDocument/2006/relationships/hyperlink" Target="https://www.noon.com/saudi-en/search/?q=ATEN+CS1924M+4-Port+DP+KVM" TargetMode="External" Id="rId195" /><Relationship Type="http://schemas.openxmlformats.org/officeDocument/2006/relationships/hyperlink" Target="https://www.jarir.com/sa-en/catalogsearch/result/?q=ATEN+CS1924M+4-Port+DP+KVM" TargetMode="External" Id="rId196" /><Relationship Type="http://schemas.openxmlformats.org/officeDocument/2006/relationships/hyperlink" Target="https://www.aliexpress.com/w/wholesale-TESmart+HKS0401A1U+4-Port+HDMI+KVM.html" TargetMode="External" Id="rId197" /><Relationship Type="http://schemas.openxmlformats.org/officeDocument/2006/relationships/hyperlink" Target="https://www.amazon.sa/s?k=TESmart+HKS0401A1U+4-Port+HDMI+KVM" TargetMode="External" Id="rId198" /><Relationship Type="http://schemas.openxmlformats.org/officeDocument/2006/relationships/hyperlink" Target="https://www.noon.com/saudi-en/search/?q=TESmart+HKS0401A1U+4-Port+HDMI+KVM" TargetMode="External" Id="rId199" /><Relationship Type="http://schemas.openxmlformats.org/officeDocument/2006/relationships/hyperlink" Target="https://www.jarir.com/sa-en/catalogsearch/result/?q=TESmart+HKS0401A1U+4-Port+HDMI+KVM" TargetMode="External" Id="rId200" /><Relationship Type="http://schemas.openxmlformats.org/officeDocument/2006/relationships/hyperlink" Target="https://www.aliexpress.com/w/wholesale-Fortinet+FortiGate+60F.html" TargetMode="External" Id="rId201" /><Relationship Type="http://schemas.openxmlformats.org/officeDocument/2006/relationships/hyperlink" Target="https://www.amazon.sa/s?k=Fortinet+FortiGate+60F" TargetMode="External" Id="rId202" /><Relationship Type="http://schemas.openxmlformats.org/officeDocument/2006/relationships/hyperlink" Target="https://www.noon.com/saudi-en/search/?q=Fortinet+FortiGate+60F" TargetMode="External" Id="rId203" /><Relationship Type="http://schemas.openxmlformats.org/officeDocument/2006/relationships/hyperlink" Target="https://www.jarir.com/sa-en/catalogsearch/result/?q=Fortinet+FortiGate+60F" TargetMode="External" Id="rId204" /><Relationship Type="http://schemas.openxmlformats.org/officeDocument/2006/relationships/hyperlink" Target="https://www.aliexpress.com/w/wholesale-Netgate+2100+MAX+pfSense%2B+Gateway.html" TargetMode="External" Id="rId205" /><Relationship Type="http://schemas.openxmlformats.org/officeDocument/2006/relationships/hyperlink" Target="https://www.amazon.sa/s?k=Netgate+2100+MAX+pfSense%2B+Gateway" TargetMode="External" Id="rId206" /><Relationship Type="http://schemas.openxmlformats.org/officeDocument/2006/relationships/hyperlink" Target="https://www.noon.com/saudi-en/search/?q=Netgate+2100+MAX+pfSense%2B+Gateway" TargetMode="External" Id="rId207" /><Relationship Type="http://schemas.openxmlformats.org/officeDocument/2006/relationships/hyperlink" Target="https://www.jarir.com/sa-en/catalogsearch/result/?q=Netgate+2100+MAX+pfSense%2B+Gateway" TargetMode="External" Id="rId208" /><Relationship Type="http://schemas.openxmlformats.org/officeDocument/2006/relationships/hyperlink" Target="https://www.aliexpress.com/w/wholesale-Netgate+4200+MAX+pfSense%2B+Gateway.html" TargetMode="External" Id="rId209" /><Relationship Type="http://schemas.openxmlformats.org/officeDocument/2006/relationships/hyperlink" Target="https://www.amazon.sa/s?k=Netgate+4200+MAX+pfSense%2B+Gateway" TargetMode="External" Id="rId210" /><Relationship Type="http://schemas.openxmlformats.org/officeDocument/2006/relationships/hyperlink" Target="https://www.noon.com/saudi-en/search/?q=Netgate+4200+MAX+pfSense%2B+Gateway" TargetMode="External" Id="rId211" /><Relationship Type="http://schemas.openxmlformats.org/officeDocument/2006/relationships/hyperlink" Target="https://www.jarir.com/sa-en/catalogsearch/result/?q=Netgate+4200+MAX+pfSense%2B+Gateway" TargetMode="External" Id="rId212" /><Relationship Type="http://schemas.openxmlformats.org/officeDocument/2006/relationships/hyperlink" Target="https://www.aliexpress.com/w/wholesale-Cat6a+Shielded+Bulk+Cable.html" TargetMode="External" Id="rId213" /><Relationship Type="http://schemas.openxmlformats.org/officeDocument/2006/relationships/hyperlink" Target="https://www.amazon.sa/s?k=Cat6a+Shielded+Bulk+Cable" TargetMode="External" Id="rId214" /><Relationship Type="http://schemas.openxmlformats.org/officeDocument/2006/relationships/hyperlink" Target="https://www.noon.com/saudi-en/search/?q=Cat6a+Shielded+Bulk+Cable" TargetMode="External" Id="rId215" /><Relationship Type="http://schemas.openxmlformats.org/officeDocument/2006/relationships/hyperlink" Target="https://www.jarir.com/sa-en/catalogsearch/result/?q=Cat6a+Shielded+Bulk+Cable" TargetMode="External" Id="rId216" /><Relationship Type="http://schemas.openxmlformats.org/officeDocument/2006/relationships/hyperlink" Target="https://www.aliexpress.com/w/wholesale-10G+SFP%2B+DAC+Twinax+Cable.html" TargetMode="External" Id="rId217" /><Relationship Type="http://schemas.openxmlformats.org/officeDocument/2006/relationships/hyperlink" Target="https://www.amazon.sa/s?k=10G+SFP%2B+DAC+Twinax+Cable" TargetMode="External" Id="rId218" /><Relationship Type="http://schemas.openxmlformats.org/officeDocument/2006/relationships/hyperlink" Target="https://www.noon.com/saudi-en/search/?q=10G+SFP%2B+DAC+Twinax+Cable" TargetMode="External" Id="rId219" /><Relationship Type="http://schemas.openxmlformats.org/officeDocument/2006/relationships/hyperlink" Target="https://www.jarir.com/sa-en/catalogsearch/result/?q=10G+SFP%2B+DAC+Twinax+Cable" TargetMode="External" Id="rId220" /><Relationship Type="http://schemas.openxmlformats.org/officeDocument/2006/relationships/hyperlink" Target="https://www.aliexpress.com/w/wholesale-FS.com+10GBASE-SR+SFP%2B+Transceiver.html" TargetMode="External" Id="rId221" /><Relationship Type="http://schemas.openxmlformats.org/officeDocument/2006/relationships/hyperlink" Target="https://www.amazon.sa/s?k=FS.com+10GBASE-SR+SFP%2B+Transceiver" TargetMode="External" Id="rId222" /><Relationship Type="http://schemas.openxmlformats.org/officeDocument/2006/relationships/hyperlink" Target="https://www.noon.com/saudi-en/search/?q=FS.com+10GBASE-SR+SFP%2B+Transceiver" TargetMode="External" Id="rId223" /><Relationship Type="http://schemas.openxmlformats.org/officeDocument/2006/relationships/hyperlink" Target="https://www.jarir.com/sa-en/catalogsearch/result/?q=FS.com+10GBASE-SR+SFP%2B+Transceiver" TargetMode="External" Id="rId224" /><Relationship Type="http://schemas.openxmlformats.org/officeDocument/2006/relationships/hyperlink" Target="https://www.aliexpress.com/w/wholesale-NavePoint+1U+Cantilever+Rack+Shelf.html" TargetMode="External" Id="rId225" /><Relationship Type="http://schemas.openxmlformats.org/officeDocument/2006/relationships/hyperlink" Target="https://www.amazon.sa/s?k=NavePoint+1U+Cantilever+Rack+Shelf" TargetMode="External" Id="rId226" /><Relationship Type="http://schemas.openxmlformats.org/officeDocument/2006/relationships/hyperlink" Target="https://www.noon.com/saudi-en/search/?q=NavePoint+1U+Cantilever+Rack+Shelf" TargetMode="External" Id="rId227" /><Relationship Type="http://schemas.openxmlformats.org/officeDocument/2006/relationships/hyperlink" Target="https://www.jarir.com/sa-en/catalogsearch/result/?q=NavePoint+1U+Cantilever+Rack+Shelf" TargetMode="External" Id="rId228" /><Relationship Type="http://schemas.openxmlformats.org/officeDocument/2006/relationships/hyperlink" Target="https://www.aliexpress.com/w/wholesale-Cable+Matters+24-Port+Cat6+Patch+Panel.html" TargetMode="External" Id="rId229" /><Relationship Type="http://schemas.openxmlformats.org/officeDocument/2006/relationships/hyperlink" Target="https://www.amazon.sa/s?k=Cable+Matters+24-Port+Cat6+Patch+Panel" TargetMode="External" Id="rId230" /><Relationship Type="http://schemas.openxmlformats.org/officeDocument/2006/relationships/hyperlink" Target="https://www.noon.com/saudi-en/search/?q=Cable+Matters+24-Port+Cat6+Patch+Panel" TargetMode="External" Id="rId231" /><Relationship Type="http://schemas.openxmlformats.org/officeDocument/2006/relationships/hyperlink" Target="https://www.jarir.com/sa-en/catalogsearch/result/?q=Cable+Matters+24-Port+Cat6+Patch+Panel" TargetMode="External" Id="rId232" /><Relationship Type="http://schemas.openxmlformats.org/officeDocument/2006/relationships/hyperlink" Target="https://www.aliexpress.com/w/wholesale-StarTech+RK12WALLOA+12U+Wall-Mount+Rack.html" TargetMode="External" Id="rId233" /><Relationship Type="http://schemas.openxmlformats.org/officeDocument/2006/relationships/hyperlink" Target="https://www.amazon.sa/s?k=StarTech+RK12WALLOA+12U+Wall-Mount+Rack" TargetMode="External" Id="rId234" /><Relationship Type="http://schemas.openxmlformats.org/officeDocument/2006/relationships/hyperlink" Target="https://www.noon.com/saudi-en/search/?q=StarTech+RK12WALLOA+12U+Wall-Mount+Rack" TargetMode="External" Id="rId235" /><Relationship Type="http://schemas.openxmlformats.org/officeDocument/2006/relationships/hyperlink" Target="https://www.jarir.com/sa-en/catalogsearch/result/?q=StarTech+RK12WALLOA+12U+Wall-Mount+Rack" TargetMode="External" Id="rId236" /><Relationship Type="http://schemas.openxmlformats.org/officeDocument/2006/relationships/hyperlink" Target="https://www.aliexpress.com/w/wholesale-APC+Back-UPS+Pro+BX1500M.html" TargetMode="External" Id="rId237" /><Relationship Type="http://schemas.openxmlformats.org/officeDocument/2006/relationships/hyperlink" Target="https://www.amazon.sa/s?k=APC+Back-UPS+Pro+BX1500M" TargetMode="External" Id="rId238" /><Relationship Type="http://schemas.openxmlformats.org/officeDocument/2006/relationships/hyperlink" Target="https://www.noon.com/saudi-en/search/?q=APC+Back-UPS+Pro+BX1500M" TargetMode="External" Id="rId239" /><Relationship Type="http://schemas.openxmlformats.org/officeDocument/2006/relationships/hyperlink" Target="https://www.jarir.com/sa-en/catalogsearch/result/?q=APC+Back-UPS+Pro+BX1500M" TargetMode="External" Id="rId240" /><Relationship Type="http://schemas.openxmlformats.org/officeDocument/2006/relationships/hyperlink" Target="https://www.aliexpress.com/w/wholesale-CyberPower+OR1500LCDRM1U.html" TargetMode="External" Id="rId241" /><Relationship Type="http://schemas.openxmlformats.org/officeDocument/2006/relationships/hyperlink" Target="https://www.amazon.sa/s?k=CyberPower+OR1500LCDRM1U" TargetMode="External" Id="rId242" /><Relationship Type="http://schemas.openxmlformats.org/officeDocument/2006/relationships/hyperlink" Target="https://www.noon.com/saudi-en/search/?q=CyberPower+OR1500LCDRM1U" TargetMode="External" Id="rId243" /><Relationship Type="http://schemas.openxmlformats.org/officeDocument/2006/relationships/hyperlink" Target="https://www.jarir.com/sa-en/catalogsearch/result/?q=CyberPower+OR1500LCDRM1U" TargetMode="External" Id="rId244" /><Relationship Type="http://schemas.openxmlformats.org/officeDocument/2006/relationships/hyperlink" Target="https://www.aliexpress.com/w/wholesale-APC+Smart-UPS+SMT1500RM2UC.html" TargetMode="External" Id="rId245" /><Relationship Type="http://schemas.openxmlformats.org/officeDocument/2006/relationships/hyperlink" Target="https://www.amazon.sa/s?k=APC+Smart-UPS+SMT1500RM2UC" TargetMode="External" Id="rId246" /><Relationship Type="http://schemas.openxmlformats.org/officeDocument/2006/relationships/hyperlink" Target="https://www.noon.com/saudi-en/search/?q=APC+Smart-UPS+SMT1500RM2UC" TargetMode="External" Id="rId247" /><Relationship Type="http://schemas.openxmlformats.org/officeDocument/2006/relationships/hyperlink" Target="https://www.jarir.com/sa-en/catalogsearch/result/?q=APC+Smart-UPS+SMT1500RM2UC" TargetMode="External" Id="rId248" /><Relationship Type="http://schemas.openxmlformats.org/officeDocument/2006/relationships/hyperlink" Target="https://www.aliexpress.com/w/wholesale-QNAP+TS-262-4G.html" TargetMode="External" Id="rId249" /><Relationship Type="http://schemas.openxmlformats.org/officeDocument/2006/relationships/hyperlink" Target="https://www.amazon.sa/s?k=QNAP+TS-262-4G" TargetMode="External" Id="rId250" /><Relationship Type="http://schemas.openxmlformats.org/officeDocument/2006/relationships/hyperlink" Target="https://www.noon.com/saudi-en/search/?q=QNAP+TS-262-4G" TargetMode="External" Id="rId251" /><Relationship Type="http://schemas.openxmlformats.org/officeDocument/2006/relationships/hyperlink" Target="https://www.jarir.com/sa-en/catalogsearch/result/?q=QNAP+TS-262-4G" TargetMode="External" Id="rId252" /><Relationship Type="http://schemas.openxmlformats.org/officeDocument/2006/relationships/hyperlink" Target="https://www.aliexpress.com/w/wholesale-QNAP+TS-464-8G.html" TargetMode="External" Id="rId253" /><Relationship Type="http://schemas.openxmlformats.org/officeDocument/2006/relationships/hyperlink" Target="https://www.amazon.sa/s?k=QNAP+TS-464-8G" TargetMode="External" Id="rId254" /><Relationship Type="http://schemas.openxmlformats.org/officeDocument/2006/relationships/hyperlink" Target="https://www.noon.com/saudi-en/search/?q=QNAP+TS-464-8G" TargetMode="External" Id="rId255" /><Relationship Type="http://schemas.openxmlformats.org/officeDocument/2006/relationships/hyperlink" Target="https://www.jarir.com/sa-en/catalogsearch/result/?q=QNAP+TS-464-8G" TargetMode="External" Id="rId256" /><Relationship Type="http://schemas.openxmlformats.org/officeDocument/2006/relationships/hyperlink" Target="https://www.aliexpress.com/w/wholesale-Synology+DS925%2B.html" TargetMode="External" Id="rId257" /><Relationship Type="http://schemas.openxmlformats.org/officeDocument/2006/relationships/hyperlink" Target="https://www.amazon.sa/s?k=Synology+DS925%2B" TargetMode="External" Id="rId258" /><Relationship Type="http://schemas.openxmlformats.org/officeDocument/2006/relationships/hyperlink" Target="https://www.noon.com/saudi-en/search/?q=Synology+DS925%2B" TargetMode="External" Id="rId259" /><Relationship Type="http://schemas.openxmlformats.org/officeDocument/2006/relationships/hyperlink" Target="https://www.jarir.com/sa-en/catalogsearch/result/?q=Synology+DS925%2B" TargetMode="External" Id="rId260" /><Relationship Type="http://schemas.openxmlformats.org/officeDocument/2006/relationships/hyperlink" Target="https://www.aliexpress.com/w/wholesale-Synology+DS225%2B.html" TargetMode="External" Id="rId261" /><Relationship Type="http://schemas.openxmlformats.org/officeDocument/2006/relationships/hyperlink" Target="https://www.amazon.sa/s?k=Synology+DS225%2B" TargetMode="External" Id="rId262" /><Relationship Type="http://schemas.openxmlformats.org/officeDocument/2006/relationships/hyperlink" Target="https://www.noon.com/saudi-en/search/?q=Synology+DS225%2B" TargetMode="External" Id="rId263" /><Relationship Type="http://schemas.openxmlformats.org/officeDocument/2006/relationships/hyperlink" Target="https://www.jarir.com/sa-en/catalogsearch/result/?q=Synology+DS225%2B" TargetMode="External" Id="rId264" /><Relationship Type="http://schemas.openxmlformats.org/officeDocument/2006/relationships/hyperlink" Target="https://www.aliexpress.com/w/wholesale-TP-Link+Omada+EAP650.html" TargetMode="External" Id="rId265" /><Relationship Type="http://schemas.openxmlformats.org/officeDocument/2006/relationships/hyperlink" Target="https://www.amazon.sa/s?k=TP-Link+Omada+EAP650" TargetMode="External" Id="rId266" /><Relationship Type="http://schemas.openxmlformats.org/officeDocument/2006/relationships/hyperlink" Target="https://www.noon.com/saudi-en/search/?q=TP-Link+Omada+EAP650" TargetMode="External" Id="rId267" /><Relationship Type="http://schemas.openxmlformats.org/officeDocument/2006/relationships/hyperlink" Target="https://www.jarir.com/sa-en/catalogsearch/result/?q=TP-Link+Omada+EAP650" TargetMode="External" Id="rId268" /><Relationship Type="http://schemas.openxmlformats.org/officeDocument/2006/relationships/hyperlink" Target="https://www.aliexpress.com/w/wholesale-TP-Link+Omada+EAP610.html" TargetMode="External" Id="rId269" /><Relationship Type="http://schemas.openxmlformats.org/officeDocument/2006/relationships/hyperlink" Target="https://www.amazon.sa/s?k=TP-Link+Omada+EAP610" TargetMode="External" Id="rId270" /><Relationship Type="http://schemas.openxmlformats.org/officeDocument/2006/relationships/hyperlink" Target="https://www.noon.com/saudi-en/search/?q=TP-Link+Omada+EAP610" TargetMode="External" Id="rId271" /><Relationship Type="http://schemas.openxmlformats.org/officeDocument/2006/relationships/hyperlink" Target="https://www.jarir.com/sa-en/catalogsearch/result/?q=TP-Link+Omada+EAP610" TargetMode="External" Id="rId272" /><Relationship Type="http://schemas.openxmlformats.org/officeDocument/2006/relationships/hyperlink" Target="https://www.aliexpress.com/w/wholesale-Ubiquiti+UniFi+U7+Pro.html" TargetMode="External" Id="rId273" /><Relationship Type="http://schemas.openxmlformats.org/officeDocument/2006/relationships/hyperlink" Target="https://www.amazon.sa/s?k=Ubiquiti+UniFi+U7+Pro" TargetMode="External" Id="rId274" /><Relationship Type="http://schemas.openxmlformats.org/officeDocument/2006/relationships/hyperlink" Target="https://www.noon.com/saudi-en/search/?q=Ubiquiti+UniFi+U7+Pro" TargetMode="External" Id="rId275" /><Relationship Type="http://schemas.openxmlformats.org/officeDocument/2006/relationships/hyperlink" Target="https://www.jarir.com/sa-en/catalogsearch/result/?q=Ubiquiti+UniFi+U7+Pro" TargetMode="External" Id="rId276" /><Relationship Type="http://schemas.openxmlformats.org/officeDocument/2006/relationships/hyperlink" Target="https://www.aliexpress.com/w/wholesale-Ubiquiti+UniFi+U6+Pro.html" TargetMode="External" Id="rId277" /><Relationship Type="http://schemas.openxmlformats.org/officeDocument/2006/relationships/hyperlink" Target="https://www.amazon.sa/s?k=Ubiquiti+UniFi+U6+Pro" TargetMode="External" Id="rId278" /><Relationship Type="http://schemas.openxmlformats.org/officeDocument/2006/relationships/hyperlink" Target="https://www.noon.com/saudi-en/search/?q=Ubiquiti+UniFi+U6+Pro" TargetMode="External" Id="rId279" /><Relationship Type="http://schemas.openxmlformats.org/officeDocument/2006/relationships/hyperlink" Target="https://www.jarir.com/sa-en/catalogsearch/result/?q=Ubiquiti+UniFi+U6+Pro" TargetMode="External" Id="rId280" /><Relationship Type="http://schemas.openxmlformats.org/officeDocument/2006/relationships/hyperlink" Target="https://www.aliexpress.com/w/wholesale-Ubiquiti+USW-Pro-24-PoE.html" TargetMode="External" Id="rId281" /><Relationship Type="http://schemas.openxmlformats.org/officeDocument/2006/relationships/hyperlink" Target="https://www.amazon.sa/s?k=Ubiquiti+USW-Pro-24-PoE" TargetMode="External" Id="rId282" /><Relationship Type="http://schemas.openxmlformats.org/officeDocument/2006/relationships/hyperlink" Target="https://www.noon.com/saudi-en/search/?q=Ubiquiti+USW-Pro-24-PoE" TargetMode="External" Id="rId283" /><Relationship Type="http://schemas.openxmlformats.org/officeDocument/2006/relationships/hyperlink" Target="https://www.jarir.com/sa-en/catalogsearch/result/?q=Ubiquiti+USW-Pro-24-PoE" TargetMode="External" Id="rId284" /><Relationship Type="http://schemas.openxmlformats.org/officeDocument/2006/relationships/hyperlink" Target="https://www.aliexpress.com/w/wholesale-MikroTik+CRS312-4C%2B8XG-RM.html" TargetMode="External" Id="rId285" /><Relationship Type="http://schemas.openxmlformats.org/officeDocument/2006/relationships/hyperlink" Target="https://www.amazon.sa/s?k=MikroTik+CRS312-4C%2B8XG-RM" TargetMode="External" Id="rId286" /><Relationship Type="http://schemas.openxmlformats.org/officeDocument/2006/relationships/hyperlink" Target="https://www.noon.com/saudi-en/search/?q=MikroTik+CRS312-4C%2B8XG-RM" TargetMode="External" Id="rId287" /><Relationship Type="http://schemas.openxmlformats.org/officeDocument/2006/relationships/hyperlink" Target="https://www.jarir.com/sa-en/catalogsearch/result/?q=MikroTik+CRS312-4C%2B8XG-RM" TargetMode="External" Id="rId288" /><Relationship Type="http://schemas.openxmlformats.org/officeDocument/2006/relationships/hyperlink" Target="https://www.aliexpress.com/w/wholesale-MikroTik+CRS328-24P-4S%2BRM.html" TargetMode="External" Id="rId289" /><Relationship Type="http://schemas.openxmlformats.org/officeDocument/2006/relationships/hyperlink" Target="https://www.amazon.sa/s?k=MikroTik+CRS328-24P-4S%2BRM" TargetMode="External" Id="rId290" /><Relationship Type="http://schemas.openxmlformats.org/officeDocument/2006/relationships/hyperlink" Target="https://www.noon.com/saudi-en/search/?q=MikroTik+CRS328-24P-4S%2BRM" TargetMode="External" Id="rId291" /><Relationship Type="http://schemas.openxmlformats.org/officeDocument/2006/relationships/hyperlink" Target="https://www.jarir.com/sa-en/catalogsearch/result/?q=MikroTik+CRS328-24P-4S%2BRM" TargetMode="External" Id="rId292" /><Relationship Type="http://schemas.openxmlformats.org/officeDocument/2006/relationships/hyperlink" Target="https://www.aliexpress.com/w/wholesale-MikroTik+CRS326-24G-2S%2BRM.html" TargetMode="External" Id="rId293" /><Relationship Type="http://schemas.openxmlformats.org/officeDocument/2006/relationships/hyperlink" Target="https://www.amazon.sa/s?k=MikroTik+CRS326-24G-2S%2BRM" TargetMode="External" Id="rId294" /><Relationship Type="http://schemas.openxmlformats.org/officeDocument/2006/relationships/hyperlink" Target="https://www.noon.com/saudi-en/search/?q=MikroTik+CRS326-24G-2S%2BRM" TargetMode="External" Id="rId295" /><Relationship Type="http://schemas.openxmlformats.org/officeDocument/2006/relationships/hyperlink" Target="https://www.jarir.com/sa-en/catalogsearch/result/?q=MikroTik+CRS326-24G-2S%2BRM" TargetMode="External" Id="rId296" /><Relationship Type="http://schemas.openxmlformats.org/officeDocument/2006/relationships/hyperlink" Target="https://www.aliexpress.com/w/wholesale-MikroTik+CRS305-1G-4S%2BIN.html" TargetMode="External" Id="rId297" /><Relationship Type="http://schemas.openxmlformats.org/officeDocument/2006/relationships/hyperlink" Target="https://www.amazon.sa/s?k=MikroTik+CRS305-1G-4S%2BIN" TargetMode="External" Id="rId298" /><Relationship Type="http://schemas.openxmlformats.org/officeDocument/2006/relationships/hyperlink" Target="https://www.noon.com/saudi-en/search/?q=MikroTik+CRS305-1G-4S%2BIN" TargetMode="External" Id="rId299" /><Relationship Type="http://schemas.openxmlformats.org/officeDocument/2006/relationships/hyperlink" Target="https://www.jarir.com/sa-en/catalogsearch/result/?q=MikroTik+CRS305-1G-4S%2BIN" TargetMode="External" Id="rId300" /><Relationship Type="http://schemas.openxmlformats.org/officeDocument/2006/relationships/hyperlink" Target="https://www.aliexpress.com/w/wholesale-SwitchBot+Blind+Tilt.html" TargetMode="External" Id="rId301" /><Relationship Type="http://schemas.openxmlformats.org/officeDocument/2006/relationships/hyperlink" Target="https://www.amazon.sa/s?k=SwitchBot+Blind+Tilt" TargetMode="External" Id="rId302" /><Relationship Type="http://schemas.openxmlformats.org/officeDocument/2006/relationships/hyperlink" Target="https://www.noon.com/saudi-en/search/?q=SwitchBot+Blind+Tilt" TargetMode="External" Id="rId303" /><Relationship Type="http://schemas.openxmlformats.org/officeDocument/2006/relationships/hyperlink" Target="https://www.jarir.com/sa-en/catalogsearch/result/?q=SwitchBot+Blind+Tilt" TargetMode="External" Id="rId304" /><Relationship Type="http://schemas.openxmlformats.org/officeDocument/2006/relationships/hyperlink" Target="https://www.aliexpress.com/w/wholesale-SwitchBot+Bot.html" TargetMode="External" Id="rId305" /><Relationship Type="http://schemas.openxmlformats.org/officeDocument/2006/relationships/hyperlink" Target="https://www.amazon.sa/s?k=SwitchBot+Bot" TargetMode="External" Id="rId306" /><Relationship Type="http://schemas.openxmlformats.org/officeDocument/2006/relationships/hyperlink" Target="https://www.noon.com/saudi-en/search/?q=SwitchBot+Bot" TargetMode="External" Id="rId307" /><Relationship Type="http://schemas.openxmlformats.org/officeDocument/2006/relationships/hyperlink" Target="https://www.jarir.com/sa-en/catalogsearch/result/?q=SwitchBot+Bot" TargetMode="External" Id="rId308" /><Relationship Type="http://schemas.openxmlformats.org/officeDocument/2006/relationships/hyperlink" Target="https://www.aliexpress.com/w/wholesale-SwitchBot+Hub+2.html" TargetMode="External" Id="rId309" /><Relationship Type="http://schemas.openxmlformats.org/officeDocument/2006/relationships/hyperlink" Target="https://www.amazon.sa/s?k=SwitchBot+Hub+2" TargetMode="External" Id="rId310" /><Relationship Type="http://schemas.openxmlformats.org/officeDocument/2006/relationships/hyperlink" Target="https://www.noon.com/saudi-en/search/?q=SwitchBot+Hub+2" TargetMode="External" Id="rId311" /><Relationship Type="http://schemas.openxmlformats.org/officeDocument/2006/relationships/hyperlink" Target="https://www.jarir.com/sa-en/catalogsearch/result/?q=SwitchBot+Hub+2" TargetMode="External" Id="rId312" /><Relationship Type="http://schemas.openxmlformats.org/officeDocument/2006/relationships/hyperlink" Target="https://www.aliexpress.com/w/wholesale-Hubitat+Elevation+C-8+Pro.html" TargetMode="External" Id="rId313" /><Relationship Type="http://schemas.openxmlformats.org/officeDocument/2006/relationships/hyperlink" Target="https://www.amazon.sa/s?k=Hubitat+Elevation+C-8+Pro" TargetMode="External" Id="rId314" /><Relationship Type="http://schemas.openxmlformats.org/officeDocument/2006/relationships/hyperlink" Target="https://www.noon.com/saudi-en/search/?q=Hubitat+Elevation+C-8+Pro" TargetMode="External" Id="rId315" /><Relationship Type="http://schemas.openxmlformats.org/officeDocument/2006/relationships/hyperlink" Target="https://www.jarir.com/sa-en/catalogsearch/result/?q=Hubitat+Elevation+C-8+Pro" TargetMode="External" Id="rId316" /><Relationship Type="http://schemas.openxmlformats.org/officeDocument/2006/relationships/hyperlink" Target="https://www.aliexpress.com/w/wholesale-Home+Assistant+Green.html" TargetMode="External" Id="rId317" /><Relationship Type="http://schemas.openxmlformats.org/officeDocument/2006/relationships/hyperlink" Target="https://www.amazon.sa/s?k=Home+Assistant+Green" TargetMode="External" Id="rId318" /><Relationship Type="http://schemas.openxmlformats.org/officeDocument/2006/relationships/hyperlink" Target="https://www.noon.com/saudi-en/search/?q=Home+Assistant+Green" TargetMode="External" Id="rId319" /><Relationship Type="http://schemas.openxmlformats.org/officeDocument/2006/relationships/hyperlink" Target="https://www.jarir.com/sa-en/catalogsearch/result/?q=Home+Assistant+Green" TargetMode="External" Id="rId320" /><Relationship Type="http://schemas.openxmlformats.org/officeDocument/2006/relationships/hyperlink" Target="https://www.aliexpress.com/w/wholesale-Aqara+Hub+M3.html" TargetMode="External" Id="rId321" /><Relationship Type="http://schemas.openxmlformats.org/officeDocument/2006/relationships/hyperlink" Target="https://www.amazon.sa/s?k=Aqara+Hub+M3" TargetMode="External" Id="rId322" /><Relationship Type="http://schemas.openxmlformats.org/officeDocument/2006/relationships/hyperlink" Target="https://www.noon.com/saudi-en/search/?q=Aqara+Hub+M3" TargetMode="External" Id="rId323" /><Relationship Type="http://schemas.openxmlformats.org/officeDocument/2006/relationships/hyperlink" Target="https://www.jarir.com/sa-en/catalogsearch/result/?q=Aqara+Hub+M3" TargetMode="External" Id="rId324" /><Relationship Type="http://schemas.openxmlformats.org/officeDocument/2006/relationships/hyperlink" Target="https://www.aliexpress.com/w/wholesale-IKEA+FYRTUR+Blackout+Smart+Roller+Blind.html" TargetMode="External" Id="rId325" /><Relationship Type="http://schemas.openxmlformats.org/officeDocument/2006/relationships/hyperlink" Target="https://www.amazon.sa/s?k=IKEA+FYRTUR+Blackout+Smart+Roller+Blind" TargetMode="External" Id="rId326" /><Relationship Type="http://schemas.openxmlformats.org/officeDocument/2006/relationships/hyperlink" Target="https://www.noon.com/saudi-en/search/?q=IKEA+FYRTUR+Blackout+Smart+Roller+Blind" TargetMode="External" Id="rId327" /><Relationship Type="http://schemas.openxmlformats.org/officeDocument/2006/relationships/hyperlink" Target="https://www.jarir.com/sa-en/catalogsearch/result/?q=IKEA+FYRTUR+Blackout+Smart+Roller+Blind" TargetMode="External" Id="rId328" /><Relationship Type="http://schemas.openxmlformats.org/officeDocument/2006/relationships/hyperlink" Target="https://www.aliexpress.com/w/wholesale-SwitchBot+Curtain+3.html" TargetMode="External" Id="rId329" /><Relationship Type="http://schemas.openxmlformats.org/officeDocument/2006/relationships/hyperlink" Target="https://www.amazon.sa/s?k=SwitchBot+Curtain+3" TargetMode="External" Id="rId330" /><Relationship Type="http://schemas.openxmlformats.org/officeDocument/2006/relationships/hyperlink" Target="https://www.noon.com/saudi-en/search/?q=SwitchBot+Curtain+3" TargetMode="External" Id="rId331" /><Relationship Type="http://schemas.openxmlformats.org/officeDocument/2006/relationships/hyperlink" Target="https://www.jarir.com/sa-en/catalogsearch/result/?q=SwitchBot+Curtain+3" TargetMode="External" Id="rId332" /><Relationship Type="http://schemas.openxmlformats.org/officeDocument/2006/relationships/hyperlink" Target="https://www.aliexpress.com/w/wholesale-Eufy+Video+Doorbell+E340.html" TargetMode="External" Id="rId333" /><Relationship Type="http://schemas.openxmlformats.org/officeDocument/2006/relationships/hyperlink" Target="https://www.amazon.sa/s?k=Eufy+Video+Doorbell+E340" TargetMode="External" Id="rId334" /><Relationship Type="http://schemas.openxmlformats.org/officeDocument/2006/relationships/hyperlink" Target="https://www.noon.com/saudi-en/search/?q=Eufy+Video+Doorbell+E340" TargetMode="External" Id="rId335" /><Relationship Type="http://schemas.openxmlformats.org/officeDocument/2006/relationships/hyperlink" Target="https://www.jarir.com/sa-en/catalogsearch/result/?q=Eufy+Video+Doorbell+E340" TargetMode="External" Id="rId336" /><Relationship Type="http://schemas.openxmlformats.org/officeDocument/2006/relationships/hyperlink" Target="https://www.aliexpress.com/w/wholesale-Ring+Battery+Doorbell+Plus.html" TargetMode="External" Id="rId337" /><Relationship Type="http://schemas.openxmlformats.org/officeDocument/2006/relationships/hyperlink" Target="https://www.amazon.sa/s?k=Ring+Battery+Doorbell+Plus" TargetMode="External" Id="rId338" /><Relationship Type="http://schemas.openxmlformats.org/officeDocument/2006/relationships/hyperlink" Target="https://www.noon.com/saudi-en/search/?q=Ring+Battery+Doorbell+Plus" TargetMode="External" Id="rId339" /><Relationship Type="http://schemas.openxmlformats.org/officeDocument/2006/relationships/hyperlink" Target="https://www.jarir.com/sa-en/catalogsearch/result/?q=Ring+Battery+Doorbell+Plus" TargetMode="External" Id="rId340" /><Relationship Type="http://schemas.openxmlformats.org/officeDocument/2006/relationships/hyperlink" Target="https://www.aliexpress.com/w/wholesale-Reolink+Argus+4+Pro.html" TargetMode="External" Id="rId341" /><Relationship Type="http://schemas.openxmlformats.org/officeDocument/2006/relationships/hyperlink" Target="https://www.amazon.sa/s?k=Reolink+Argus+4+Pro" TargetMode="External" Id="rId342" /><Relationship Type="http://schemas.openxmlformats.org/officeDocument/2006/relationships/hyperlink" Target="https://www.noon.com/saudi-en/search/?q=Reolink+Argus+4+Pro" TargetMode="External" Id="rId343" /><Relationship Type="http://schemas.openxmlformats.org/officeDocument/2006/relationships/hyperlink" Target="https://www.jarir.com/sa-en/catalogsearch/result/?q=Reolink+Argus+4+Pro" TargetMode="External" Id="rId344" /><Relationship Type="http://schemas.openxmlformats.org/officeDocument/2006/relationships/hyperlink" Target="https://www.aliexpress.com/w/wholesale-Eufy+eufyCam+3.html" TargetMode="External" Id="rId345" /><Relationship Type="http://schemas.openxmlformats.org/officeDocument/2006/relationships/hyperlink" Target="https://www.amazon.sa/s?k=Eufy+eufyCam+3" TargetMode="External" Id="rId346" /><Relationship Type="http://schemas.openxmlformats.org/officeDocument/2006/relationships/hyperlink" Target="https://www.noon.com/saudi-en/search/?q=Eufy+eufyCam+3" TargetMode="External" Id="rId347" /><Relationship Type="http://schemas.openxmlformats.org/officeDocument/2006/relationships/hyperlink" Target="https://www.jarir.com/sa-en/catalogsearch/result/?q=Eufy+eufyCam+3" TargetMode="External" Id="rId348" /><Relationship Type="http://schemas.openxmlformats.org/officeDocument/2006/relationships/hyperlink" Target="https://www.aliexpress.com/w/wholesale-Arlo+Pro+5+2K+Spotlight+Camera.html" TargetMode="External" Id="rId349" /><Relationship Type="http://schemas.openxmlformats.org/officeDocument/2006/relationships/hyperlink" Target="https://www.amazon.sa/s?k=Arlo+Pro+5+2K+Spotlight+Camera" TargetMode="External" Id="rId350" /><Relationship Type="http://schemas.openxmlformats.org/officeDocument/2006/relationships/hyperlink" Target="https://www.noon.com/saudi-en/search/?q=Arlo+Pro+5+2K+Spotlight+Camera" TargetMode="External" Id="rId351" /><Relationship Type="http://schemas.openxmlformats.org/officeDocument/2006/relationships/hyperlink" Target="https://www.jarir.com/sa-en/catalogsearch/result/?q=Arlo+Pro+5+2K+Spotlight+Camera" TargetMode="External" Id="rId352" /><Relationship Type="http://schemas.openxmlformats.org/officeDocument/2006/relationships/hyperlink" Target="https://www.aliexpress.com/w/wholesale-Ring+Indoor+Cam.html" TargetMode="External" Id="rId353" /><Relationship Type="http://schemas.openxmlformats.org/officeDocument/2006/relationships/hyperlink" Target="https://www.amazon.sa/s?k=Ring+Indoor+Cam" TargetMode="External" Id="rId354" /><Relationship Type="http://schemas.openxmlformats.org/officeDocument/2006/relationships/hyperlink" Target="https://www.noon.com/saudi-en/search/?q=Ring+Indoor+Cam" TargetMode="External" Id="rId355" /><Relationship Type="http://schemas.openxmlformats.org/officeDocument/2006/relationships/hyperlink" Target="https://www.jarir.com/sa-en/catalogsearch/result/?q=Ring+Indoor+Cam" TargetMode="External" Id="rId356" /><Relationship Type="http://schemas.openxmlformats.org/officeDocument/2006/relationships/hyperlink" Target="https://www.aliexpress.com/w/wholesale-Meross+Smart+Plug+Mini+MSS110.html" TargetMode="External" Id="rId357" /><Relationship Type="http://schemas.openxmlformats.org/officeDocument/2006/relationships/hyperlink" Target="https://www.amazon.sa/s?k=Meross+Smart+Plug+Mini+MSS110" TargetMode="External" Id="rId358" /><Relationship Type="http://schemas.openxmlformats.org/officeDocument/2006/relationships/hyperlink" Target="https://www.noon.com/saudi-en/search/?q=Meross+Smart+Plug+Mini+MSS110" TargetMode="External" Id="rId359" /><Relationship Type="http://schemas.openxmlformats.org/officeDocument/2006/relationships/hyperlink" Target="https://www.jarir.com/sa-en/catalogsearch/result/?q=Meross+Smart+Plug+Mini+MSS110" TargetMode="External" Id="rId360" /><Relationship Type="http://schemas.openxmlformats.org/officeDocument/2006/relationships/hyperlink" Target="https://www.aliexpress.com/w/wholesale-TP-Link+Tapo+P125M+Smart+Plug.html" TargetMode="External" Id="rId361" /><Relationship Type="http://schemas.openxmlformats.org/officeDocument/2006/relationships/hyperlink" Target="https://www.amazon.sa/s?k=TP-Link+Tapo+P125M+Smart+Plug" TargetMode="External" Id="rId362" /><Relationship Type="http://schemas.openxmlformats.org/officeDocument/2006/relationships/hyperlink" Target="https://www.noon.com/saudi-en/search/?q=TP-Link+Tapo+P125M+Smart+Plug" TargetMode="External" Id="rId363" /><Relationship Type="http://schemas.openxmlformats.org/officeDocument/2006/relationships/hyperlink" Target="https://www.jarir.com/sa-en/catalogsearch/result/?q=TP-Link+Tapo+P125M+Smart+Plug" TargetMode="External" Id="rId364" /><Relationship Type="http://schemas.openxmlformats.org/officeDocument/2006/relationships/hyperlink" Target="https://www.aliexpress.com/w/wholesale-Ecobee+Smart+Thermostat+Premium.html" TargetMode="External" Id="rId365" /><Relationship Type="http://schemas.openxmlformats.org/officeDocument/2006/relationships/hyperlink" Target="https://www.amazon.sa/s?k=Ecobee+Smart+Thermostat+Premium" TargetMode="External" Id="rId366" /><Relationship Type="http://schemas.openxmlformats.org/officeDocument/2006/relationships/hyperlink" Target="https://www.noon.com/saudi-en/search/?q=Ecobee+Smart+Thermostat+Premium" TargetMode="External" Id="rId367" /><Relationship Type="http://schemas.openxmlformats.org/officeDocument/2006/relationships/hyperlink" Target="https://www.jarir.com/sa-en/catalogsearch/result/?q=Ecobee+Smart+Thermostat+Premium" TargetMode="External" Id="rId368" /><Relationship Type="http://schemas.openxmlformats.org/officeDocument/2006/relationships/hyperlink" Target="https://www.aliexpress.com/w/wholesale-Google+Nest+Learning+Thermostat.html" TargetMode="External" Id="rId369" /><Relationship Type="http://schemas.openxmlformats.org/officeDocument/2006/relationships/hyperlink" Target="https://www.amazon.sa/s?k=Google+Nest+Learning+Thermostat" TargetMode="External" Id="rId370" /><Relationship Type="http://schemas.openxmlformats.org/officeDocument/2006/relationships/hyperlink" Target="https://www.noon.com/saudi-en/search/?q=Google+Nest+Learning+Thermostat" TargetMode="External" Id="rId371" /><Relationship Type="http://schemas.openxmlformats.org/officeDocument/2006/relationships/hyperlink" Target="https://www.jarir.com/sa-en/catalogsearch/result/?q=Google+Nest+Learning+Thermostat" TargetMode="External" Id="rId372" /><Relationship Type="http://schemas.openxmlformats.org/officeDocument/2006/relationships/hyperlink" Target="https://www.aliexpress.com/w/wholesale-Ecovacs+Deebot+X9+Pro+Omni.html" TargetMode="External" Id="rId373" /><Relationship Type="http://schemas.openxmlformats.org/officeDocument/2006/relationships/hyperlink" Target="https://www.amazon.sa/s?k=Ecovacs+Deebot+X9+Pro+Omni" TargetMode="External" Id="rId374" /><Relationship Type="http://schemas.openxmlformats.org/officeDocument/2006/relationships/hyperlink" Target="https://www.noon.com/saudi-en/search/?q=Ecovacs+Deebot+X9+Pro+Omni" TargetMode="External" Id="rId375" /><Relationship Type="http://schemas.openxmlformats.org/officeDocument/2006/relationships/hyperlink" Target="https://www.jarir.com/sa-en/catalogsearch/result/?q=Ecovacs+Deebot+X9+Pro+Omni" TargetMode="External" Id="rId376" /><Relationship Type="http://schemas.openxmlformats.org/officeDocument/2006/relationships/hyperlink" Target="https://www.aliexpress.com/w/wholesale-Dreame+L50+Ultra.html" TargetMode="External" Id="rId377" /><Relationship Type="http://schemas.openxmlformats.org/officeDocument/2006/relationships/hyperlink" Target="https://www.amazon.sa/s?k=Dreame+L50+Ultra" TargetMode="External" Id="rId378" /><Relationship Type="http://schemas.openxmlformats.org/officeDocument/2006/relationships/hyperlink" Target="https://www.noon.com/saudi-en/search/?q=Dreame+L50+Ultra" TargetMode="External" Id="rId379" /><Relationship Type="http://schemas.openxmlformats.org/officeDocument/2006/relationships/hyperlink" Target="https://www.jarir.com/sa-en/catalogsearch/result/?q=Dreame+L50+Ultra" TargetMode="External" Id="rId380" /><Relationship Type="http://schemas.openxmlformats.org/officeDocument/2006/relationships/hyperlink" Target="https://www.aliexpress.com/w/wholesale-Roborock+Qrevo+CurvX.html" TargetMode="External" Id="rId381" /><Relationship Type="http://schemas.openxmlformats.org/officeDocument/2006/relationships/hyperlink" Target="https://www.amazon.sa/s?k=Roborock+Qrevo+CurvX" TargetMode="External" Id="rId382" /><Relationship Type="http://schemas.openxmlformats.org/officeDocument/2006/relationships/hyperlink" Target="https://www.noon.com/saudi-en/search/?q=Roborock+Qrevo+CurvX" TargetMode="External" Id="rId383" /><Relationship Type="http://schemas.openxmlformats.org/officeDocument/2006/relationships/hyperlink" Target="https://www.jarir.com/sa-en/catalogsearch/result/?q=Roborock+Qrevo+CurvX" TargetMode="External" Id="rId384" /><Relationship Type="http://schemas.openxmlformats.org/officeDocument/2006/relationships/hyperlink" Target="https://www.aliexpress.com/w/wholesale-Govee+Glide+Hexagon+Light+Panels+Ultra.html" TargetMode="External" Id="rId385" /><Relationship Type="http://schemas.openxmlformats.org/officeDocument/2006/relationships/hyperlink" Target="https://www.amazon.sa/s?k=Govee+Glide+Hexagon+Light+Panels+Ultra" TargetMode="External" Id="rId386" /><Relationship Type="http://schemas.openxmlformats.org/officeDocument/2006/relationships/hyperlink" Target="https://www.noon.com/saudi-en/search/?q=Govee+Glide+Hexagon+Light+Panels+Ultra" TargetMode="External" Id="rId387" /><Relationship Type="http://schemas.openxmlformats.org/officeDocument/2006/relationships/hyperlink" Target="https://www.jarir.com/sa-en/catalogsearch/result/?q=Govee+Glide+Hexagon+Light+Panels+Ultra" TargetMode="External" Id="rId388" /><Relationship Type="http://schemas.openxmlformats.org/officeDocument/2006/relationships/hyperlink" Target="https://www.aliexpress.com/w/wholesale-Govee+RGBIC+LED+Strip+M1.html" TargetMode="External" Id="rId389" /><Relationship Type="http://schemas.openxmlformats.org/officeDocument/2006/relationships/hyperlink" Target="https://www.amazon.sa/s?k=Govee+RGBIC+LED+Strip+M1" TargetMode="External" Id="rId390" /><Relationship Type="http://schemas.openxmlformats.org/officeDocument/2006/relationships/hyperlink" Target="https://www.noon.com/saudi-en/search/?q=Govee+RGBIC+LED+Strip+M1" TargetMode="External" Id="rId391" /><Relationship Type="http://schemas.openxmlformats.org/officeDocument/2006/relationships/hyperlink" Target="https://www.jarir.com/sa-en/catalogsearch/result/?q=Govee+RGBIC+LED+Strip+M1" TargetMode="External" Id="rId392" /><Relationship Type="http://schemas.openxmlformats.org/officeDocument/2006/relationships/hyperlink" Target="https://www.aliexpress.com/w/wholesale-LIFX+Color+A19+1100lm+Bulb.html" TargetMode="External" Id="rId393" /><Relationship Type="http://schemas.openxmlformats.org/officeDocument/2006/relationships/hyperlink" Target="https://www.amazon.sa/s?k=LIFX+Color+A19+1100lm+Bulb" TargetMode="External" Id="rId394" /><Relationship Type="http://schemas.openxmlformats.org/officeDocument/2006/relationships/hyperlink" Target="https://www.noon.com/saudi-en/search/?q=LIFX+Color+A19+1100lm+Bulb" TargetMode="External" Id="rId395" /><Relationship Type="http://schemas.openxmlformats.org/officeDocument/2006/relationships/hyperlink" Target="https://www.jarir.com/sa-en/catalogsearch/result/?q=LIFX+Color+A19+1100lm+Bulb" TargetMode="External" Id="rId396" /><Relationship Type="http://schemas.openxmlformats.org/officeDocument/2006/relationships/hyperlink" Target="https://www.aliexpress.com/w/wholesale-Philips+Hue+Gradient+Lightstrip.html" TargetMode="External" Id="rId397" /><Relationship Type="http://schemas.openxmlformats.org/officeDocument/2006/relationships/hyperlink" Target="https://www.amazon.sa/s?k=Philips+Hue+Gradient+Lightstrip" TargetMode="External" Id="rId398" /><Relationship Type="http://schemas.openxmlformats.org/officeDocument/2006/relationships/hyperlink" Target="https://www.noon.com/saudi-en/search/?q=Philips+Hue+Gradient+Lightstrip" TargetMode="External" Id="rId399" /><Relationship Type="http://schemas.openxmlformats.org/officeDocument/2006/relationships/hyperlink" Target="https://www.jarir.com/sa-en/catalogsearch/result/?q=Philips+Hue+Gradient+Lightstrip" TargetMode="External" Id="rId400" /><Relationship Type="http://schemas.openxmlformats.org/officeDocument/2006/relationships/hyperlink" Target="https://www.aliexpress.com/w/wholesale-Philips+Hue+Starter+Kit.html" TargetMode="External" Id="rId401" /><Relationship Type="http://schemas.openxmlformats.org/officeDocument/2006/relationships/hyperlink" Target="https://www.amazon.sa/s?k=Philips+Hue+Starter+Kit" TargetMode="External" Id="rId402" /><Relationship Type="http://schemas.openxmlformats.org/officeDocument/2006/relationships/hyperlink" Target="https://www.noon.com/saudi-en/search/?q=Philips+Hue+Starter+Kit" TargetMode="External" Id="rId403" /><Relationship Type="http://schemas.openxmlformats.org/officeDocument/2006/relationships/hyperlink" Target="https://www.jarir.com/sa-en/catalogsearch/result/?q=Philips+Hue+Starter+Kit" TargetMode="External" Id="rId404" /><Relationship Type="http://schemas.openxmlformats.org/officeDocument/2006/relationships/hyperlink" Target="https://www.aliexpress.com/w/wholesale-August+Wi-Fi+Smart+Lock.html" TargetMode="External" Id="rId405" /><Relationship Type="http://schemas.openxmlformats.org/officeDocument/2006/relationships/hyperlink" Target="https://www.amazon.sa/s?k=August+Wi-Fi+Smart+Lock" TargetMode="External" Id="rId406" /><Relationship Type="http://schemas.openxmlformats.org/officeDocument/2006/relationships/hyperlink" Target="https://www.noon.com/saudi-en/search/?q=August+Wi-Fi+Smart+Lock" TargetMode="External" Id="rId407" /><Relationship Type="http://schemas.openxmlformats.org/officeDocument/2006/relationships/hyperlink" Target="https://www.jarir.com/sa-en/catalogsearch/result/?q=August+Wi-Fi+Smart+Lock" TargetMode="External" Id="rId408" /><Relationship Type="http://schemas.openxmlformats.org/officeDocument/2006/relationships/hyperlink" Target="https://www.aliexpress.com/w/wholesale-Aqara+Smart+Lock+U200.html" TargetMode="External" Id="rId409" /><Relationship Type="http://schemas.openxmlformats.org/officeDocument/2006/relationships/hyperlink" Target="https://www.amazon.sa/s?k=Aqara+Smart+Lock+U200" TargetMode="External" Id="rId410" /><Relationship Type="http://schemas.openxmlformats.org/officeDocument/2006/relationships/hyperlink" Target="https://www.noon.com/saudi-en/search/?q=Aqara+Smart+Lock+U200" TargetMode="External" Id="rId411" /><Relationship Type="http://schemas.openxmlformats.org/officeDocument/2006/relationships/hyperlink" Target="https://www.jarir.com/sa-en/catalogsearch/result/?q=Aqara+Smart+Lock+U200" TargetMode="External" Id="rId412" /><Relationship Type="http://schemas.openxmlformats.org/officeDocument/2006/relationships/hyperlink" Target="https://www.aliexpress.com/w/wholesale-Yale+Assure+Lock+2+Wi-Fi.html" TargetMode="External" Id="rId413" /><Relationship Type="http://schemas.openxmlformats.org/officeDocument/2006/relationships/hyperlink" Target="https://www.amazon.sa/s?k=Yale+Assure+Lock+2+Wi-Fi" TargetMode="External" Id="rId414" /><Relationship Type="http://schemas.openxmlformats.org/officeDocument/2006/relationships/hyperlink" Target="https://www.noon.com/saudi-en/search/?q=Yale+Assure+Lock+2+Wi-Fi" TargetMode="External" Id="rId415" /><Relationship Type="http://schemas.openxmlformats.org/officeDocument/2006/relationships/hyperlink" Target="https://www.jarir.com/sa-en/catalogsearch/result/?q=Yale+Assure+Lock+2+Wi-Fi" TargetMode="External" Id="rId416" /><Relationship Type="http://schemas.openxmlformats.org/officeDocument/2006/relationships/hyperlink" Target="https://www.aliexpress.com/w/wholesale-Google+Nest+Hub.html" TargetMode="External" Id="rId417" /><Relationship Type="http://schemas.openxmlformats.org/officeDocument/2006/relationships/hyperlink" Target="https://www.amazon.sa/s?k=Google+Nest+Hub" TargetMode="External" Id="rId418" /><Relationship Type="http://schemas.openxmlformats.org/officeDocument/2006/relationships/hyperlink" Target="https://www.noon.com/saudi-en/search/?q=Google+Nest+Hub" TargetMode="External" Id="rId419" /><Relationship Type="http://schemas.openxmlformats.org/officeDocument/2006/relationships/hyperlink" Target="https://www.jarir.com/sa-en/catalogsearch/result/?q=Google+Nest+Hub" TargetMode="External" Id="rId420" /><Relationship Type="http://schemas.openxmlformats.org/officeDocument/2006/relationships/hyperlink" Target="https://www.aliexpress.com/w/wholesale-Amazon+Echo+Show+8.html" TargetMode="External" Id="rId421" /><Relationship Type="http://schemas.openxmlformats.org/officeDocument/2006/relationships/hyperlink" Target="https://www.amazon.sa/s?k=Amazon+Echo+Show+8" TargetMode="External" Id="rId422" /><Relationship Type="http://schemas.openxmlformats.org/officeDocument/2006/relationships/hyperlink" Target="https://www.noon.com/saudi-en/search/?q=Amazon+Echo+Show+8" TargetMode="External" Id="rId423" /><Relationship Type="http://schemas.openxmlformats.org/officeDocument/2006/relationships/hyperlink" Target="https://www.jarir.com/sa-en/catalogsearch/result/?q=Amazon+Echo+Show+8" TargetMode="External" Id="rId424" /><Relationship Type="http://schemas.openxmlformats.org/officeDocument/2006/relationships/hyperlink" Target="https://www.aliexpress.com/w/wholesale-Amazon+Echo+Dot.html" TargetMode="External" Id="rId425" /><Relationship Type="http://schemas.openxmlformats.org/officeDocument/2006/relationships/hyperlink" Target="https://www.amazon.sa/s?k=Amazon+Echo+Dot" TargetMode="External" Id="rId426" /><Relationship Type="http://schemas.openxmlformats.org/officeDocument/2006/relationships/hyperlink" Target="https://www.noon.com/saudi-en/search/?q=Amazon+Echo+Dot" TargetMode="External" Id="rId427" /><Relationship Type="http://schemas.openxmlformats.org/officeDocument/2006/relationships/hyperlink" Target="https://www.jarir.com/sa-en/catalogsearch/result/?q=Amazon+Echo+Dot" TargetMode="External" Id="rId428" /><Relationship Type="http://schemas.openxmlformats.org/officeDocument/2006/relationships/hyperlink" Target="https://www.aliexpress.com/w/wholesale-Google+Nest+Audio.html" TargetMode="External" Id="rId429" /><Relationship Type="http://schemas.openxmlformats.org/officeDocument/2006/relationships/hyperlink" Target="https://www.amazon.sa/s?k=Google+Nest+Audio" TargetMode="External" Id="rId430" /><Relationship Type="http://schemas.openxmlformats.org/officeDocument/2006/relationships/hyperlink" Target="https://www.noon.com/saudi-en/search/?q=Google+Nest+Audio" TargetMode="External" Id="rId431" /><Relationship Type="http://schemas.openxmlformats.org/officeDocument/2006/relationships/hyperlink" Target="https://www.jarir.com/sa-en/catalogsearch/result/?q=Google+Nest+Audio" TargetMode="External" Id="rId432" /><Relationship Type="http://schemas.openxmlformats.org/officeDocument/2006/relationships/hyperlink" Target="https://www.aliexpress.com/w/wholesale-Apple+HomePod+Mini.html" TargetMode="External" Id="rId433" /><Relationship Type="http://schemas.openxmlformats.org/officeDocument/2006/relationships/hyperlink" Target="https://www.amazon.sa/s?k=Apple+HomePod+Mini" TargetMode="External" Id="rId434" /><Relationship Type="http://schemas.openxmlformats.org/officeDocument/2006/relationships/hyperlink" Target="https://www.noon.com/saudi-en/search/?q=Apple+HomePod+Mini" TargetMode="External" Id="rId435" /><Relationship Type="http://schemas.openxmlformats.org/officeDocument/2006/relationships/hyperlink" Target="https://www.jarir.com/sa-en/catalogsearch/result/?q=Apple+HomePod+Mini" TargetMode="External" Id="rId436" /><Relationship Type="http://schemas.openxmlformats.org/officeDocument/2006/relationships/hyperlink" Target="https://www.aliexpress.com/w/wholesale-Amazon+Echo.html" TargetMode="External" Id="rId437" /><Relationship Type="http://schemas.openxmlformats.org/officeDocument/2006/relationships/hyperlink" Target="https://www.amazon.sa/s?k=Amazon+Echo" TargetMode="External" Id="rId438" /><Relationship Type="http://schemas.openxmlformats.org/officeDocument/2006/relationships/hyperlink" Target="https://www.noon.com/saudi-en/search/?q=Amazon+Echo" TargetMode="External" Id="rId439" /><Relationship Type="http://schemas.openxmlformats.org/officeDocument/2006/relationships/hyperlink" Target="https://www.jarir.com/sa-en/catalogsearch/result/?q=Amazon+Echo" TargetMode="External" Id="rId440" /><Relationship Type="http://schemas.openxmlformats.org/officeDocument/2006/relationships/hyperlink" Target="https://www.aliexpress.com/w/wholesale-Eufy+Video+Doorbell+S330.html" TargetMode="External" Id="rId441" /><Relationship Type="http://schemas.openxmlformats.org/officeDocument/2006/relationships/hyperlink" Target="https://www.amazon.sa/s?k=Eufy+Video+Doorbell+S330" TargetMode="External" Id="rId442" /><Relationship Type="http://schemas.openxmlformats.org/officeDocument/2006/relationships/hyperlink" Target="https://www.noon.com/saudi-en/search/?q=Eufy+Video+Doorbell+S330" TargetMode="External" Id="rId443" /><Relationship Type="http://schemas.openxmlformats.org/officeDocument/2006/relationships/hyperlink" Target="https://www.jarir.com/sa-en/catalogsearch/result/?q=Eufy+Video+Doorbell+S330" TargetMode="External" Id="rId444" /><Relationship Type="http://schemas.openxmlformats.org/officeDocument/2006/relationships/hyperlink" Target="https://www.aliexpress.com/w/wholesale-Ajax+Hub+2+Plus.html" TargetMode="External" Id="rId445" /><Relationship Type="http://schemas.openxmlformats.org/officeDocument/2006/relationships/hyperlink" Target="https://www.amazon.sa/s?k=Ajax+Hub+2+Plus" TargetMode="External" Id="rId446" /><Relationship Type="http://schemas.openxmlformats.org/officeDocument/2006/relationships/hyperlink" Target="https://www.noon.com/saudi-en/search/?q=Ajax+Hub+2+Plus" TargetMode="External" Id="rId447" /><Relationship Type="http://schemas.openxmlformats.org/officeDocument/2006/relationships/hyperlink" Target="https://www.jarir.com/sa-en/catalogsearch/result/?q=Ajax+Hub+2+Plus" TargetMode="External" Id="rId448" /><Relationship Type="http://schemas.openxmlformats.org/officeDocument/2006/relationships/hyperlink" Target="https://www.aliexpress.com/w/wholesale-Reolink+16-Channel+PoE+NVR.html" TargetMode="External" Id="rId449" /><Relationship Type="http://schemas.openxmlformats.org/officeDocument/2006/relationships/hyperlink" Target="https://www.amazon.sa/s?k=Reolink+16-Channel+PoE+NVR" TargetMode="External" Id="rId450" /><Relationship Type="http://schemas.openxmlformats.org/officeDocument/2006/relationships/hyperlink" Target="https://www.noon.com/saudi-en/search/?q=Reolink+16-Channel+PoE+NVR" TargetMode="External" Id="rId451" /><Relationship Type="http://schemas.openxmlformats.org/officeDocument/2006/relationships/hyperlink" Target="https://www.jarir.com/sa-en/catalogsearch/result/?q=Reolink+16-Channel+PoE+NVR" TargetMode="External" Id="rId452" /><Relationship Type="http://schemas.openxmlformats.org/officeDocument/2006/relationships/hyperlink" Target="https://www.aliexpress.com/w/wholesale-Ubiquiti+UniFi+Protect+G4+Doorbell+Pro.html" TargetMode="External" Id="rId453" /><Relationship Type="http://schemas.openxmlformats.org/officeDocument/2006/relationships/hyperlink" Target="https://www.amazon.sa/s?k=Ubiquiti+UniFi+Protect+G4+Doorbell+Pro" TargetMode="External" Id="rId454" /><Relationship Type="http://schemas.openxmlformats.org/officeDocument/2006/relationships/hyperlink" Target="https://www.noon.com/saudi-en/search/?q=Ubiquiti+UniFi+Protect+G4+Doorbell+Pro" TargetMode="External" Id="rId455" /><Relationship Type="http://schemas.openxmlformats.org/officeDocument/2006/relationships/hyperlink" Target="https://www.jarir.com/sa-en/catalogsearch/result/?q=Ubiquiti+UniFi+Protect+G4+Doorbell+Pro" TargetMode="External" Id="rId456" /><Relationship Type="http://schemas.openxmlformats.org/officeDocument/2006/relationships/hyperlink" Target="https://www.aliexpress.com/w/wholesale-Hikvision+DS-2CD2143G2-I.html" TargetMode="External" Id="rId457" /><Relationship Type="http://schemas.openxmlformats.org/officeDocument/2006/relationships/hyperlink" Target="https://www.amazon.sa/s?k=Hikvision+DS-2CD2143G2-I" TargetMode="External" Id="rId458" /><Relationship Type="http://schemas.openxmlformats.org/officeDocument/2006/relationships/hyperlink" Target="https://www.noon.com/saudi-en/search/?q=Hikvision+DS-2CD2143G2-I" TargetMode="External" Id="rId459" /><Relationship Type="http://schemas.openxmlformats.org/officeDocument/2006/relationships/hyperlink" Target="https://www.jarir.com/sa-en/catalogsearch/result/?q=Hikvision+DS-2CD2143G2-I" TargetMode="External" Id="rId460" /><Relationship Type="http://schemas.openxmlformats.org/officeDocument/2006/relationships/hyperlink" Target="https://www.aliexpress.com/w/wholesale-Reolink+Argus+4+Pro.html" TargetMode="External" Id="rId461" /><Relationship Type="http://schemas.openxmlformats.org/officeDocument/2006/relationships/hyperlink" Target="https://www.amazon.sa/s?k=Reolink+Argus+4+Pro" TargetMode="External" Id="rId462" /><Relationship Type="http://schemas.openxmlformats.org/officeDocument/2006/relationships/hyperlink" Target="https://www.noon.com/saudi-en/search/?q=Reolink+Argus+4+Pro" TargetMode="External" Id="rId463" /><Relationship Type="http://schemas.openxmlformats.org/officeDocument/2006/relationships/hyperlink" Target="https://www.jarir.com/sa-en/catalogsearch/result/?q=Reolink+Argus+4+Pro" TargetMode="External" Id="rId464" /><Relationship Type="http://schemas.openxmlformats.org/officeDocument/2006/relationships/hyperlink" Target="https://www.aliexpress.com/w/wholesale-Reolink+RLC-810A.html" TargetMode="External" Id="rId465" /><Relationship Type="http://schemas.openxmlformats.org/officeDocument/2006/relationships/hyperlink" Target="https://www.amazon.sa/s?k=Reolink+RLC-810A" TargetMode="External" Id="rId466" /><Relationship Type="http://schemas.openxmlformats.org/officeDocument/2006/relationships/hyperlink" Target="https://www.noon.com/saudi-en/search/?q=Reolink+RLC-810A" TargetMode="External" Id="rId467" /><Relationship Type="http://schemas.openxmlformats.org/officeDocument/2006/relationships/hyperlink" Target="https://www.jarir.com/sa-en/catalogsearch/result/?q=Reolink+RLC-810A" TargetMode="External" Id="rId468" /><Relationship Type="http://schemas.openxmlformats.org/officeDocument/2006/relationships/hyperlink" Target="https://www.aliexpress.com/w/wholesale-DJI+Pocket+3.html" TargetMode="External" Id="rId469" /><Relationship Type="http://schemas.openxmlformats.org/officeDocument/2006/relationships/hyperlink" Target="https://www.amazon.sa/s?k=DJI+Pocket+3" TargetMode="External" Id="rId470" /><Relationship Type="http://schemas.openxmlformats.org/officeDocument/2006/relationships/hyperlink" Target="https://www.noon.com/saudi-en/search/?q=DJI+Pocket+3" TargetMode="External" Id="rId471" /><Relationship Type="http://schemas.openxmlformats.org/officeDocument/2006/relationships/hyperlink" Target="https://www.jarir.com/sa-en/catalogsearch/result/?q=DJI+Pocket+3" TargetMode="External" Id="rId472" /><Relationship Type="http://schemas.openxmlformats.org/officeDocument/2006/relationships/hyperlink" Target="https://www.aliexpress.com/w/wholesale-Roborock+S8+MaxV+Ultra.html" TargetMode="External" Id="rId473" /><Relationship Type="http://schemas.openxmlformats.org/officeDocument/2006/relationships/hyperlink" Target="https://www.amazon.sa/s?k=Roborock+S8+MaxV+Ultra" TargetMode="External" Id="rId474" /><Relationship Type="http://schemas.openxmlformats.org/officeDocument/2006/relationships/hyperlink" Target="https://www.noon.com/saudi-en/search/?q=Roborock+S8+MaxV+Ultra" TargetMode="External" Id="rId475" /><Relationship Type="http://schemas.openxmlformats.org/officeDocument/2006/relationships/hyperlink" Target="https://www.jarir.com/sa-en/catalogsearch/result/?q=Roborock+S8+MaxV+Ultra" TargetMode="External" Id="rId476" /><Relationship Type="http://schemas.openxmlformats.org/officeDocument/2006/relationships/hyperlink" Target="https://www.aliexpress.com/w/wholesale-FIMI+X8+Mini+V2.html" TargetMode="External" Id="rId477" /><Relationship Type="http://schemas.openxmlformats.org/officeDocument/2006/relationships/hyperlink" Target="https://www.amazon.sa/s?k=FIMI+X8+Mini+V2" TargetMode="External" Id="rId478" /><Relationship Type="http://schemas.openxmlformats.org/officeDocument/2006/relationships/hyperlink" Target="https://www.noon.com/saudi-en/search/?q=FIMI+X8+Mini+V2" TargetMode="External" Id="rId479" /><Relationship Type="http://schemas.openxmlformats.org/officeDocument/2006/relationships/hyperlink" Target="https://www.jarir.com/sa-en/catalogsearch/result/?q=FIMI+X8+Mini+V2" TargetMode="External" Id="rId480" /><Relationship Type="http://schemas.openxmlformats.org/officeDocument/2006/relationships/hyperlink" Target="https://www.aliexpress.com/w/wholesale-Insta360+X4.html" TargetMode="External" Id="rId481" /><Relationship Type="http://schemas.openxmlformats.org/officeDocument/2006/relationships/hyperlink" Target="https://www.amazon.sa/s?k=Insta360+X4" TargetMode="External" Id="rId482" /><Relationship Type="http://schemas.openxmlformats.org/officeDocument/2006/relationships/hyperlink" Target="https://www.noon.com/saudi-en/search/?q=Insta360+X4" TargetMode="External" Id="rId483" /><Relationship Type="http://schemas.openxmlformats.org/officeDocument/2006/relationships/hyperlink" Target="https://www.jarir.com/sa-en/catalogsearch/result/?q=Insta360+X4" TargetMode="External" Id="rId484" /><Relationship Type="http://schemas.openxmlformats.org/officeDocument/2006/relationships/hyperlink" Target="https://www.aliexpress.com/w/wholesale-DJI+RS+4.html" TargetMode="External" Id="rId485" /><Relationship Type="http://schemas.openxmlformats.org/officeDocument/2006/relationships/hyperlink" Target="https://www.amazon.sa/s?k=DJI+RS+4" TargetMode="External" Id="rId486" /><Relationship Type="http://schemas.openxmlformats.org/officeDocument/2006/relationships/hyperlink" Target="https://www.noon.com/saudi-en/search/?q=DJI+RS+4" TargetMode="External" Id="rId487" /><Relationship Type="http://schemas.openxmlformats.org/officeDocument/2006/relationships/hyperlink" Target="https://www.jarir.com/sa-en/catalogsearch/result/?q=DJI+RS+4" TargetMode="External" Id="rId488" /><Relationship Type="http://schemas.openxmlformats.org/officeDocument/2006/relationships/hyperlink" Target="https://www.aliexpress.com/w/wholesale-DJI+Osmo+Action+5+Pro.html" TargetMode="External" Id="rId489" /><Relationship Type="http://schemas.openxmlformats.org/officeDocument/2006/relationships/hyperlink" Target="https://www.amazon.sa/s?k=DJI+Osmo+Action+5+Pro" TargetMode="External" Id="rId490" /><Relationship Type="http://schemas.openxmlformats.org/officeDocument/2006/relationships/hyperlink" Target="https://www.noon.com/saudi-en/search/?q=DJI+Osmo+Action+5+Pro" TargetMode="External" Id="rId491" /><Relationship Type="http://schemas.openxmlformats.org/officeDocument/2006/relationships/hyperlink" Target="https://www.jarir.com/sa-en/catalogsearch/result/?q=DJI+Osmo+Action+5+Pro" TargetMode="External" Id="rId492" /><Relationship Type="http://schemas.openxmlformats.org/officeDocument/2006/relationships/hyperlink" Target="https://www.aliexpress.com/w/wholesale-DJI+Avata+2.html" TargetMode="External" Id="rId493" /><Relationship Type="http://schemas.openxmlformats.org/officeDocument/2006/relationships/hyperlink" Target="https://www.amazon.sa/s?k=DJI+Avata+2" TargetMode="External" Id="rId494" /><Relationship Type="http://schemas.openxmlformats.org/officeDocument/2006/relationships/hyperlink" Target="https://www.noon.com/saudi-en/search/?q=DJI+Avata+2" TargetMode="External" Id="rId495" /><Relationship Type="http://schemas.openxmlformats.org/officeDocument/2006/relationships/hyperlink" Target="https://www.jarir.com/sa-en/catalogsearch/result/?q=DJI+Avata+2" TargetMode="External" Id="rId496" /><Relationship Type="http://schemas.openxmlformats.org/officeDocument/2006/relationships/hyperlink" Target="https://www.aliexpress.com/w/wholesale-DJI+Mini+4+Pro.html" TargetMode="External" Id="rId497" /><Relationship Type="http://schemas.openxmlformats.org/officeDocument/2006/relationships/hyperlink" Target="https://www.amazon.sa/s?k=DJI+Mini+4+Pro" TargetMode="External" Id="rId498" /><Relationship Type="http://schemas.openxmlformats.org/officeDocument/2006/relationships/hyperlink" Target="https://www.noon.com/saudi-en/search/?q=DJI+Mini+4+Pro" TargetMode="External" Id="rId499" /><Relationship Type="http://schemas.openxmlformats.org/officeDocument/2006/relationships/hyperlink" Target="https://www.jarir.com/sa-en/catalogsearch/result/?q=DJI+Mini+4+Pro" TargetMode="External" Id="rId500" /><Relationship Type="http://schemas.openxmlformats.org/officeDocument/2006/relationships/hyperlink" Target="https://www.aliexpress.com/w/wholesale-HDMI+2.1+8K+Fiber+Optic+Cable.html" TargetMode="External" Id="rId501" /><Relationship Type="http://schemas.openxmlformats.org/officeDocument/2006/relationships/hyperlink" Target="https://www.amazon.sa/s?k=HDMI+2.1+8K+Fiber+Optic+Cable" TargetMode="External" Id="rId502" /><Relationship Type="http://schemas.openxmlformats.org/officeDocument/2006/relationships/hyperlink" Target="https://www.noon.com/saudi-en/search/?q=HDMI+2.1+8K+Fiber+Optic+Cable" TargetMode="External" Id="rId503" /><Relationship Type="http://schemas.openxmlformats.org/officeDocument/2006/relationships/hyperlink" Target="https://www.jarir.com/sa-en/catalogsearch/result/?q=HDMI+2.1+8K+Fiber+Optic+Cable" TargetMode="External" Id="rId504" /><Relationship Type="http://schemas.openxmlformats.org/officeDocument/2006/relationships/hyperlink" Target="https://www.aliexpress.com/w/wholesale-DAC+SFP%2B+10G+Direct+Attach+Cable.html" TargetMode="External" Id="rId505" /><Relationship Type="http://schemas.openxmlformats.org/officeDocument/2006/relationships/hyperlink" Target="https://www.amazon.sa/s?k=DAC+SFP%2B+10G+Direct+Attach+Cable" TargetMode="External" Id="rId506" /><Relationship Type="http://schemas.openxmlformats.org/officeDocument/2006/relationships/hyperlink" Target="https://www.noon.com/saudi-en/search/?q=DAC+SFP%2B+10G+Direct+Attach+Cable" TargetMode="External" Id="rId507" /><Relationship Type="http://schemas.openxmlformats.org/officeDocument/2006/relationships/hyperlink" Target="https://www.jarir.com/sa-en/catalogsearch/result/?q=DAC+SFP%2B+10G+Direct+Attach+Cable" TargetMode="External" Id="rId508" /><Relationship Type="http://schemas.openxmlformats.org/officeDocument/2006/relationships/hyperlink" Target="https://www.aliexpress.com/w/wholesale-Ugreen+5-in-1+USB-C+Dock.html" TargetMode="External" Id="rId509" /><Relationship Type="http://schemas.openxmlformats.org/officeDocument/2006/relationships/hyperlink" Target="https://www.amazon.sa/s?k=Ugreen+5-in-1+USB-C+Dock" TargetMode="External" Id="rId510" /><Relationship Type="http://schemas.openxmlformats.org/officeDocument/2006/relationships/hyperlink" Target="https://www.noon.com/saudi-en/search/?q=Ugreen+5-in-1+USB-C+Dock" TargetMode="External" Id="rId511" /><Relationship Type="http://schemas.openxmlformats.org/officeDocument/2006/relationships/hyperlink" Target="https://www.jarir.com/sa-en/catalogsearch/result/?q=Ugreen+5-in-1+USB-C+Dock" TargetMode="External" Id="rId512" /><Relationship Type="http://schemas.openxmlformats.org/officeDocument/2006/relationships/hyperlink" Target="https://www.aliexpress.com/w/wholesale-Baseus+USB-C+100W+Charging+Cable.html" TargetMode="External" Id="rId513" /><Relationship Type="http://schemas.openxmlformats.org/officeDocument/2006/relationships/hyperlink" Target="https://www.amazon.sa/s?k=Baseus+USB-C+100W+Charging+Cable" TargetMode="External" Id="rId514" /><Relationship Type="http://schemas.openxmlformats.org/officeDocument/2006/relationships/hyperlink" Target="https://www.noon.com/saudi-en/search/?q=Baseus+USB-C+100W+Charging+Cable" TargetMode="External" Id="rId515" /><Relationship Type="http://schemas.openxmlformats.org/officeDocument/2006/relationships/hyperlink" Target="https://www.jarir.com/sa-en/catalogsearch/result/?q=Baseus+USB-C+100W+Charging+Cable" TargetMode="External" Id="rId516" /><Relationship Type="http://schemas.openxmlformats.org/officeDocument/2006/relationships/hyperlink" Target="https://www.aliexpress.com/w/wholesale-Ugreen+Cat+8+Ethernet+Cable.html" TargetMode="External" Id="rId517" /><Relationship Type="http://schemas.openxmlformats.org/officeDocument/2006/relationships/hyperlink" Target="https://www.amazon.sa/s?k=Ugreen+Cat+8+Ethernet+Cable" TargetMode="External" Id="rId518" /><Relationship Type="http://schemas.openxmlformats.org/officeDocument/2006/relationships/hyperlink" Target="https://www.noon.com/saudi-en/search/?q=Ugreen+Cat+8+Ethernet+Cable" TargetMode="External" Id="rId519" /><Relationship Type="http://schemas.openxmlformats.org/officeDocument/2006/relationships/hyperlink" Target="https://www.jarir.com/sa-en/catalogsearch/result/?q=Ugreen+Cat+8+Ethernet+Cable" TargetMode="External" Id="rId520" /><Relationship Type="http://schemas.openxmlformats.org/officeDocument/2006/relationships/hyperlink" Target="https://www.aliexpress.com/w/wholesale-Cable+Matters+Thunderbolt+4+Cable.html" TargetMode="External" Id="rId521" /><Relationship Type="http://schemas.openxmlformats.org/officeDocument/2006/relationships/hyperlink" Target="https://www.amazon.sa/s?k=Cable+Matters+Thunderbolt+4+Cable" TargetMode="External" Id="rId522" /><Relationship Type="http://schemas.openxmlformats.org/officeDocument/2006/relationships/hyperlink" Target="https://www.noon.com/saudi-en/search/?q=Cable+Matters+Thunderbolt+4+Cable" TargetMode="External" Id="rId523" /><Relationship Type="http://schemas.openxmlformats.org/officeDocument/2006/relationships/hyperlink" Target="https://www.jarir.com/sa-en/catalogsearch/result/?q=Cable+Matters+Thunderbolt+4+Cable" TargetMode="External" Id="rId524" /><Relationship Type="http://schemas.openxmlformats.org/officeDocument/2006/relationships/hyperlink" Target="https://www.aliexpress.com/w/wholesale-Anker+USB-C+Hub+7-in-1.html" TargetMode="External" Id="rId525" /><Relationship Type="http://schemas.openxmlformats.org/officeDocument/2006/relationships/hyperlink" Target="https://www.amazon.sa/s?k=Anker+USB-C+Hub+7-in-1" TargetMode="External" Id="rId526" /><Relationship Type="http://schemas.openxmlformats.org/officeDocument/2006/relationships/hyperlink" Target="https://www.noon.com/saudi-en/search/?q=Anker+USB-C+Hub+7-in-1" TargetMode="External" Id="rId527" /><Relationship Type="http://schemas.openxmlformats.org/officeDocument/2006/relationships/hyperlink" Target="https://www.jarir.com/sa-en/catalogsearch/result/?q=Anker+USB-C+Hub+7-in-1" TargetMode="External" Id="rId528" /><Relationship Type="http://schemas.openxmlformats.org/officeDocument/2006/relationships/hyperlink" Target="https://www.aliexpress.com/w/wholesale-Ugreen+USB-C+to+HDMI+2.1+Cable.html" TargetMode="External" Id="rId529" /><Relationship Type="http://schemas.openxmlformats.org/officeDocument/2006/relationships/hyperlink" Target="https://www.amazon.sa/s?k=Ugreen+USB-C+to+HDMI+2.1+Cable" TargetMode="External" Id="rId530" /><Relationship Type="http://schemas.openxmlformats.org/officeDocument/2006/relationships/hyperlink" Target="https://www.noon.com/saudi-en/search/?q=Ugreen+USB-C+to+HDMI+2.1+Cable" TargetMode="External" Id="rId531" /><Relationship Type="http://schemas.openxmlformats.org/officeDocument/2006/relationships/hyperlink" Target="https://www.jarir.com/sa-en/catalogsearch/result/?q=Ugreen+USB-C+to+HDMI+2.1+Cable" TargetMode="External" Id="rId532" /><Relationship Type="http://schemas.openxmlformats.org/officeDocument/2006/relationships/hyperlink" Target="https://www.aliexpress.com/w/wholesale-Phrozen+Sonic+Mini+8K+S.html" TargetMode="External" Id="rId533" /><Relationship Type="http://schemas.openxmlformats.org/officeDocument/2006/relationships/hyperlink" Target="https://www.amazon.sa/s?k=Phrozen+Sonic+Mini+8K+S" TargetMode="External" Id="rId534" /><Relationship Type="http://schemas.openxmlformats.org/officeDocument/2006/relationships/hyperlink" Target="https://www.noon.com/saudi-en/search/?q=Phrozen+Sonic+Mini+8K+S" TargetMode="External" Id="rId535" /><Relationship Type="http://schemas.openxmlformats.org/officeDocument/2006/relationships/hyperlink" Target="https://www.jarir.com/sa-en/catalogsearch/result/?q=Phrozen+Sonic+Mini+8K+S" TargetMode="External" Id="rId536" /><Relationship Type="http://schemas.openxmlformats.org/officeDocument/2006/relationships/hyperlink" Target="https://www.aliexpress.com/w/wholesale-Creality+Sonic+Pad.html" TargetMode="External" Id="rId537" /><Relationship Type="http://schemas.openxmlformats.org/officeDocument/2006/relationships/hyperlink" Target="https://www.amazon.sa/s?k=Creality+Sonic+Pad" TargetMode="External" Id="rId538" /><Relationship Type="http://schemas.openxmlformats.org/officeDocument/2006/relationships/hyperlink" Target="https://www.noon.com/saudi-en/search/?q=Creality+Sonic+Pad" TargetMode="External" Id="rId539" /><Relationship Type="http://schemas.openxmlformats.org/officeDocument/2006/relationships/hyperlink" Target="https://www.jarir.com/sa-en/catalogsearch/result/?q=Creality+Sonic+Pad" TargetMode="External" Id="rId540" /><Relationship Type="http://schemas.openxmlformats.org/officeDocument/2006/relationships/hyperlink" Target="https://www.aliexpress.com/w/wholesale-BIQU+H2+V2S+Direct+Drive+Extruder.html" TargetMode="External" Id="rId541" /><Relationship Type="http://schemas.openxmlformats.org/officeDocument/2006/relationships/hyperlink" Target="https://www.amazon.sa/s?k=BIQU+H2+V2S+Direct+Drive+Extruder" TargetMode="External" Id="rId542" /><Relationship Type="http://schemas.openxmlformats.org/officeDocument/2006/relationships/hyperlink" Target="https://www.noon.com/saudi-en/search/?q=BIQU+H2+V2S+Direct+Drive+Extruder" TargetMode="External" Id="rId543" /><Relationship Type="http://schemas.openxmlformats.org/officeDocument/2006/relationships/hyperlink" Target="https://www.jarir.com/sa-en/catalogsearch/result/?q=BIQU+H2+V2S+Direct+Drive+Extruder" TargetMode="External" Id="rId544" /><Relationship Type="http://schemas.openxmlformats.org/officeDocument/2006/relationships/hyperlink" Target="https://www.aliexpress.com/w/wholesale-Elegoo+Saturn+3+Ultra.html" TargetMode="External" Id="rId545" /><Relationship Type="http://schemas.openxmlformats.org/officeDocument/2006/relationships/hyperlink" Target="https://www.amazon.sa/s?k=Elegoo+Saturn+3+Ultra" TargetMode="External" Id="rId546" /><Relationship Type="http://schemas.openxmlformats.org/officeDocument/2006/relationships/hyperlink" Target="https://www.noon.com/saudi-en/search/?q=Elegoo+Saturn+3+Ultra" TargetMode="External" Id="rId547" /><Relationship Type="http://schemas.openxmlformats.org/officeDocument/2006/relationships/hyperlink" Target="https://www.jarir.com/sa-en/catalogsearch/result/?q=Elegoo+Saturn+3+Ultra" TargetMode="External" Id="rId548" /><Relationship Type="http://schemas.openxmlformats.org/officeDocument/2006/relationships/hyperlink" Target="https://www.aliexpress.com/w/wholesale-eSUN+PLA%2B+Filament+10-Color+Pack.html" TargetMode="External" Id="rId549" /><Relationship Type="http://schemas.openxmlformats.org/officeDocument/2006/relationships/hyperlink" Target="https://www.amazon.sa/s?k=eSUN+PLA%2B+Filament+10-Color+Pack" TargetMode="External" Id="rId550" /><Relationship Type="http://schemas.openxmlformats.org/officeDocument/2006/relationships/hyperlink" Target="https://www.noon.com/saudi-en/search/?q=eSUN+PLA%2B+Filament+10-Color+Pack" TargetMode="External" Id="rId551" /><Relationship Type="http://schemas.openxmlformats.org/officeDocument/2006/relationships/hyperlink" Target="https://www.jarir.com/sa-en/catalogsearch/result/?q=eSUN+PLA%2B+Filament+10-Color+Pack" TargetMode="External" Id="rId552" /><Relationship Type="http://schemas.openxmlformats.org/officeDocument/2006/relationships/hyperlink" Target="https://www.aliexpress.com/w/wholesale-Creality+K1+Max.html" TargetMode="External" Id="rId553" /><Relationship Type="http://schemas.openxmlformats.org/officeDocument/2006/relationships/hyperlink" Target="https://www.amazon.sa/s?k=Creality+K1+Max" TargetMode="External" Id="rId554" /><Relationship Type="http://schemas.openxmlformats.org/officeDocument/2006/relationships/hyperlink" Target="https://www.noon.com/saudi-en/search/?q=Creality+K1+Max" TargetMode="External" Id="rId555" /><Relationship Type="http://schemas.openxmlformats.org/officeDocument/2006/relationships/hyperlink" Target="https://www.jarir.com/sa-en/catalogsearch/result/?q=Creality+K1+Max" TargetMode="External" Id="rId556" /><Relationship Type="http://schemas.openxmlformats.org/officeDocument/2006/relationships/hyperlink" Target="https://www.aliexpress.com/w/wholesale-Bambu+Lab+AMS.html" TargetMode="External" Id="rId557" /><Relationship Type="http://schemas.openxmlformats.org/officeDocument/2006/relationships/hyperlink" Target="https://www.amazon.sa/s?k=Bambu+Lab+AMS" TargetMode="External" Id="rId558" /><Relationship Type="http://schemas.openxmlformats.org/officeDocument/2006/relationships/hyperlink" Target="https://www.noon.com/saudi-en/search/?q=Bambu+Lab+AMS" TargetMode="External" Id="rId559" /><Relationship Type="http://schemas.openxmlformats.org/officeDocument/2006/relationships/hyperlink" Target="https://www.jarir.com/sa-en/catalogsearch/result/?q=Bambu+Lab+AMS" TargetMode="External" Id="rId560" /><Relationship Type="http://schemas.openxmlformats.org/officeDocument/2006/relationships/hyperlink" Target="https://www.aliexpress.com/w/wholesale-Bambu+Lab+P1S+3D+Printer.html" TargetMode="External" Id="rId561" /><Relationship Type="http://schemas.openxmlformats.org/officeDocument/2006/relationships/hyperlink" Target="https://www.amazon.sa/s?k=Bambu+Lab+P1S+3D+Printer" TargetMode="External" Id="rId562" /><Relationship Type="http://schemas.openxmlformats.org/officeDocument/2006/relationships/hyperlink" Target="https://www.noon.com/saudi-en/search/?q=Bambu+Lab+P1S+3D+Printer" TargetMode="External" Id="rId563" /><Relationship Type="http://schemas.openxmlformats.org/officeDocument/2006/relationships/hyperlink" Target="https://www.jarir.com/sa-en/catalogsearch/result/?q=Bambu+Lab+P1S+3D+Printer" TargetMode="External" Id="rId564" /><Relationship Type="http://schemas.openxmlformats.org/officeDocument/2006/relationships/hyperlink" Target="https://www.aliexpress.com/w/wholesale-WD+Red+Plus+8TB+NAS+Hard+Drive.html" TargetMode="External" Id="rId565" /><Relationship Type="http://schemas.openxmlformats.org/officeDocument/2006/relationships/hyperlink" Target="https://www.amazon.sa/s?k=WD+Red+Plus+8TB+NAS+Hard+Drive" TargetMode="External" Id="rId566" /><Relationship Type="http://schemas.openxmlformats.org/officeDocument/2006/relationships/hyperlink" Target="https://www.noon.com/saudi-en/search/?q=WD+Red+Plus+8TB+NAS+Hard+Drive" TargetMode="External" Id="rId567" /><Relationship Type="http://schemas.openxmlformats.org/officeDocument/2006/relationships/hyperlink" Target="https://www.jarir.com/sa-en/catalogsearch/result/?q=WD+Red+Plus+8TB+NAS+Hard+Drive" TargetMode="External" Id="rId568" /><Relationship Type="http://schemas.openxmlformats.org/officeDocument/2006/relationships/hyperlink" Target="https://www.aliexpress.com/w/wholesale-Ugreen+Nexode+100W+GaN+Charger.html" TargetMode="External" Id="rId569" /><Relationship Type="http://schemas.openxmlformats.org/officeDocument/2006/relationships/hyperlink" Target="https://www.amazon.sa/s?k=Ugreen+Nexode+100W+GaN+Charger" TargetMode="External" Id="rId570" /><Relationship Type="http://schemas.openxmlformats.org/officeDocument/2006/relationships/hyperlink" Target="https://www.noon.com/saudi-en/search/?q=Ugreen+Nexode+100W+GaN+Charger" TargetMode="External" Id="rId571" /><Relationship Type="http://schemas.openxmlformats.org/officeDocument/2006/relationships/hyperlink" Target="https://www.jarir.com/sa-en/catalogsearch/result/?q=Ugreen+Nexode+100W+GaN+Charger" TargetMode="External" Id="rId572" /><Relationship Type="http://schemas.openxmlformats.org/officeDocument/2006/relationships/hyperlink" Target="https://www.aliexpress.com/w/wholesale-CalDigit+TS4+Thunderbolt+4+Dock.html" TargetMode="External" Id="rId573" /><Relationship Type="http://schemas.openxmlformats.org/officeDocument/2006/relationships/hyperlink" Target="https://www.amazon.sa/s?k=CalDigit+TS4+Thunderbolt+4+Dock" TargetMode="External" Id="rId574" /><Relationship Type="http://schemas.openxmlformats.org/officeDocument/2006/relationships/hyperlink" Target="https://www.noon.com/saudi-en/search/?q=CalDigit+TS4+Thunderbolt+4+Dock" TargetMode="External" Id="rId575" /><Relationship Type="http://schemas.openxmlformats.org/officeDocument/2006/relationships/hyperlink" Target="https://www.jarir.com/sa-en/catalogsearch/result/?q=CalDigit+TS4+Thunderbolt+4+Dock" TargetMode="External" Id="rId576" /><Relationship Type="http://schemas.openxmlformats.org/officeDocument/2006/relationships/hyperlink" Target="https://www.aliexpress.com/w/wholesale-Anker+PowerConf+S330+USB+Speakerphone.html" TargetMode="External" Id="rId577" /><Relationship Type="http://schemas.openxmlformats.org/officeDocument/2006/relationships/hyperlink" Target="https://www.amazon.sa/s?k=Anker+PowerConf+S330+USB+Speakerphone" TargetMode="External" Id="rId578" /><Relationship Type="http://schemas.openxmlformats.org/officeDocument/2006/relationships/hyperlink" Target="https://www.noon.com/saudi-en/search/?q=Anker+PowerConf+S330+USB+Speakerphone" TargetMode="External" Id="rId579" /><Relationship Type="http://schemas.openxmlformats.org/officeDocument/2006/relationships/hyperlink" Target="https://www.jarir.com/sa-en/catalogsearch/result/?q=Anker+PowerConf+S330+USB+Speakerphone" TargetMode="External" Id="rId580" /><Relationship Type="http://schemas.openxmlformats.org/officeDocument/2006/relationships/hyperlink" Target="https://www.aliexpress.com/w/wholesale-Samsung+T7+Shield+2TB+Portable+SSD.html" TargetMode="External" Id="rId581" /><Relationship Type="http://schemas.openxmlformats.org/officeDocument/2006/relationships/hyperlink" Target="https://www.amazon.sa/s?k=Samsung+T7+Shield+2TB+Portable+SSD" TargetMode="External" Id="rId582" /><Relationship Type="http://schemas.openxmlformats.org/officeDocument/2006/relationships/hyperlink" Target="https://www.noon.com/saudi-en/search/?q=Samsung+T7+Shield+2TB+Portable+SSD" TargetMode="External" Id="rId583" /><Relationship Type="http://schemas.openxmlformats.org/officeDocument/2006/relationships/hyperlink" Target="https://www.jarir.com/sa-en/catalogsearch/result/?q=Samsung+T7+Shield+2TB+Portable+SSD" TargetMode="External" Id="rId584" /><Relationship Type="http://schemas.openxmlformats.org/officeDocument/2006/relationships/hyperlink" Target="https://www.aliexpress.com/w/wholesale-Elegoo+Mars+4+Ultra+Resin+3D+Printer.html" TargetMode="External" Id="rId585" /><Relationship Type="http://schemas.openxmlformats.org/officeDocument/2006/relationships/hyperlink" Target="https://www.amazon.sa/s?k=Elegoo+Mars+4+Ultra+Resin+3D+Printer" TargetMode="External" Id="rId586" /><Relationship Type="http://schemas.openxmlformats.org/officeDocument/2006/relationships/hyperlink" Target="https://www.noon.com/saudi-en/search/?q=Elegoo+Mars+4+Ultra+Resin+3D+Printer" TargetMode="External" Id="rId587" /><Relationship Type="http://schemas.openxmlformats.org/officeDocument/2006/relationships/hyperlink" Target="https://www.jarir.com/sa-en/catalogsearch/result/?q=Elegoo+Mars+4+Ultra+Resin+3D+Printer" TargetMode="External" Id="rId588" /><Relationship Type="http://schemas.openxmlformats.org/officeDocument/2006/relationships/hyperlink" Target="https://www.aliexpress.com/w/wholesale-ESP32-S3+DevKit+10-Pack.html" TargetMode="External" Id="rId589" /><Relationship Type="http://schemas.openxmlformats.org/officeDocument/2006/relationships/hyperlink" Target="https://www.amazon.sa/s?k=ESP32-S3+DevKit+10-Pack" TargetMode="External" Id="rId590" /><Relationship Type="http://schemas.openxmlformats.org/officeDocument/2006/relationships/hyperlink" Target="https://www.noon.com/saudi-en/search/?q=ESP32-S3+DevKit+10-Pack" TargetMode="External" Id="rId591" /><Relationship Type="http://schemas.openxmlformats.org/officeDocument/2006/relationships/hyperlink" Target="https://www.jarir.com/sa-en/catalogsearch/result/?q=ESP32-S3+DevKit+10-Pack" TargetMode="External" Id="rId592" /><Relationship Type="http://schemas.openxmlformats.org/officeDocument/2006/relationships/hyperlink" Target="https://www.aliexpress.com/w/wholesale-Creality+Ender-3+V3+SE.html" TargetMode="External" Id="rId593" /><Relationship Type="http://schemas.openxmlformats.org/officeDocument/2006/relationships/hyperlink" Target="https://www.amazon.sa/s?k=Creality+Ender-3+V3+SE" TargetMode="External" Id="rId594" /><Relationship Type="http://schemas.openxmlformats.org/officeDocument/2006/relationships/hyperlink" Target="https://www.noon.com/saudi-en/search/?q=Creality+Ender-3+V3+SE" TargetMode="External" Id="rId595" /><Relationship Type="http://schemas.openxmlformats.org/officeDocument/2006/relationships/hyperlink" Target="https://www.jarir.com/sa-en/catalogsearch/result/?q=Creality+Ender-3+V3+SE" TargetMode="External" Id="rId596" /><Relationship Type="http://schemas.openxmlformats.org/officeDocument/2006/relationships/hyperlink" Target="https://www.aliexpress.com/w/wholesale-Prusa+Mini%2B+3D+Printer.html" TargetMode="External" Id="rId597" /><Relationship Type="http://schemas.openxmlformats.org/officeDocument/2006/relationships/hyperlink" Target="https://www.amazon.sa/s?k=Prusa+Mini%2B+3D+Printer" TargetMode="External" Id="rId598" /><Relationship Type="http://schemas.openxmlformats.org/officeDocument/2006/relationships/hyperlink" Target="https://www.noon.com/saudi-en/search/?q=Prusa+Mini%2B+3D+Printer" TargetMode="External" Id="rId599" /><Relationship Type="http://schemas.openxmlformats.org/officeDocument/2006/relationships/hyperlink" Target="https://www.jarir.com/sa-en/catalogsearch/result/?q=Prusa+Mini%2B+3D+Printer" TargetMode="External" Id="rId600" /><Relationship Type="http://schemas.openxmlformats.org/officeDocument/2006/relationships/hyperlink" Target="https://www.aliexpress.com/w/wholesale-Arduino+Mega+2560+Rev3.html" TargetMode="External" Id="rId601" /><Relationship Type="http://schemas.openxmlformats.org/officeDocument/2006/relationships/hyperlink" Target="https://www.amazon.sa/s?k=Arduino+Mega+2560+Rev3" TargetMode="External" Id="rId602" /><Relationship Type="http://schemas.openxmlformats.org/officeDocument/2006/relationships/hyperlink" Target="https://www.noon.com/saudi-en/search/?q=Arduino+Mega+2560+Rev3" TargetMode="External" Id="rId603" /><Relationship Type="http://schemas.openxmlformats.org/officeDocument/2006/relationships/hyperlink" Target="https://www.jarir.com/sa-en/catalogsearch/result/?q=Arduino+Mega+2560+Rev3" TargetMode="External" Id="rId604" /><Relationship Type="http://schemas.openxmlformats.org/officeDocument/2006/relationships/hyperlink" Target="https://www.aliexpress.com/w/wholesale-Elgato+Wave%3A3.html" TargetMode="External" Id="rId605" /><Relationship Type="http://schemas.openxmlformats.org/officeDocument/2006/relationships/hyperlink" Target="https://www.amazon.sa/s?k=Elgato+Wave%3A3" TargetMode="External" Id="rId606" /><Relationship Type="http://schemas.openxmlformats.org/officeDocument/2006/relationships/hyperlink" Target="https://www.noon.com/saudi-en/search/?q=Elgato+Wave%3A3" TargetMode="External" Id="rId607" /><Relationship Type="http://schemas.openxmlformats.org/officeDocument/2006/relationships/hyperlink" Target="https://www.jarir.com/sa-en/catalogsearch/result/?q=Elgato+Wave%3A3" TargetMode="External" Id="rId608" /><Relationship Type="http://schemas.openxmlformats.org/officeDocument/2006/relationships/hyperlink" Target="https://www.aliexpress.com/w/wholesale-SteelSeries+QcK+Heavy+XXL.html" TargetMode="External" Id="rId609" /><Relationship Type="http://schemas.openxmlformats.org/officeDocument/2006/relationships/hyperlink" Target="https://www.amazon.sa/s?k=SteelSeries+QcK+Heavy+XXL" TargetMode="External" Id="rId610" /><Relationship Type="http://schemas.openxmlformats.org/officeDocument/2006/relationships/hyperlink" Target="https://www.noon.com/saudi-en/search/?q=SteelSeries+QcK+Heavy+XXL" TargetMode="External" Id="rId611" /><Relationship Type="http://schemas.openxmlformats.org/officeDocument/2006/relationships/hyperlink" Target="https://www.jarir.com/sa-en/catalogsearch/result/?q=SteelSeries+QcK+Heavy+XXL" TargetMode="External" Id="rId612" /><Relationship Type="http://schemas.openxmlformats.org/officeDocument/2006/relationships/hyperlink" Target="https://www.aliexpress.com/w/wholesale-BenQ+Zowie+XL2546K.html" TargetMode="External" Id="rId613" /><Relationship Type="http://schemas.openxmlformats.org/officeDocument/2006/relationships/hyperlink" Target="https://www.amazon.sa/s?k=BenQ+Zowie+XL2546K" TargetMode="External" Id="rId614" /><Relationship Type="http://schemas.openxmlformats.org/officeDocument/2006/relationships/hyperlink" Target="https://www.noon.com/saudi-en/search/?q=BenQ+Zowie+XL2546K" TargetMode="External" Id="rId615" /><Relationship Type="http://schemas.openxmlformats.org/officeDocument/2006/relationships/hyperlink" Target="https://www.jarir.com/sa-en/catalogsearch/result/?q=BenQ+Zowie+XL2546K" TargetMode="External" Id="rId616" /><Relationship Type="http://schemas.openxmlformats.org/officeDocument/2006/relationships/hyperlink" Target="https://www.aliexpress.com/w/wholesale-Corsair+K70+RGB+Pro.html" TargetMode="External" Id="rId617" /><Relationship Type="http://schemas.openxmlformats.org/officeDocument/2006/relationships/hyperlink" Target="https://www.amazon.sa/s?k=Corsair+K70+RGB+Pro" TargetMode="External" Id="rId618" /><Relationship Type="http://schemas.openxmlformats.org/officeDocument/2006/relationships/hyperlink" Target="https://www.noon.com/saudi-en/search/?q=Corsair+K70+RGB+Pro" TargetMode="External" Id="rId619" /><Relationship Type="http://schemas.openxmlformats.org/officeDocument/2006/relationships/hyperlink" Target="https://www.jarir.com/sa-en/catalogsearch/result/?q=Corsair+K70+RGB+Pro" TargetMode="External" Id="rId620" /><Relationship Type="http://schemas.openxmlformats.org/officeDocument/2006/relationships/hyperlink" Target="https://www.aliexpress.com/w/wholesale-Razer+Basilisk+V3+X+HyperSpeed.html" TargetMode="External" Id="rId621" /><Relationship Type="http://schemas.openxmlformats.org/officeDocument/2006/relationships/hyperlink" Target="https://www.amazon.sa/s?k=Razer+Basilisk+V3+X+HyperSpeed" TargetMode="External" Id="rId622" /><Relationship Type="http://schemas.openxmlformats.org/officeDocument/2006/relationships/hyperlink" Target="https://www.noon.com/saudi-en/search/?q=Razer+Basilisk+V3+X+HyperSpeed" TargetMode="External" Id="rId623" /><Relationship Type="http://schemas.openxmlformats.org/officeDocument/2006/relationships/hyperlink" Target="https://www.jarir.com/sa-en/catalogsearch/result/?q=Razer+Basilisk+V3+X+HyperSpeed" TargetMode="External" Id="rId624" /><Relationship Type="http://schemas.openxmlformats.org/officeDocument/2006/relationships/hyperlink" Target="https://www.aliexpress.com/w/wholesale-8BitDo+Arcade+Stick.html" TargetMode="External" Id="rId625" /><Relationship Type="http://schemas.openxmlformats.org/officeDocument/2006/relationships/hyperlink" Target="https://www.amazon.sa/s?k=8BitDo+Arcade+Stick" TargetMode="External" Id="rId626" /><Relationship Type="http://schemas.openxmlformats.org/officeDocument/2006/relationships/hyperlink" Target="https://www.noon.com/saudi-en/search/?q=8BitDo+Arcade+Stick" TargetMode="External" Id="rId627" /><Relationship Type="http://schemas.openxmlformats.org/officeDocument/2006/relationships/hyperlink" Target="https://www.jarir.com/sa-en/catalogsearch/result/?q=8BitDo+Arcade+Stick" TargetMode="External" Id="rId628" /><Relationship Type="http://schemas.openxmlformats.org/officeDocument/2006/relationships/hyperlink" Target="https://www.aliexpress.com/w/wholesale-SteelSeries+Arctis+Nova+7.html" TargetMode="External" Id="rId629" /><Relationship Type="http://schemas.openxmlformats.org/officeDocument/2006/relationships/hyperlink" Target="https://www.amazon.sa/s?k=SteelSeries+Arctis+Nova+7" TargetMode="External" Id="rId630" /><Relationship Type="http://schemas.openxmlformats.org/officeDocument/2006/relationships/hyperlink" Target="https://www.noon.com/saudi-en/search/?q=SteelSeries+Arctis+Nova+7" TargetMode="External" Id="rId631" /><Relationship Type="http://schemas.openxmlformats.org/officeDocument/2006/relationships/hyperlink" Target="https://www.jarir.com/sa-en/catalogsearch/result/?q=SteelSeries+Arctis+Nova+7" TargetMode="External" Id="rId632" /><Relationship Type="http://schemas.openxmlformats.org/officeDocument/2006/relationships/hyperlink" Target="https://www.aliexpress.com/w/wholesale-Elgato+HD60+X.html" TargetMode="External" Id="rId633" /><Relationship Type="http://schemas.openxmlformats.org/officeDocument/2006/relationships/hyperlink" Target="https://www.amazon.sa/s?k=Elgato+HD60+X" TargetMode="External" Id="rId634" /><Relationship Type="http://schemas.openxmlformats.org/officeDocument/2006/relationships/hyperlink" Target="https://www.noon.com/saudi-en/search/?q=Elgato+HD60+X" TargetMode="External" Id="rId635" /><Relationship Type="http://schemas.openxmlformats.org/officeDocument/2006/relationships/hyperlink" Target="https://www.jarir.com/sa-en/catalogsearch/result/?q=Elgato+HD60+X" TargetMode="External" Id="rId636" /><Relationship Type="http://schemas.openxmlformats.org/officeDocument/2006/relationships/hyperlink" Target="https://www.aliexpress.com/w/wholesale-Razer+BlackWidow+V4+75%25.html" TargetMode="External" Id="rId637" /><Relationship Type="http://schemas.openxmlformats.org/officeDocument/2006/relationships/hyperlink" Target="https://www.amazon.sa/s?k=Razer+BlackWidow+V4+75%25" TargetMode="External" Id="rId638" /><Relationship Type="http://schemas.openxmlformats.org/officeDocument/2006/relationships/hyperlink" Target="https://www.noon.com/saudi-en/search/?q=Razer+BlackWidow+V4+75%25" TargetMode="External" Id="rId639" /><Relationship Type="http://schemas.openxmlformats.org/officeDocument/2006/relationships/hyperlink" Target="https://www.jarir.com/sa-en/catalogsearch/result/?q=Razer+BlackWidow+V4+75%25" TargetMode="External" Id="rId640" /><Relationship Type="http://schemas.openxmlformats.org/officeDocument/2006/relationships/hyperlink" Target="https://www.aliexpress.com/w/wholesale-HyperX+Cloud+III+Wireless.html" TargetMode="External" Id="rId641" /><Relationship Type="http://schemas.openxmlformats.org/officeDocument/2006/relationships/hyperlink" Target="https://www.amazon.sa/s?k=HyperX+Cloud+III+Wireless" TargetMode="External" Id="rId642" /><Relationship Type="http://schemas.openxmlformats.org/officeDocument/2006/relationships/hyperlink" Target="https://www.noon.com/saudi-en/search/?q=HyperX+Cloud+III+Wireless" TargetMode="External" Id="rId643" /><Relationship Type="http://schemas.openxmlformats.org/officeDocument/2006/relationships/hyperlink" Target="https://www.jarir.com/sa-en/catalogsearch/result/?q=HyperX+Cloud+III+Wireless" TargetMode="External" Id="rId644" /><Relationship Type="http://schemas.openxmlformats.org/officeDocument/2006/relationships/hyperlink" Target="https://www.aliexpress.com/w/wholesale-Razer+DeathAdder+V3+HyperSpeed.html" TargetMode="External" Id="rId645" /><Relationship Type="http://schemas.openxmlformats.org/officeDocument/2006/relationships/hyperlink" Target="https://www.amazon.sa/s?k=Razer+DeathAdder+V3+HyperSpeed" TargetMode="External" Id="rId646" /><Relationship Type="http://schemas.openxmlformats.org/officeDocument/2006/relationships/hyperlink" Target="https://www.noon.com/saudi-en/search/?q=Razer+DeathAdder+V3+HyperSpeed" TargetMode="External" Id="rId647" /><Relationship Type="http://schemas.openxmlformats.org/officeDocument/2006/relationships/hyperlink" Target="https://www.jarir.com/sa-en/catalogsearch/result/?q=Razer+DeathAdder+V3+HyperSpeed" TargetMode="External" Id="rId648" /><Relationship Type="http://schemas.openxmlformats.org/officeDocument/2006/relationships/hyperlink" Target="https://www.aliexpress.com/w/wholesale-8BitDo+Ultimate+C+Bluetooth+Controller.html" TargetMode="External" Id="rId649" /><Relationship Type="http://schemas.openxmlformats.org/officeDocument/2006/relationships/hyperlink" Target="https://www.amazon.sa/s?k=8BitDo+Ultimate+C+Bluetooth+Controller" TargetMode="External" Id="rId650" /><Relationship Type="http://schemas.openxmlformats.org/officeDocument/2006/relationships/hyperlink" Target="https://www.noon.com/saudi-en/search/?q=8BitDo+Ultimate+C+Bluetooth+Controller" TargetMode="External" Id="rId651" /><Relationship Type="http://schemas.openxmlformats.org/officeDocument/2006/relationships/hyperlink" Target="https://www.jarir.com/sa-en/catalogsearch/result/?q=8BitDo+Ultimate+C+Bluetooth+Controller" TargetMode="External" Id="rId652" /><Relationship Type="http://schemas.openxmlformats.org/officeDocument/2006/relationships/hyperlink" Target="https://www.aliexpress.com/w/wholesale-Ubiquiti+UniFi+Cloud+Gateway+Ultra.html" TargetMode="External" Id="rId653" /><Relationship Type="http://schemas.openxmlformats.org/officeDocument/2006/relationships/hyperlink" Target="https://www.amazon.sa/s?k=Ubiquiti+UniFi+Cloud+Gateway+Ultra" TargetMode="External" Id="rId654" /><Relationship Type="http://schemas.openxmlformats.org/officeDocument/2006/relationships/hyperlink" Target="https://www.noon.com/saudi-en/search/?q=Ubiquiti+UniFi+Cloud+Gateway+Ultra" TargetMode="External" Id="rId655" /><Relationship Type="http://schemas.openxmlformats.org/officeDocument/2006/relationships/hyperlink" Target="https://www.jarir.com/sa-en/catalogsearch/result/?q=Ubiquiti+UniFi+Cloud+Gateway+Ultra" TargetMode="External" Id="rId656" /><Relationship Type="http://schemas.openxmlformats.org/officeDocument/2006/relationships/hyperlink" Target="https://www.aliexpress.com/w/wholesale-TP-Link+Archer+AXE75.html" TargetMode="External" Id="rId657" /><Relationship Type="http://schemas.openxmlformats.org/officeDocument/2006/relationships/hyperlink" Target="https://www.amazon.sa/s?k=TP-Link+Archer+AXE75" TargetMode="External" Id="rId658" /><Relationship Type="http://schemas.openxmlformats.org/officeDocument/2006/relationships/hyperlink" Target="https://www.noon.com/saudi-en/search/?q=TP-Link+Archer+AXE75" TargetMode="External" Id="rId659" /><Relationship Type="http://schemas.openxmlformats.org/officeDocument/2006/relationships/hyperlink" Target="https://www.jarir.com/sa-en/catalogsearch/result/?q=TP-Link+Archer+AXE75" TargetMode="External" Id="rId660" /><Relationship Type="http://schemas.openxmlformats.org/officeDocument/2006/relationships/hyperlink" Target="https://www.aliexpress.com/w/wholesale-Ubiquiti+UniFi+USW-Flex-Mini.html" TargetMode="External" Id="rId661" /><Relationship Type="http://schemas.openxmlformats.org/officeDocument/2006/relationships/hyperlink" Target="https://www.amazon.sa/s?k=Ubiquiti+UniFi+USW-Flex-Mini" TargetMode="External" Id="rId662" /><Relationship Type="http://schemas.openxmlformats.org/officeDocument/2006/relationships/hyperlink" Target="https://www.noon.com/saudi-en/search/?q=Ubiquiti+UniFi+USW-Flex-Mini" TargetMode="External" Id="rId663" /><Relationship Type="http://schemas.openxmlformats.org/officeDocument/2006/relationships/hyperlink" Target="https://www.jarir.com/sa-en/catalogsearch/result/?q=Ubiquiti+UniFi+USW-Flex-Mini" TargetMode="External" Id="rId664" /><Relationship Type="http://schemas.openxmlformats.org/officeDocument/2006/relationships/hyperlink" Target="https://www.aliexpress.com/w/wholesale-Netgear+GS308E.html" TargetMode="External" Id="rId665" /><Relationship Type="http://schemas.openxmlformats.org/officeDocument/2006/relationships/hyperlink" Target="https://www.amazon.sa/s?k=Netgear+GS308E" TargetMode="External" Id="rId666" /><Relationship Type="http://schemas.openxmlformats.org/officeDocument/2006/relationships/hyperlink" Target="https://www.noon.com/saudi-en/search/?q=Netgear+GS308E" TargetMode="External" Id="rId667" /><Relationship Type="http://schemas.openxmlformats.org/officeDocument/2006/relationships/hyperlink" Target="https://www.jarir.com/sa-en/catalogsearch/result/?q=Netgear+GS308E" TargetMode="External" Id="rId668" /><Relationship Type="http://schemas.openxmlformats.org/officeDocument/2006/relationships/hyperlink" Target="https://www.aliexpress.com/w/wholesale-MikroTik+hEX+S.html" TargetMode="External" Id="rId669" /><Relationship Type="http://schemas.openxmlformats.org/officeDocument/2006/relationships/hyperlink" Target="https://www.amazon.sa/s?k=MikroTik+hEX+S" TargetMode="External" Id="rId670" /><Relationship Type="http://schemas.openxmlformats.org/officeDocument/2006/relationships/hyperlink" Target="https://www.noon.com/saudi-en/search/?q=MikroTik+hEX+S" TargetMode="External" Id="rId671" /><Relationship Type="http://schemas.openxmlformats.org/officeDocument/2006/relationships/hyperlink" Target="https://www.jarir.com/sa-en/catalogsearch/result/?q=MikroTik+hEX+S" TargetMode="External" Id="rId672" /><Relationship Type="http://schemas.openxmlformats.org/officeDocument/2006/relationships/hyperlink" Target="https://www.aliexpress.com/w/wholesale-Ubiquiti+EdgeRouter+X.html" TargetMode="External" Id="rId673" /><Relationship Type="http://schemas.openxmlformats.org/officeDocument/2006/relationships/hyperlink" Target="https://www.amazon.sa/s?k=Ubiquiti+EdgeRouter+X" TargetMode="External" Id="rId674" /><Relationship Type="http://schemas.openxmlformats.org/officeDocument/2006/relationships/hyperlink" Target="https://www.noon.com/saudi-en/search/?q=Ubiquiti+EdgeRouter+X" TargetMode="External" Id="rId675" /><Relationship Type="http://schemas.openxmlformats.org/officeDocument/2006/relationships/hyperlink" Target="https://www.jarir.com/sa-en/catalogsearch/result/?q=Ubiquiti+EdgeRouter+X" TargetMode="External" Id="rId676" /><Relationship Type="http://schemas.openxmlformats.org/officeDocument/2006/relationships/hyperlink" Target="https://www.aliexpress.com/w/wholesale-TP-Link+TL-SG108E.html" TargetMode="External" Id="rId677" /><Relationship Type="http://schemas.openxmlformats.org/officeDocument/2006/relationships/hyperlink" Target="https://www.amazon.sa/s?k=TP-Link+TL-SG108E" TargetMode="External" Id="rId678" /><Relationship Type="http://schemas.openxmlformats.org/officeDocument/2006/relationships/hyperlink" Target="https://www.noon.com/saudi-en/search/?q=TP-Link+TL-SG108E" TargetMode="External" Id="rId679" /><Relationship Type="http://schemas.openxmlformats.org/officeDocument/2006/relationships/hyperlink" Target="https://www.jarir.com/sa-en/catalogsearch/result/?q=TP-Link+TL-SG108E" TargetMode="External" Id="rId680" /><Relationship Type="http://schemas.openxmlformats.org/officeDocument/2006/relationships/hyperlink" Target="https://www.aliexpress.com/w/wholesale-Ubiquiti+UniFi+6+Lite.html" TargetMode="External" Id="rId681" /><Relationship Type="http://schemas.openxmlformats.org/officeDocument/2006/relationships/hyperlink" Target="https://www.amazon.sa/s?k=Ubiquiti+UniFi+6+Lite" TargetMode="External" Id="rId682" /><Relationship Type="http://schemas.openxmlformats.org/officeDocument/2006/relationships/hyperlink" Target="https://www.noon.com/saudi-en/search/?q=Ubiquiti+UniFi+6+Lite" TargetMode="External" Id="rId683" /><Relationship Type="http://schemas.openxmlformats.org/officeDocument/2006/relationships/hyperlink" Target="https://www.jarir.com/sa-en/catalogsearch/result/?q=Ubiquiti+UniFi+6+Lite" TargetMode="External" Id="rId684" /><Relationship Type="http://schemas.openxmlformats.org/officeDocument/2006/relationships/hyperlink" Target="https://www.aliexpress.com/w/wholesale-MikroTik+CRS305-1G-4S%2BIN.html" TargetMode="External" Id="rId685" /><Relationship Type="http://schemas.openxmlformats.org/officeDocument/2006/relationships/hyperlink" Target="https://www.amazon.sa/s?k=MikroTik+CRS305-1G-4S%2BIN" TargetMode="External" Id="rId686" /><Relationship Type="http://schemas.openxmlformats.org/officeDocument/2006/relationships/hyperlink" Target="https://www.noon.com/saudi-en/search/?q=MikroTik+CRS305-1G-4S%2BIN" TargetMode="External" Id="rId687" /><Relationship Type="http://schemas.openxmlformats.org/officeDocument/2006/relationships/hyperlink" Target="https://www.jarir.com/sa-en/catalogsearch/result/?q=MikroTik+CRS305-1G-4S%2BIN" TargetMode="External" Id="rId688" /><Relationship Type="http://schemas.openxmlformats.org/officeDocument/2006/relationships/hyperlink" Target="https://www.aliexpress.com/w/wholesale-Ubiquiti+UniFi+Switch+Lite+16+PoE.html" TargetMode="External" Id="rId689" /><Relationship Type="http://schemas.openxmlformats.org/officeDocument/2006/relationships/hyperlink" Target="https://www.amazon.sa/s?k=Ubiquiti+UniFi+Switch+Lite+16+PoE" TargetMode="External" Id="rId690" /><Relationship Type="http://schemas.openxmlformats.org/officeDocument/2006/relationships/hyperlink" Target="https://www.noon.com/saudi-en/search/?q=Ubiquiti+UniFi+Switch+Lite+16+PoE" TargetMode="External" Id="rId691" /><Relationship Type="http://schemas.openxmlformats.org/officeDocument/2006/relationships/hyperlink" Target="https://www.jarir.com/sa-en/catalogsearch/result/?q=Ubiquiti+UniFi+Switch+Lite+16+PoE" TargetMode="External" Id="rId692" /><Relationship Type="http://schemas.openxmlformats.org/officeDocument/2006/relationships/hyperlink" Target="https://www.aliexpress.com/w/wholesale-TP-Link+Deco+XE75.html" TargetMode="External" Id="rId693" /><Relationship Type="http://schemas.openxmlformats.org/officeDocument/2006/relationships/hyperlink" Target="https://www.amazon.sa/s?k=TP-Link+Deco+XE75" TargetMode="External" Id="rId694" /><Relationship Type="http://schemas.openxmlformats.org/officeDocument/2006/relationships/hyperlink" Target="https://www.noon.com/saudi-en/search/?q=TP-Link+Deco+XE75" TargetMode="External" Id="rId695" /><Relationship Type="http://schemas.openxmlformats.org/officeDocument/2006/relationships/hyperlink" Target="https://www.jarir.com/sa-en/catalogsearch/result/?q=TP-Link+Deco+XE75" TargetMode="External" Id="rId696" /><Relationship Type="http://schemas.openxmlformats.org/officeDocument/2006/relationships/hyperlink" Target="https://www.aliexpress.com/w/wholesale-MikroTik+hAP+ax3.html" TargetMode="External" Id="rId697" /><Relationship Type="http://schemas.openxmlformats.org/officeDocument/2006/relationships/hyperlink" Target="https://www.amazon.sa/s?k=MikroTik+hAP+ax3" TargetMode="External" Id="rId698" /><Relationship Type="http://schemas.openxmlformats.org/officeDocument/2006/relationships/hyperlink" Target="https://www.noon.com/saudi-en/search/?q=MikroTik+hAP+ax3" TargetMode="External" Id="rId699" /><Relationship Type="http://schemas.openxmlformats.org/officeDocument/2006/relationships/hyperlink" Target="https://www.jarir.com/sa-en/catalogsearch/result/?q=MikroTik+hAP+ax3" TargetMode="External" Id="rId700" /><Relationship Type="http://schemas.openxmlformats.org/officeDocument/2006/relationships/hyperlink" Target="https://www.aliexpress.com/w/wholesale-Sonoff+SNZB-02D+Zigbee+Temperature+%26amp%3B+Humidity+Sensor+with+LCD+Display.html" TargetMode="External" Id="rId701" /><Relationship Type="http://schemas.openxmlformats.org/officeDocument/2006/relationships/hyperlink" Target="https://www.amazon.sa/s?k=Sonoff+SNZB-02D+Zigbee+Temperature+%26amp%3B+Humidity+Sensor+with+LCD+Display" TargetMode="External" Id="rId702" /><Relationship Type="http://schemas.openxmlformats.org/officeDocument/2006/relationships/hyperlink" Target="https://www.noon.com/saudi-en/search/?q=Sonoff+SNZB-02D+Zigbee+Temperature+%26amp%3B+Humidity+Sensor+with+LCD+Display" TargetMode="External" Id="rId703" /><Relationship Type="http://schemas.openxmlformats.org/officeDocument/2006/relationships/hyperlink" Target="https://www.jarir.com/sa-en/catalogsearch/result/?q=Sonoff+SNZB-02D+Zigbee+Temperature+%26amp%3B+Humidity+Sensor+with+LCD+Display" TargetMode="External" Id="rId704" /><Relationship Type="http://schemas.openxmlformats.org/officeDocument/2006/relationships/hyperlink" Target="https://www.aliexpress.com/w/wholesale-MOES+Zigbee+Smart+Thermostat.html" TargetMode="External" Id="rId705" /><Relationship Type="http://schemas.openxmlformats.org/officeDocument/2006/relationships/hyperlink" Target="https://www.amazon.sa/s?k=MOES+Zigbee+Smart+Thermostat" TargetMode="External" Id="rId706" /><Relationship Type="http://schemas.openxmlformats.org/officeDocument/2006/relationships/hyperlink" Target="https://www.noon.com/saudi-en/search/?q=MOES+Zigbee+Smart+Thermostat" TargetMode="External" Id="rId707" /><Relationship Type="http://schemas.openxmlformats.org/officeDocument/2006/relationships/hyperlink" Target="https://www.jarir.com/sa-en/catalogsearch/result/?q=MOES+Zigbee+Smart+Thermostat" TargetMode="External" Id="rId708" /><Relationship Type="http://schemas.openxmlformats.org/officeDocument/2006/relationships/hyperlink" Target="https://www.aliexpress.com/w/wholesale-Zemismart+Zigbee+Smart+Tubular+Motor.html" TargetMode="External" Id="rId709" /><Relationship Type="http://schemas.openxmlformats.org/officeDocument/2006/relationships/hyperlink" Target="https://www.amazon.sa/s?k=Zemismart+Zigbee+Smart+Tubular+Motor" TargetMode="External" Id="rId710" /><Relationship Type="http://schemas.openxmlformats.org/officeDocument/2006/relationships/hyperlink" Target="https://www.noon.com/saudi-en/search/?q=Zemismart+Zigbee+Smart+Tubular+Motor" TargetMode="External" Id="rId711" /><Relationship Type="http://schemas.openxmlformats.org/officeDocument/2006/relationships/hyperlink" Target="https://www.jarir.com/sa-en/catalogsearch/result/?q=Zemismart+Zigbee+Smart+Tubular+Motor" TargetMode="External" Id="rId712" /><Relationship Type="http://schemas.openxmlformats.org/officeDocument/2006/relationships/hyperlink" Target="https://www.aliexpress.com/w/wholesale-Aqara+Roller+Shade+Driver+E1.html" TargetMode="External" Id="rId713" /><Relationship Type="http://schemas.openxmlformats.org/officeDocument/2006/relationships/hyperlink" Target="https://www.amazon.sa/s?k=Aqara+Roller+Shade+Driver+E1" TargetMode="External" Id="rId714" /><Relationship Type="http://schemas.openxmlformats.org/officeDocument/2006/relationships/hyperlink" Target="https://www.noon.com/saudi-en/search/?q=Aqara+Roller+Shade+Driver+E1" TargetMode="External" Id="rId715" /><Relationship Type="http://schemas.openxmlformats.org/officeDocument/2006/relationships/hyperlink" Target="https://www.jarir.com/sa-en/catalogsearch/result/?q=Aqara+Roller+Shade+Driver+E1" TargetMode="External" Id="rId716" /><Relationship Type="http://schemas.openxmlformats.org/officeDocument/2006/relationships/hyperlink" Target="https://www.aliexpress.com/w/wholesale-SwitchBot+Bot.html" TargetMode="External" Id="rId717" /><Relationship Type="http://schemas.openxmlformats.org/officeDocument/2006/relationships/hyperlink" Target="https://www.amazon.sa/s?k=SwitchBot+Bot" TargetMode="External" Id="rId718" /><Relationship Type="http://schemas.openxmlformats.org/officeDocument/2006/relationships/hyperlink" Target="https://www.noon.com/saudi-en/search/?q=SwitchBot+Bot" TargetMode="External" Id="rId719" /><Relationship Type="http://schemas.openxmlformats.org/officeDocument/2006/relationships/hyperlink" Target="https://www.jarir.com/sa-en/catalogsearch/result/?q=SwitchBot+Bot" TargetMode="External" Id="rId720" /><Relationship Type="http://schemas.openxmlformats.org/officeDocument/2006/relationships/hyperlink" Target="https://www.aliexpress.com/w/wholesale-Eve+Energy+Smart+Plug.html" TargetMode="External" Id="rId721" /><Relationship Type="http://schemas.openxmlformats.org/officeDocument/2006/relationships/hyperlink" Target="https://www.amazon.sa/s?k=Eve+Energy+Smart+Plug" TargetMode="External" Id="rId722" /><Relationship Type="http://schemas.openxmlformats.org/officeDocument/2006/relationships/hyperlink" Target="https://www.noon.com/saudi-en/search/?q=Eve+Energy+Smart+Plug" TargetMode="External" Id="rId723" /><Relationship Type="http://schemas.openxmlformats.org/officeDocument/2006/relationships/hyperlink" Target="https://www.jarir.com/sa-en/catalogsearch/result/?q=Eve+Energy+Smart+Plug" TargetMode="External" Id="rId724" /><Relationship Type="http://schemas.openxmlformats.org/officeDocument/2006/relationships/hyperlink" Target="https://www.aliexpress.com/w/wholesale-Aqara+Motion+Sensor+P1.html" TargetMode="External" Id="rId725" /><Relationship Type="http://schemas.openxmlformats.org/officeDocument/2006/relationships/hyperlink" Target="https://www.amazon.sa/s?k=Aqara+Motion+Sensor+P1" TargetMode="External" Id="rId726" /><Relationship Type="http://schemas.openxmlformats.org/officeDocument/2006/relationships/hyperlink" Target="https://www.noon.com/saudi-en/search/?q=Aqara+Motion+Sensor+P1" TargetMode="External" Id="rId727" /><Relationship Type="http://schemas.openxmlformats.org/officeDocument/2006/relationships/hyperlink" Target="https://www.jarir.com/sa-en/catalogsearch/result/?q=Aqara+Motion+Sensor+P1" TargetMode="External" Id="rId728" /><Relationship Type="http://schemas.openxmlformats.org/officeDocument/2006/relationships/hyperlink" Target="https://www.aliexpress.com/w/wholesale-Shelly+Plus+1PM.html" TargetMode="External" Id="rId729" /><Relationship Type="http://schemas.openxmlformats.org/officeDocument/2006/relationships/hyperlink" Target="https://www.amazon.sa/s?k=Shelly+Plus+1PM" TargetMode="External" Id="rId730" /><Relationship Type="http://schemas.openxmlformats.org/officeDocument/2006/relationships/hyperlink" Target="https://www.noon.com/saudi-en/search/?q=Shelly+Plus+1PM" TargetMode="External" Id="rId731" /><Relationship Type="http://schemas.openxmlformats.org/officeDocument/2006/relationships/hyperlink" Target="https://www.jarir.com/sa-en/catalogsearch/result/?q=Shelly+Plus+1PM" TargetMode="External" Id="rId732" /><Relationship Type="http://schemas.openxmlformats.org/officeDocument/2006/relationships/hyperlink" Target="https://www.aliexpress.com/w/wholesale-SwitchBot+Curtain+3.html" TargetMode="External" Id="rId733" /><Relationship Type="http://schemas.openxmlformats.org/officeDocument/2006/relationships/hyperlink" Target="https://www.amazon.sa/s?k=SwitchBot+Curtain+3" TargetMode="External" Id="rId734" /><Relationship Type="http://schemas.openxmlformats.org/officeDocument/2006/relationships/hyperlink" Target="https://www.noon.com/saudi-en/search/?q=SwitchBot+Curtain+3" TargetMode="External" Id="rId735" /><Relationship Type="http://schemas.openxmlformats.org/officeDocument/2006/relationships/hyperlink" Target="https://www.jarir.com/sa-en/catalogsearch/result/?q=SwitchBot+Curtain+3" TargetMode="External" Id="rId736" /><Relationship Type="http://schemas.openxmlformats.org/officeDocument/2006/relationships/hyperlink" Target="https://www.aliexpress.com/w/wholesale-Aqara+Hub+M2.html" TargetMode="External" Id="rId737" /><Relationship Type="http://schemas.openxmlformats.org/officeDocument/2006/relationships/hyperlink" Target="https://www.amazon.sa/s?k=Aqara+Hub+M2" TargetMode="External" Id="rId738" /><Relationship Type="http://schemas.openxmlformats.org/officeDocument/2006/relationships/hyperlink" Target="https://www.noon.com/saudi-en/search/?q=Aqara+Hub+M2" TargetMode="External" Id="rId739" /><Relationship Type="http://schemas.openxmlformats.org/officeDocument/2006/relationships/hyperlink" Target="https://www.jarir.com/sa-en/catalogsearch/result/?q=Aqara+Hub+M2" TargetMode="External" Id="rId740" /><Relationship Type="http://schemas.openxmlformats.org/officeDocument/2006/relationships/hyperlink" Target="https://www.aliexpress.com/w/wholesale-Ubiquiti+UniFi+Switch+Pro+24+PoE.html" TargetMode="External" Id="rId741" /><Relationship Type="http://schemas.openxmlformats.org/officeDocument/2006/relationships/hyperlink" Target="https://www.amazon.sa/s?k=Ubiquiti+UniFi+Switch+Pro+24+PoE" TargetMode="External" Id="rId742" /><Relationship Type="http://schemas.openxmlformats.org/officeDocument/2006/relationships/hyperlink" Target="https://www.noon.com/saudi-en/search/?q=Ubiquiti+UniFi+Switch+Pro+24+PoE" TargetMode="External" Id="rId743" /><Relationship Type="http://schemas.openxmlformats.org/officeDocument/2006/relationships/hyperlink" Target="https://www.jarir.com/sa-en/catalogsearch/result/?q=Ubiquiti+UniFi+Switch+Pro+24+PoE" TargetMode="External" Id="rId744" /><Relationship Type="http://schemas.openxmlformats.org/officeDocument/2006/relationships/hyperlink" Target="https://www.aliexpress.com/w/wholesale-HPE+ProLiant+DL380+Gen10+Server.html" TargetMode="External" Id="rId745" /><Relationship Type="http://schemas.openxmlformats.org/officeDocument/2006/relationships/hyperlink" Target="https://www.amazon.sa/s?k=HPE+ProLiant+DL380+Gen10+Server" TargetMode="External" Id="rId746" /><Relationship Type="http://schemas.openxmlformats.org/officeDocument/2006/relationships/hyperlink" Target="https://www.noon.com/saudi-en/search/?q=HPE+ProLiant+DL380+Gen10+Server" TargetMode="External" Id="rId747" /><Relationship Type="http://schemas.openxmlformats.org/officeDocument/2006/relationships/hyperlink" Target="https://www.jarir.com/sa-en/catalogsearch/result/?q=HPE+ProLiant+DL380+Gen10+Server" TargetMode="External" Id="rId748" /><Relationship Type="http://schemas.openxmlformats.org/officeDocument/2006/relationships/hyperlink" Target="https://www.aliexpress.com/w/wholesale-APC+Smart-UPS+1500VA+LCD+RM+2U.html" TargetMode="External" Id="rId749" /><Relationship Type="http://schemas.openxmlformats.org/officeDocument/2006/relationships/hyperlink" Target="https://www.amazon.sa/s?k=APC+Smart-UPS+1500VA+LCD+RM+2U" TargetMode="External" Id="rId750" /><Relationship Type="http://schemas.openxmlformats.org/officeDocument/2006/relationships/hyperlink" Target="https://www.noon.com/saudi-en/search/?q=APC+Smart-UPS+1500VA+LCD+RM+2U" TargetMode="External" Id="rId751" /><Relationship Type="http://schemas.openxmlformats.org/officeDocument/2006/relationships/hyperlink" Target="https://www.jarir.com/sa-en/catalogsearch/result/?q=APC+Smart-UPS+1500VA+LCD+RM+2U" TargetMode="External" Id="rId752" /><Relationship Type="http://schemas.openxmlformats.org/officeDocument/2006/relationships/hyperlink" Target="https://www.aliexpress.com/w/wholesale-MikroTik+CRS326-24G-2S%2BRM+24-Port+Managed+Gigabit+Switch+with+10G+SFP%2B.html" TargetMode="External" Id="rId753" /><Relationship Type="http://schemas.openxmlformats.org/officeDocument/2006/relationships/hyperlink" Target="https://www.amazon.sa/s?k=MikroTik+CRS326-24G-2S%2BRM+24-Port+Managed+Gigabit+Switch+with+10G+SFP%2B" TargetMode="External" Id="rId754" /><Relationship Type="http://schemas.openxmlformats.org/officeDocument/2006/relationships/hyperlink" Target="https://www.noon.com/saudi-en/search/?q=MikroTik+CRS326-24G-2S%2BRM+24-Port+Managed+Gigabit+Switch+with+10G+SFP%2B" TargetMode="External" Id="rId755" /><Relationship Type="http://schemas.openxmlformats.org/officeDocument/2006/relationships/hyperlink" Target="https://www.jarir.com/sa-en/catalogsearch/result/?q=MikroTik+CRS326-24G-2S%2BRM+24-Port+Managed+Gigabit+Switch+with+10G+SFP%2B" TargetMode="External" Id="rId756" /><Relationship Type="http://schemas.openxmlformats.org/officeDocument/2006/relationships/hyperlink" Target="https://www.aliexpress.com/w/wholesale-Synology+DiskStation+DS1621%2B+6-Bay+NAS.html" TargetMode="External" Id="rId757" /><Relationship Type="http://schemas.openxmlformats.org/officeDocument/2006/relationships/hyperlink" Target="https://www.amazon.sa/s?k=Synology+DiskStation+DS1621%2B+6-Bay+NAS" TargetMode="External" Id="rId758" /><Relationship Type="http://schemas.openxmlformats.org/officeDocument/2006/relationships/hyperlink" Target="https://www.noon.com/saudi-en/search/?q=Synology+DiskStation+DS1621%2B+6-Bay+NAS" TargetMode="External" Id="rId759" /><Relationship Type="http://schemas.openxmlformats.org/officeDocument/2006/relationships/hyperlink" Target="https://www.jarir.com/sa-en/catalogsearch/result/?q=Synology+DiskStation+DS1621%2B+6-Bay+NAS" TargetMode="External" Id="rId760" /><Relationship Type="http://schemas.openxmlformats.org/officeDocument/2006/relationships/hyperlink" Target="https://www.aliexpress.com/w/wholesale-Flipper+Zero.html" TargetMode="External" Id="rId761" /><Relationship Type="http://schemas.openxmlformats.org/officeDocument/2006/relationships/hyperlink" Target="https://www.amazon.sa/s?k=Flipper+Zero" TargetMode="External" Id="rId762" /><Relationship Type="http://schemas.openxmlformats.org/officeDocument/2006/relationships/hyperlink" Target="https://www.noon.com/saudi-en/search/?q=Flipper+Zero" TargetMode="External" Id="rId763" /><Relationship Type="http://schemas.openxmlformats.org/officeDocument/2006/relationships/hyperlink" Target="https://www.jarir.com/sa-en/catalogsearch/result/?q=Flipper+Zero" TargetMode="External" Id="rId764" /><Relationship Type="http://schemas.openxmlformats.org/officeDocument/2006/relationships/hyperlink" Target="https://www.aliexpress.com/w/wholesale-Seagate+IronWolf+18TB+NAS+Internal+Hard+Drive.html" TargetMode="External" Id="rId765" /><Relationship Type="http://schemas.openxmlformats.org/officeDocument/2006/relationships/hyperlink" Target="https://www.amazon.sa/s?k=Seagate+IronWolf+18TB+NAS+Internal+Hard+Drive" TargetMode="External" Id="rId766" /><Relationship Type="http://schemas.openxmlformats.org/officeDocument/2006/relationships/hyperlink" Target="https://www.noon.com/saudi-en/search/?q=Seagate+IronWolf+18TB+NAS+Internal+Hard+Drive" TargetMode="External" Id="rId767" /><Relationship Type="http://schemas.openxmlformats.org/officeDocument/2006/relationships/hyperlink" Target="https://www.jarir.com/sa-en/catalogsearch/result/?q=Seagate+IronWolf+18TB+NAS+Internal+Hard+Drive" TargetMode="External" Id="rId768" /><Relationship Type="http://schemas.openxmlformats.org/officeDocument/2006/relationships/hyperlink" Target="https://www.aliexpress.com/w/wholesale-Mark+Ryden+Anti-theft+Laptop+Backpack.html" TargetMode="External" Id="rId769" /><Relationship Type="http://schemas.openxmlformats.org/officeDocument/2006/relationships/hyperlink" Target="https://www.amazon.sa/s?k=Mark+Ryden+Anti-theft+Laptop+Backpack" TargetMode="External" Id="rId770" /><Relationship Type="http://schemas.openxmlformats.org/officeDocument/2006/relationships/hyperlink" Target="https://www.noon.com/saudi-en/search/?q=Mark+Ryden+Anti-theft+Laptop+Backpack" TargetMode="External" Id="rId771" /><Relationship Type="http://schemas.openxmlformats.org/officeDocument/2006/relationships/hyperlink" Target="https://www.jarir.com/sa-en/catalogsearch/result/?q=Mark+Ryden+Anti-theft+Laptop+Backpack" TargetMode="External" Id="rId772" /><Relationship Type="http://schemas.openxmlformats.org/officeDocument/2006/relationships/hyperlink" Target="https://www.aliexpress.com/w/wholesale-Anker+735+GaN+65W+Charger.html" TargetMode="External" Id="rId773" /><Relationship Type="http://schemas.openxmlformats.org/officeDocument/2006/relationships/hyperlink" Target="https://www.amazon.sa/s?k=Anker+735+GaN+65W+Charger" TargetMode="External" Id="rId774" /><Relationship Type="http://schemas.openxmlformats.org/officeDocument/2006/relationships/hyperlink" Target="https://www.noon.com/saudi-en/search/?q=Anker+735+GaN+65W+Charger" TargetMode="External" Id="rId775" /><Relationship Type="http://schemas.openxmlformats.org/officeDocument/2006/relationships/hyperlink" Target="https://www.jarir.com/sa-en/catalogsearch/result/?q=Anker+735+GaN+65W+Charger" TargetMode="External" Id="rId776" /><Relationship Type="http://schemas.openxmlformats.org/officeDocument/2006/relationships/hyperlink" Target="https://www.aliexpress.com/w/wholesale-Baseus+Blade+100W+Power+Bank.html" TargetMode="External" Id="rId777" /><Relationship Type="http://schemas.openxmlformats.org/officeDocument/2006/relationships/hyperlink" Target="https://www.amazon.sa/s?k=Baseus+Blade+100W+Power+Bank" TargetMode="External" Id="rId778" /><Relationship Type="http://schemas.openxmlformats.org/officeDocument/2006/relationships/hyperlink" Target="https://www.noon.com/saudi-en/search/?q=Baseus+Blade+100W+Power+Bank" TargetMode="External" Id="rId779" /><Relationship Type="http://schemas.openxmlformats.org/officeDocument/2006/relationships/hyperlink" Target="https://www.jarir.com/sa-en/catalogsearch/result/?q=Baseus+Blade+100W+Power+Bank" TargetMode="External" Id="rId780" /><Relationship Type="http://schemas.openxmlformats.org/officeDocument/2006/relationships/hyperlink" Target="https://www.aliexpress.com/w/wholesale-Elgato+Stream+Deck+MK.2.html" TargetMode="External" Id="rId781" /><Relationship Type="http://schemas.openxmlformats.org/officeDocument/2006/relationships/hyperlink" Target="https://www.amazon.sa/s?k=Elgato+Stream+Deck+MK.2" TargetMode="External" Id="rId782" /><Relationship Type="http://schemas.openxmlformats.org/officeDocument/2006/relationships/hyperlink" Target="https://www.noon.com/saudi-en/search/?q=Elgato+Stream+Deck+MK.2" TargetMode="External" Id="rId783" /><Relationship Type="http://schemas.openxmlformats.org/officeDocument/2006/relationships/hyperlink" Target="https://www.jarir.com/sa-en/catalogsearch/result/?q=Elgato+Stream+Deck+MK.2" TargetMode="External" Id="rId784" /><Relationship Type="http://schemas.openxmlformats.org/officeDocument/2006/relationships/hyperlink" Target="https://www.aliexpress.com/w/wholesale-Meta+Quest+3+128GB.html" TargetMode="External" Id="rId785" /><Relationship Type="http://schemas.openxmlformats.org/officeDocument/2006/relationships/hyperlink" Target="https://www.amazon.sa/s?k=Meta+Quest+3+128GB" TargetMode="External" Id="rId786" /><Relationship Type="http://schemas.openxmlformats.org/officeDocument/2006/relationships/hyperlink" Target="https://www.noon.com/saudi-en/search/?q=Meta+Quest+3+128GB" TargetMode="External" Id="rId787" /><Relationship Type="http://schemas.openxmlformats.org/officeDocument/2006/relationships/hyperlink" Target="https://www.jarir.com/sa-en/catalogsearch/result/?q=Meta+Quest+3+128GB" TargetMode="External" Id="rId788" /><Relationship Type="http://schemas.openxmlformats.org/officeDocument/2006/relationships/hyperlink" Target="https://www.aliexpress.com/w/wholesale-Keychron+Q1.html" TargetMode="External" Id="rId789" /><Relationship Type="http://schemas.openxmlformats.org/officeDocument/2006/relationships/hyperlink" Target="https://www.amazon.sa/s?k=Keychron+Q1" TargetMode="External" Id="rId790" /><Relationship Type="http://schemas.openxmlformats.org/officeDocument/2006/relationships/hyperlink" Target="https://www.noon.com/saudi-en/search/?q=Keychron+Q1" TargetMode="External" Id="rId791" /><Relationship Type="http://schemas.openxmlformats.org/officeDocument/2006/relationships/hyperlink" Target="https://www.jarir.com/sa-en/catalogsearch/result/?q=Keychron+Q1" TargetMode="External" Id="rId792" /><Relationship Type="http://schemas.openxmlformats.org/officeDocument/2006/relationships/hyperlink" Target="https://www.aliexpress.com/w/wholesale-Raspberry+Pi+5+Ultimate+Starter+Kit.html" TargetMode="External" Id="rId793" /><Relationship Type="http://schemas.openxmlformats.org/officeDocument/2006/relationships/hyperlink" Target="https://www.amazon.sa/s?k=Raspberry+Pi+5+Ultimate+Starter+Kit" TargetMode="External" Id="rId794" /><Relationship Type="http://schemas.openxmlformats.org/officeDocument/2006/relationships/hyperlink" Target="https://www.noon.com/saudi-en/search/?q=Raspberry+Pi+5+Ultimate+Starter+Kit" TargetMode="External" Id="rId795" /><Relationship Type="http://schemas.openxmlformats.org/officeDocument/2006/relationships/hyperlink" Target="https://www.jarir.com/sa-en/catalogsearch/result/?q=Raspberry+Pi+5+Ultimate+Starter+Kit" TargetMode="External" Id="rId796" /><Relationship Type="http://schemas.openxmlformats.org/officeDocument/2006/relationships/hyperlink" Target="https://www.aliexpress.com/w/wholesale-Raspberry+Pi+5+8GB.html" TargetMode="External" Id="rId797" /><Relationship Type="http://schemas.openxmlformats.org/officeDocument/2006/relationships/hyperlink" Target="https://www.amazon.sa/s?k=Raspberry+Pi+5+8GB" TargetMode="External" Id="rId798" /><Relationship Type="http://schemas.openxmlformats.org/officeDocument/2006/relationships/hyperlink" Target="https://www.noon.com/saudi-en/search/?q=Raspberry+Pi+5+8GB" TargetMode="External" Id="rId799" /><Relationship Type="http://schemas.openxmlformats.org/officeDocument/2006/relationships/hyperlink" Target="https://www.jarir.com/sa-en/catalogsearch/result/?q=Raspberry+Pi+5+8GB" TargetMode="External" Id="rId800" /><Relationship Type="http://schemas.openxmlformats.org/officeDocument/2006/relationships/hyperlink" Target="https://www.aliexpress.com/w/wholesale-Sonoff+TX+Ultimate+Smart+Wall+Switch.html" TargetMode="External" Id="rId801" /><Relationship Type="http://schemas.openxmlformats.org/officeDocument/2006/relationships/hyperlink" Target="https://www.amazon.sa/s?k=Sonoff+TX+Ultimate+Smart+Wall+Switch" TargetMode="External" Id="rId802" /><Relationship Type="http://schemas.openxmlformats.org/officeDocument/2006/relationships/hyperlink" Target="https://www.noon.com/saudi-en/search/?q=Sonoff+TX+Ultimate+Smart+Wall+Switch" TargetMode="External" Id="rId803" /><Relationship Type="http://schemas.openxmlformats.org/officeDocument/2006/relationships/hyperlink" Target="https://www.jarir.com/sa-en/catalogsearch/result/?q=Sonoff+TX+Ultimate+Smart+Wall+Switch" TargetMode="External" Id="rId804" /><Relationship Type="http://schemas.openxmlformats.org/officeDocument/2006/relationships/hyperlink" Target="https://www.aliexpress.com/w/wholesale-Aqara+Water+Leak+Sensor.html" TargetMode="External" Id="rId805" /><Relationship Type="http://schemas.openxmlformats.org/officeDocument/2006/relationships/hyperlink" Target="https://www.amazon.sa/s?k=Aqara+Water+Leak+Sensor" TargetMode="External" Id="rId806" /><Relationship Type="http://schemas.openxmlformats.org/officeDocument/2006/relationships/hyperlink" Target="https://www.noon.com/saudi-en/search/?q=Aqara+Water+Leak+Sensor" TargetMode="External" Id="rId807" /><Relationship Type="http://schemas.openxmlformats.org/officeDocument/2006/relationships/hyperlink" Target="https://www.jarir.com/sa-en/catalogsearch/result/?q=Aqara+Water+Leak+Sensor" TargetMode="External" Id="rId808" /><Relationship Type="http://schemas.openxmlformats.org/officeDocument/2006/relationships/hyperlink" Target="https://www.aliexpress.com/w/wholesale-Broadlink+RM4+Pro.html" TargetMode="External" Id="rId809" /><Relationship Type="http://schemas.openxmlformats.org/officeDocument/2006/relationships/hyperlink" Target="https://www.amazon.sa/s?k=Broadlink+RM4+Pro" TargetMode="External" Id="rId810" /><Relationship Type="http://schemas.openxmlformats.org/officeDocument/2006/relationships/hyperlink" Target="https://www.noon.com/saudi-en/search/?q=Broadlink+RM4+Pro" TargetMode="External" Id="rId811" /><Relationship Type="http://schemas.openxmlformats.org/officeDocument/2006/relationships/hyperlink" Target="https://www.jarir.com/sa-en/catalogsearch/result/?q=Broadlink+RM4+Pro" TargetMode="External" Id="rId812" /><Relationship Type="http://schemas.openxmlformats.org/officeDocument/2006/relationships/hyperlink" Target="https://www.aliexpress.com/w/wholesale-UniFi+Protect+G4+Pro+Camera.html" TargetMode="External" Id="rId813" /><Relationship Type="http://schemas.openxmlformats.org/officeDocument/2006/relationships/hyperlink" Target="https://www.amazon.sa/s?k=UniFi+Protect+G4+Pro+Camera" TargetMode="External" Id="rId814" /><Relationship Type="http://schemas.openxmlformats.org/officeDocument/2006/relationships/hyperlink" Target="https://www.noon.com/saudi-en/search/?q=UniFi+Protect+G4+Pro+Camera" TargetMode="External" Id="rId815" /><Relationship Type="http://schemas.openxmlformats.org/officeDocument/2006/relationships/hyperlink" Target="https://www.jarir.com/sa-en/catalogsearch/result/?q=UniFi+Protect+G4+Pro+Camera" TargetMode="External" Id="rId816" /><Relationship Type="http://schemas.openxmlformats.org/officeDocument/2006/relationships/hyperlink" Target="https://www.aliexpress.com/w/wholesale-Aqara+Smart+Door+Lock+A100.html" TargetMode="External" Id="rId817" /><Relationship Type="http://schemas.openxmlformats.org/officeDocument/2006/relationships/hyperlink" Target="https://www.amazon.sa/s?k=Aqara+Smart+Door+Lock+A100" TargetMode="External" Id="rId818" /><Relationship Type="http://schemas.openxmlformats.org/officeDocument/2006/relationships/hyperlink" Target="https://www.noon.com/saudi-en/search/?q=Aqara+Smart+Door+Lock+A100" TargetMode="External" Id="rId819" /><Relationship Type="http://schemas.openxmlformats.org/officeDocument/2006/relationships/hyperlink" Target="https://www.jarir.com/sa-en/catalogsearch/result/?q=Aqara+Smart+Door+Lock+A100" TargetMode="External" Id="rId820" /><Relationship Type="http://schemas.openxmlformats.org/officeDocument/2006/relationships/hyperlink" Target="https://www.aliexpress.com/w/wholesale-Asustor+Flashstor+6.html" TargetMode="External" Id="rId821" /><Relationship Type="http://schemas.openxmlformats.org/officeDocument/2006/relationships/hyperlink" Target="https://www.amazon.sa/s?k=Asustor+Flashstor+6" TargetMode="External" Id="rId822" /><Relationship Type="http://schemas.openxmlformats.org/officeDocument/2006/relationships/hyperlink" Target="https://www.noon.com/saudi-en/search/?q=Asustor+Flashstor+6" TargetMode="External" Id="rId823" /><Relationship Type="http://schemas.openxmlformats.org/officeDocument/2006/relationships/hyperlink" Target="https://www.jarir.com/sa-en/catalogsearch/result/?q=Asustor+Flashstor+6" TargetMode="External" Id="rId824" /><Relationship Type="http://schemas.openxmlformats.org/officeDocument/2006/relationships/hyperlink" Target="https://www.aliexpress.com/w/wholesale-UniFi+6+Long-Range.html" TargetMode="External" Id="rId825" /><Relationship Type="http://schemas.openxmlformats.org/officeDocument/2006/relationships/hyperlink" Target="https://www.amazon.sa/s?k=UniFi+6+Long-Range" TargetMode="External" Id="rId826" /><Relationship Type="http://schemas.openxmlformats.org/officeDocument/2006/relationships/hyperlink" Target="https://www.noon.com/saudi-en/search/?q=UniFi+6+Long-Range" TargetMode="External" Id="rId827" /><Relationship Type="http://schemas.openxmlformats.org/officeDocument/2006/relationships/hyperlink" Target="https://www.jarir.com/sa-en/catalogsearch/result/?q=UniFi+6+Long-Range" TargetMode="External" Id="rId828" /><Relationship Type="http://schemas.openxmlformats.org/officeDocument/2006/relationships/hyperlink" Target="https://www.aliexpress.com/w/wholesale-Ubiquiti+UniFi+Dream+Machine+Pro.html" TargetMode="External" Id="rId829" /><Relationship Type="http://schemas.openxmlformats.org/officeDocument/2006/relationships/hyperlink" Target="https://www.amazon.sa/s?k=Ubiquiti+UniFi+Dream+Machine+Pro" TargetMode="External" Id="rId830" /><Relationship Type="http://schemas.openxmlformats.org/officeDocument/2006/relationships/hyperlink" Target="https://www.noon.com/saudi-en/search/?q=Ubiquiti+UniFi+Dream+Machine+Pro" TargetMode="External" Id="rId831" /><Relationship Type="http://schemas.openxmlformats.org/officeDocument/2006/relationships/hyperlink" Target="https://www.jarir.com/sa-en/catalogsearch/result/?q=Ubiquiti+UniFi+Dream+Machine+Pro" TargetMode="External" Id="rId832" /><Relationship Type="http://schemas.openxmlformats.org/officeDocument/2006/relationships/hyperlink" Target="https://www.aliexpress.com/w/wholesale-Asustor+Lockerstor+4.html" TargetMode="External" Id="rId833" /><Relationship Type="http://schemas.openxmlformats.org/officeDocument/2006/relationships/hyperlink" Target="https://www.amazon.sa/s?k=Asustor+Lockerstor+4" TargetMode="External" Id="rId834" /><Relationship Type="http://schemas.openxmlformats.org/officeDocument/2006/relationships/hyperlink" Target="https://www.noon.com/saudi-en/search/?q=Asustor+Lockerstor+4" TargetMode="External" Id="rId835" /><Relationship Type="http://schemas.openxmlformats.org/officeDocument/2006/relationships/hyperlink" Target="https://www.jarir.com/sa-en/catalogsearch/result/?q=Asustor+Lockerstor+4" TargetMode="External" Id="rId836" /><Relationship Type="http://schemas.openxmlformats.org/officeDocument/2006/relationships/hyperlink" Target="https://www.aliexpress.com/w/wholesale-Dell+PowerEdge+R730+Refurbished+Server.html" TargetMode="External" Id="rId837" /><Relationship Type="http://schemas.openxmlformats.org/officeDocument/2006/relationships/hyperlink" Target="https://www.amazon.sa/s?k=Dell+PowerEdge+R730+Refurbished+Server" TargetMode="External" Id="rId838" /><Relationship Type="http://schemas.openxmlformats.org/officeDocument/2006/relationships/hyperlink" Target="https://www.noon.com/saudi-en/search/?q=Dell+PowerEdge+R730+Refurbished+Server" TargetMode="External" Id="rId839" /><Relationship Type="http://schemas.openxmlformats.org/officeDocument/2006/relationships/hyperlink" Target="https://www.jarir.com/sa-en/catalogsearch/result/?q=Dell+PowerEdge+R730+Refurbished+Server" TargetMode="External" Id="rId8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7"/>
  <sheetViews>
    <sheetView rightToLeft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25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3" customWidth="1" min="13" max="13"/>
    <col width="13" customWidth="1" min="14" max="14"/>
    <col width="11" customWidth="1" min="15" max="15"/>
    <col width="13" customWidth="1" min="16" max="16"/>
    <col width="14" customWidth="1" min="17" max="17"/>
    <col width="10" customWidth="1" min="18" max="18"/>
    <col width="22" customWidth="1" min="19" max="19"/>
  </cols>
  <sheetData>
    <row r="1" ht="48" customHeight="1">
      <c r="A1" s="1" t="inlineStr">
        <is>
          <t>#</t>
        </is>
      </c>
      <c r="B1" s="1" t="inlineStr">
        <is>
          <t>SKU</t>
        </is>
      </c>
      <c r="C1" s="1" t="inlineStr">
        <is>
          <t>Product Name</t>
        </is>
      </c>
      <c r="D1" s="1" t="inlineStr">
        <is>
          <t>Category</t>
        </is>
      </c>
      <c r="E1" s="1" t="inlineStr">
        <is>
          <t>Current Sale (SAR)</t>
        </is>
      </c>
      <c r="F1" s="1" t="inlineStr">
        <is>
          <t>AliExpress URL</t>
        </is>
      </c>
      <c r="G1" s="1" t="inlineStr">
        <is>
          <t>Amazon.sa URL</t>
        </is>
      </c>
      <c r="H1" s="1" t="inlineStr">
        <is>
          <t>Noon URL</t>
        </is>
      </c>
      <c r="I1" s="1" t="inlineStr">
        <is>
          <t>Jarir URL</t>
        </is>
      </c>
      <c r="J1" s="1" t="inlineStr">
        <is>
          <t>AliExp Price (USD)</t>
        </is>
      </c>
      <c r="K1" s="1" t="inlineStr">
        <is>
          <t>Amazon.sa Price (SAR)</t>
        </is>
      </c>
      <c r="L1" s="1" t="inlineStr">
        <is>
          <t>Noon Price (SAR)</t>
        </is>
      </c>
      <c r="M1" s="1" t="inlineStr">
        <is>
          <t>AliExp in SAR</t>
        </is>
      </c>
      <c r="N1" s="1" t="inlineStr">
        <is>
          <t>Min Cost (SAR)</t>
        </is>
      </c>
      <c r="O1" s="1" t="inlineStr">
        <is>
          <t>Current Margin %</t>
        </is>
      </c>
      <c r="P1" s="1" t="inlineStr">
        <is>
          <t>Current Profit (SAR)</t>
        </is>
      </c>
      <c r="Q1" s="1" t="inlineStr">
        <is>
          <t>Suggested Sell (SAR)</t>
        </is>
      </c>
      <c r="R1" s="1" t="inlineStr">
        <is>
          <t>vs Noon</t>
        </is>
      </c>
      <c r="S1" s="1" t="inlineStr">
        <is>
          <t>Recommendation</t>
        </is>
      </c>
    </row>
    <row r="2">
      <c r="A2" s="2" t="n">
        <v>1</v>
      </c>
      <c r="B2" s="2" t="inlineStr">
        <is>
          <t>GC-SW-ACC1</t>
        </is>
      </c>
      <c r="C2" s="2" t="inlineStr">
        <is>
          <t>Adobe Creative Cloud 1 Year | أدوبي كرييتف كلاود</t>
        </is>
      </c>
      <c r="D2" s="2" t="inlineStr">
        <is>
          <t>Gift Cards &amp;amp; Software Keys</t>
        </is>
      </c>
      <c r="E2" s="3" t="n">
        <v>1999</v>
      </c>
      <c r="F2" s="4" t="inlineStr">
        <is>
          <t>🔗 Search</t>
        </is>
      </c>
      <c r="G2" s="4" t="inlineStr">
        <is>
          <t>🔗 Amazon</t>
        </is>
      </c>
      <c r="H2" s="4" t="inlineStr">
        <is>
          <t>🔗 Noon</t>
        </is>
      </c>
      <c r="I2" s="4" t="inlineStr">
        <is>
          <t>🔗 Jarir</t>
        </is>
      </c>
      <c r="J2" s="5" t="n"/>
      <c r="K2" s="6" t="n"/>
      <c r="L2" s="6" t="n"/>
      <c r="M2" s="7">
        <f>IF(J2="","",J2*3.75)</f>
        <v/>
      </c>
      <c r="N2" s="7">
        <f>IFERROR(MIN(IF(M2&lt;&gt;"",M2,9E9),IF(K2&lt;&gt;"",K2,9E9),IF(L2&lt;&gt;"",L2,9E9)),"")</f>
        <v/>
      </c>
      <c r="O2" s="8">
        <f>IF(OR(N2="",E2=0),"",(E2-N2)/N2)</f>
        <v/>
      </c>
      <c r="P2" s="7">
        <f>IF(N2="","",E2-N2)</f>
        <v/>
      </c>
      <c r="Q2" s="7">
        <f>IF(N2="","",CEILING(MAX(N2*1.4,IF(L2="",N2*1.5,L2*0.95)),10)-1)</f>
        <v/>
      </c>
      <c r="R2" s="9">
        <f>IF(OR(L2="",Q2=""),"",TEXT((Q2-L2)/L2,"+0.0%;-0.0%"))</f>
        <v/>
      </c>
      <c r="S2" s="10">
        <f>IF(N2="","fill prices →",IF(O2&gt;0.5,"✅ PROFITABLE — keep",IF(O2&gt;0.2,"🟡 OK — optimize",IF(O2&gt;0,"⚠️ THIN — raise price or drop","❌ LOSING MONEY — drop or renegotiate"))))</f>
        <v/>
      </c>
    </row>
    <row r="3">
      <c r="A3" t="n">
        <v>2</v>
      </c>
      <c r="B3" t="inlineStr">
        <is>
          <t>GC-SW-KTS1</t>
        </is>
      </c>
      <c r="C3" t="inlineStr">
        <is>
          <t>Kaspersky Total Security 1 Year | كاسبرسكي</t>
        </is>
      </c>
      <c r="D3" t="inlineStr">
        <is>
          <t>Gift Cards &amp;amp; Software Keys</t>
        </is>
      </c>
      <c r="E3" s="11" t="n">
        <v>119</v>
      </c>
      <c r="F3" s="12" t="inlineStr">
        <is>
          <t>🔗 Search</t>
        </is>
      </c>
      <c r="G3" s="12" t="inlineStr">
        <is>
          <t>🔗 Amazon</t>
        </is>
      </c>
      <c r="H3" s="12" t="inlineStr">
        <is>
          <t>🔗 Noon</t>
        </is>
      </c>
      <c r="I3" s="12" t="inlineStr">
        <is>
          <t>🔗 Jarir</t>
        </is>
      </c>
      <c r="J3" s="5" t="n"/>
      <c r="K3" s="6" t="n"/>
      <c r="L3" s="6" t="n"/>
      <c r="M3" s="7">
        <f>IF(J3="","",J3*3.75)</f>
        <v/>
      </c>
      <c r="N3" s="7">
        <f>IFERROR(MIN(IF(M3&lt;&gt;"",M3,9E9),IF(K3&lt;&gt;"",K3,9E9),IF(L3&lt;&gt;"",L3,9E9)),"")</f>
        <v/>
      </c>
      <c r="O3" s="8">
        <f>IF(OR(N3="",E3=0),"",(E3-N3)/N3)</f>
        <v/>
      </c>
      <c r="P3" s="7">
        <f>IF(N3="","",E3-N3)</f>
        <v/>
      </c>
      <c r="Q3" s="7">
        <f>IF(N3="","",CEILING(MAX(N3*1.4,IF(L3="",N3*1.5,L3*0.95)),10)-1)</f>
        <v/>
      </c>
      <c r="R3" s="9">
        <f>IF(OR(L3="",Q3=""),"",TEXT((Q3-L3)/L3,"+0.0%;-0.0%"))</f>
        <v/>
      </c>
      <c r="S3" s="10">
        <f>IF(N3="","fill prices →",IF(O3&gt;0.5,"✅ PROFITABLE — keep",IF(O3&gt;0.2,"🟡 OK — optimize",IF(O3&gt;0,"⚠️ THIN — raise price or drop","❌ LOSING MONEY — drop or renegotiate"))))</f>
        <v/>
      </c>
    </row>
    <row r="4">
      <c r="A4" s="2" t="n">
        <v>3</v>
      </c>
      <c r="B4" s="2" t="inlineStr">
        <is>
          <t>GC-APL-100</t>
        </is>
      </c>
      <c r="C4" s="2" t="inlineStr">
        <is>
          <t>Apple Gift Card $100 | بطاقة آبل</t>
        </is>
      </c>
      <c r="D4" s="2" t="inlineStr">
        <is>
          <t>Gift Cards &amp;amp; Software Keys</t>
        </is>
      </c>
      <c r="E4" s="3" t="n">
        <v>389</v>
      </c>
      <c r="F4" s="4" t="inlineStr">
        <is>
          <t>🔗 Search</t>
        </is>
      </c>
      <c r="G4" s="4" t="inlineStr">
        <is>
          <t>🔗 Amazon</t>
        </is>
      </c>
      <c r="H4" s="4" t="inlineStr">
        <is>
          <t>🔗 Noon</t>
        </is>
      </c>
      <c r="I4" s="4" t="inlineStr">
        <is>
          <t>🔗 Jarir</t>
        </is>
      </c>
      <c r="J4" s="5" t="n"/>
      <c r="K4" s="6" t="n"/>
      <c r="L4" s="6" t="n"/>
      <c r="M4" s="7">
        <f>IF(J4="","",J4*3.75)</f>
        <v/>
      </c>
      <c r="N4" s="7">
        <f>IFERROR(MIN(IF(M4&lt;&gt;"",M4,9E9),IF(K4&lt;&gt;"",K4,9E9),IF(L4&lt;&gt;"",L4,9E9)),"")</f>
        <v/>
      </c>
      <c r="O4" s="8">
        <f>IF(OR(N4="",E4=0),"",(E4-N4)/N4)</f>
        <v/>
      </c>
      <c r="P4" s="7">
        <f>IF(N4="","",E4-N4)</f>
        <v/>
      </c>
      <c r="Q4" s="7">
        <f>IF(N4="","",CEILING(MAX(N4*1.4,IF(L4="",N4*1.5,L4*0.95)),10)-1)</f>
        <v/>
      </c>
      <c r="R4" s="9">
        <f>IF(OR(L4="",Q4=""),"",TEXT((Q4-L4)/L4,"+0.0%;-0.0%"))</f>
        <v/>
      </c>
      <c r="S4" s="10">
        <f>IF(N4="","fill prices →",IF(O4&gt;0.5,"✅ PROFITABLE — keep",IF(O4&gt;0.2,"🟡 OK — optimize",IF(O4&gt;0,"⚠️ THIN — raise price or drop","❌ LOSING MONEY — drop or renegotiate"))))</f>
        <v/>
      </c>
    </row>
    <row r="5">
      <c r="A5" t="n">
        <v>4</v>
      </c>
      <c r="B5" t="inlineStr">
        <is>
          <t>GC-GP-50</t>
        </is>
      </c>
      <c r="C5" t="inlineStr">
        <is>
          <t>Google Play $50 Gift Card | بطاقة قوقل بلاي</t>
        </is>
      </c>
      <c r="D5" t="inlineStr">
        <is>
          <t>Gift Cards &amp;amp; Software Keys</t>
        </is>
      </c>
      <c r="E5" s="11" t="n">
        <v>199</v>
      </c>
      <c r="F5" s="12" t="inlineStr">
        <is>
          <t>🔗 Search</t>
        </is>
      </c>
      <c r="G5" s="12" t="inlineStr">
        <is>
          <t>🔗 Amazon</t>
        </is>
      </c>
      <c r="H5" s="12" t="inlineStr">
        <is>
          <t>🔗 Noon</t>
        </is>
      </c>
      <c r="I5" s="12" t="inlineStr">
        <is>
          <t>🔗 Jarir</t>
        </is>
      </c>
      <c r="J5" s="5" t="n"/>
      <c r="K5" s="6" t="n"/>
      <c r="L5" s="6" t="n"/>
      <c r="M5" s="7">
        <f>IF(J5="","",J5*3.75)</f>
        <v/>
      </c>
      <c r="N5" s="7">
        <f>IFERROR(MIN(IF(M5&lt;&gt;"",M5,9E9),IF(K5&lt;&gt;"",K5,9E9),IF(L5&lt;&gt;"",L5,9E9)),"")</f>
        <v/>
      </c>
      <c r="O5" s="8">
        <f>IF(OR(N5="",E5=0),"",(E5-N5)/N5)</f>
        <v/>
      </c>
      <c r="P5" s="7">
        <f>IF(N5="","",E5-N5)</f>
        <v/>
      </c>
      <c r="Q5" s="7">
        <f>IF(N5="","",CEILING(MAX(N5*1.4,IF(L5="",N5*1.5,L5*0.95)),10)-1)</f>
        <v/>
      </c>
      <c r="R5" s="9">
        <f>IF(OR(L5="",Q5=""),"",TEXT((Q5-L5)/L5,"+0.0%;-0.0%"))</f>
        <v/>
      </c>
      <c r="S5" s="10">
        <f>IF(N5="","fill prices →",IF(O5&gt;0.5,"✅ PROFITABLE — keep",IF(O5&gt;0.2,"🟡 OK — optimize",IF(O5&gt;0,"⚠️ THIN — raise price or drop","❌ LOSING MONEY — drop or renegotiate"))))</f>
        <v/>
      </c>
    </row>
    <row r="6">
      <c r="A6" s="2" t="n">
        <v>5</v>
      </c>
      <c r="B6" s="2" t="inlineStr">
        <is>
          <t>GC-NFX-100</t>
        </is>
      </c>
      <c r="C6" s="2" t="inlineStr">
        <is>
          <t>Netflix Gift Card $100 | بطاقة نتفلكس</t>
        </is>
      </c>
      <c r="D6" s="2" t="inlineStr">
        <is>
          <t>Gift Cards &amp;amp; Software Keys</t>
        </is>
      </c>
      <c r="E6" s="3" t="n">
        <v>389</v>
      </c>
      <c r="F6" s="4" t="inlineStr">
        <is>
          <t>🔗 Search</t>
        </is>
      </c>
      <c r="G6" s="4" t="inlineStr">
        <is>
          <t>🔗 Amazon</t>
        </is>
      </c>
      <c r="H6" s="4" t="inlineStr">
        <is>
          <t>🔗 Noon</t>
        </is>
      </c>
      <c r="I6" s="4" t="inlineStr">
        <is>
          <t>🔗 Jarir</t>
        </is>
      </c>
      <c r="J6" s="5" t="n"/>
      <c r="K6" s="6" t="n"/>
      <c r="L6" s="6" t="n"/>
      <c r="M6" s="7">
        <f>IF(J6="","",J6*3.75)</f>
        <v/>
      </c>
      <c r="N6" s="7">
        <f>IFERROR(MIN(IF(M6&lt;&gt;"",M6,9E9),IF(K6&lt;&gt;"",K6,9E9),IF(L6&lt;&gt;"",L6,9E9)),"")</f>
        <v/>
      </c>
      <c r="O6" s="8">
        <f>IF(OR(N6="",E6=0),"",(E6-N6)/N6)</f>
        <v/>
      </c>
      <c r="P6" s="7">
        <f>IF(N6="","",E6-N6)</f>
        <v/>
      </c>
      <c r="Q6" s="7">
        <f>IF(N6="","",CEILING(MAX(N6*1.4,IF(L6="",N6*1.5,L6*0.95)),10)-1)</f>
        <v/>
      </c>
      <c r="R6" s="9">
        <f>IF(OR(L6="",Q6=""),"",TEXT((Q6-L6)/L6,"+0.0%;-0.0%"))</f>
        <v/>
      </c>
      <c r="S6" s="10">
        <f>IF(N6="","fill prices →",IF(O6&gt;0.5,"✅ PROFITABLE — keep",IF(O6&gt;0.2,"🟡 OK — optimize",IF(O6&gt;0,"⚠️ THIN — raise price or drop","❌ LOSING MONEY — drop or renegotiate"))))</f>
        <v/>
      </c>
    </row>
    <row r="7">
      <c r="A7" t="n">
        <v>6</v>
      </c>
      <c r="B7" t="inlineStr">
        <is>
          <t>GC-XBX-GPU3</t>
        </is>
      </c>
      <c r="C7" t="inlineStr">
        <is>
          <t>Xbox Game Pass Ultimate 3 Months | قيم باس</t>
        </is>
      </c>
      <c r="D7" t="inlineStr">
        <is>
          <t>Gift Cards &amp;amp; Software Keys</t>
        </is>
      </c>
      <c r="E7" s="11" t="n">
        <v>149</v>
      </c>
      <c r="F7" s="12" t="inlineStr">
        <is>
          <t>🔗 Search</t>
        </is>
      </c>
      <c r="G7" s="12" t="inlineStr">
        <is>
          <t>🔗 Amazon</t>
        </is>
      </c>
      <c r="H7" s="12" t="inlineStr">
        <is>
          <t>🔗 Noon</t>
        </is>
      </c>
      <c r="I7" s="12" t="inlineStr">
        <is>
          <t>🔗 Jarir</t>
        </is>
      </c>
      <c r="J7" s="5" t="n"/>
      <c r="K7" s="6" t="n"/>
      <c r="L7" s="6" t="n"/>
      <c r="M7" s="7">
        <f>IF(J7="","",J7*3.75)</f>
        <v/>
      </c>
      <c r="N7" s="7">
        <f>IFERROR(MIN(IF(M7&lt;&gt;"",M7,9E9),IF(K7&lt;&gt;"",K7,9E9),IF(L7&lt;&gt;"",L7,9E9)),"")</f>
        <v/>
      </c>
      <c r="O7" s="8">
        <f>IF(OR(N7="",E7=0),"",(E7-N7)/N7)</f>
        <v/>
      </c>
      <c r="P7" s="7">
        <f>IF(N7="","",E7-N7)</f>
        <v/>
      </c>
      <c r="Q7" s="7">
        <f>IF(N7="","",CEILING(MAX(N7*1.4,IF(L7="",N7*1.5,L7*0.95)),10)-1)</f>
        <v/>
      </c>
      <c r="R7" s="9">
        <f>IF(OR(L7="",Q7=""),"",TEXT((Q7-L7)/L7,"+0.0%;-0.0%"))</f>
        <v/>
      </c>
      <c r="S7" s="10">
        <f>IF(N7="","fill prices →",IF(O7&gt;0.5,"✅ PROFITABLE — keep",IF(O7&gt;0.2,"🟡 OK — optimize",IF(O7&gt;0,"⚠️ THIN — raise price or drop","❌ LOSING MONEY — drop or renegotiate"))))</f>
        <v/>
      </c>
    </row>
    <row r="8">
      <c r="A8" s="2" t="n">
        <v>7</v>
      </c>
      <c r="B8" s="2" t="inlineStr">
        <is>
          <t>GC-STM-50</t>
        </is>
      </c>
      <c r="C8" s="2" t="inlineStr">
        <is>
          <t>Steam Wallet $50 Gift Card | بطاقة ستيم</t>
        </is>
      </c>
      <c r="D8" s="2" t="inlineStr">
        <is>
          <t>Gift Cards &amp;amp; Software Keys</t>
        </is>
      </c>
      <c r="E8" s="3" t="n">
        <v>199</v>
      </c>
      <c r="F8" s="4" t="inlineStr">
        <is>
          <t>🔗 Search</t>
        </is>
      </c>
      <c r="G8" s="4" t="inlineStr">
        <is>
          <t>🔗 Amazon</t>
        </is>
      </c>
      <c r="H8" s="4" t="inlineStr">
        <is>
          <t>🔗 Noon</t>
        </is>
      </c>
      <c r="I8" s="4" t="inlineStr">
        <is>
          <t>🔗 Jarir</t>
        </is>
      </c>
      <c r="J8" s="5" t="n"/>
      <c r="K8" s="6" t="n"/>
      <c r="L8" s="6" t="n"/>
      <c r="M8" s="7">
        <f>IF(J8="","",J8*3.75)</f>
        <v/>
      </c>
      <c r="N8" s="7">
        <f>IFERROR(MIN(IF(M8&lt;&gt;"",M8,9E9),IF(K8&lt;&gt;"",K8,9E9),IF(L8&lt;&gt;"",L8,9E9)),"")</f>
        <v/>
      </c>
      <c r="O8" s="8">
        <f>IF(OR(N8="",E8=0),"",(E8-N8)/N8)</f>
        <v/>
      </c>
      <c r="P8" s="7">
        <f>IF(N8="","",E8-N8)</f>
        <v/>
      </c>
      <c r="Q8" s="7">
        <f>IF(N8="","",CEILING(MAX(N8*1.4,IF(L8="",N8*1.5,L8*0.95)),10)-1)</f>
        <v/>
      </c>
      <c r="R8" s="9">
        <f>IF(OR(L8="",Q8=""),"",TEXT((Q8-L8)/L8,"+0.0%;-0.0%"))</f>
        <v/>
      </c>
      <c r="S8" s="10">
        <f>IF(N8="","fill prices →",IF(O8&gt;0.5,"✅ PROFITABLE — keep",IF(O8&gt;0.2,"🟡 OK — optimize",IF(O8&gt;0,"⚠️ THIN — raise price or drop","❌ LOSING MONEY — drop or renegotiate"))))</f>
        <v/>
      </c>
    </row>
    <row r="9">
      <c r="A9" t="n">
        <v>8</v>
      </c>
      <c r="B9" t="inlineStr">
        <is>
          <t>GC-PSN-50</t>
        </is>
      </c>
      <c r="C9" t="inlineStr">
        <is>
          <t>PlayStation Store $50 Gift Card | بطاقة بلايستيشن</t>
        </is>
      </c>
      <c r="D9" t="inlineStr">
        <is>
          <t>Gift Cards &amp;amp; Software Keys</t>
        </is>
      </c>
      <c r="E9" s="11" t="n">
        <v>199</v>
      </c>
      <c r="F9" s="12" t="inlineStr">
        <is>
          <t>🔗 Search</t>
        </is>
      </c>
      <c r="G9" s="12" t="inlineStr">
        <is>
          <t>🔗 Amazon</t>
        </is>
      </c>
      <c r="H9" s="12" t="inlineStr">
        <is>
          <t>🔗 Noon</t>
        </is>
      </c>
      <c r="I9" s="12" t="inlineStr">
        <is>
          <t>🔗 Jarir</t>
        </is>
      </c>
      <c r="J9" s="5" t="n"/>
      <c r="K9" s="6" t="n"/>
      <c r="L9" s="6" t="n"/>
      <c r="M9" s="7">
        <f>IF(J9="","",J9*3.75)</f>
        <v/>
      </c>
      <c r="N9" s="7">
        <f>IFERROR(MIN(IF(M9&lt;&gt;"",M9,9E9),IF(K9&lt;&gt;"",K9,9E9),IF(L9&lt;&gt;"",L9,9E9)),"")</f>
        <v/>
      </c>
      <c r="O9" s="8">
        <f>IF(OR(N9="",E9=0),"",(E9-N9)/N9)</f>
        <v/>
      </c>
      <c r="P9" s="7">
        <f>IF(N9="","",E9-N9)</f>
        <v/>
      </c>
      <c r="Q9" s="7">
        <f>IF(N9="","",CEILING(MAX(N9*1.4,IF(L9="",N9*1.5,L9*0.95)),10)-1)</f>
        <v/>
      </c>
      <c r="R9" s="9">
        <f>IF(OR(L9="",Q9=""),"",TEXT((Q9-L9)/L9,"+0.0%;-0.0%"))</f>
        <v/>
      </c>
      <c r="S9" s="10">
        <f>IF(N9="","fill prices →",IF(O9&gt;0.5,"✅ PROFITABLE — keep",IF(O9&gt;0.2,"🟡 OK — optimize",IF(O9&gt;0,"⚠️ THIN — raise price or drop","❌ LOSING MONEY — drop or renegotiate"))))</f>
        <v/>
      </c>
    </row>
    <row r="10">
      <c r="A10" s="2" t="n">
        <v>9</v>
      </c>
      <c r="B10" s="2" t="inlineStr">
        <is>
          <t>GC-SW-OFF24</t>
        </is>
      </c>
      <c r="C10" s="2" t="inlineStr">
        <is>
          <t>Microsoft Office 2024 Pro Plus | أوفيس 2024 برو</t>
        </is>
      </c>
      <c r="D10" s="2" t="inlineStr">
        <is>
          <t>Gift Cards &amp;amp; Software Keys</t>
        </is>
      </c>
      <c r="E10" s="3" t="n">
        <v>349</v>
      </c>
      <c r="F10" s="4" t="inlineStr">
        <is>
          <t>🔗 Search</t>
        </is>
      </c>
      <c r="G10" s="4" t="inlineStr">
        <is>
          <t>🔗 Amazon</t>
        </is>
      </c>
      <c r="H10" s="4" t="inlineStr">
        <is>
          <t>🔗 Noon</t>
        </is>
      </c>
      <c r="I10" s="4" t="inlineStr">
        <is>
          <t>🔗 Jarir</t>
        </is>
      </c>
      <c r="J10" s="5" t="n"/>
      <c r="K10" s="6" t="n"/>
      <c r="L10" s="6" t="n"/>
      <c r="M10" s="7">
        <f>IF(J10="","",J10*3.75)</f>
        <v/>
      </c>
      <c r="N10" s="7">
        <f>IFERROR(MIN(IF(M10&lt;&gt;"",M10,9E9),IF(K10&lt;&gt;"",K10,9E9),IF(L10&lt;&gt;"",L10,9E9)),"")</f>
        <v/>
      </c>
      <c r="O10" s="8">
        <f>IF(OR(N10="",E10=0),"",(E10-N10)/N10)</f>
        <v/>
      </c>
      <c r="P10" s="7">
        <f>IF(N10="","",E10-N10)</f>
        <v/>
      </c>
      <c r="Q10" s="7">
        <f>IF(N10="","",CEILING(MAX(N10*1.4,IF(L10="",N10*1.5,L10*0.95)),10)-1)</f>
        <v/>
      </c>
      <c r="R10" s="9">
        <f>IF(OR(L10="",Q10=""),"",TEXT((Q10-L10)/L10,"+0.0%;-0.0%"))</f>
        <v/>
      </c>
      <c r="S10" s="10">
        <f>IF(N10="","fill prices →",IF(O10&gt;0.5,"✅ PROFITABLE — keep",IF(O10&gt;0.2,"🟡 OK — optimize",IF(O10&gt;0,"⚠️ THIN — raise price or drop","❌ LOSING MONEY — drop or renegotiate"))))</f>
        <v/>
      </c>
    </row>
    <row r="11">
      <c r="A11" t="n">
        <v>10</v>
      </c>
      <c r="B11" t="inlineStr">
        <is>
          <t>GC-SW-WIN11</t>
        </is>
      </c>
      <c r="C11" t="inlineStr">
        <is>
          <t>Windows 11 Pro License Key | مفتاح ويندوز 11 برو</t>
        </is>
      </c>
      <c r="D11" t="inlineStr">
        <is>
          <t>Gift Cards &amp;amp; Software Keys</t>
        </is>
      </c>
      <c r="E11" s="11" t="n">
        <v>199</v>
      </c>
      <c r="F11" s="12" t="inlineStr">
        <is>
          <t>🔗 Search</t>
        </is>
      </c>
      <c r="G11" s="12" t="inlineStr">
        <is>
          <t>🔗 Amazon</t>
        </is>
      </c>
      <c r="H11" s="12" t="inlineStr">
        <is>
          <t>🔗 Noon</t>
        </is>
      </c>
      <c r="I11" s="12" t="inlineStr">
        <is>
          <t>🔗 Jarir</t>
        </is>
      </c>
      <c r="J11" s="5" t="n"/>
      <c r="K11" s="6" t="n"/>
      <c r="L11" s="6" t="n"/>
      <c r="M11" s="7">
        <f>IF(J11="","",J11*3.75)</f>
        <v/>
      </c>
      <c r="N11" s="7">
        <f>IFERROR(MIN(IF(M11&lt;&gt;"",M11,9E9),IF(K11&lt;&gt;"",K11,9E9),IF(L11&lt;&gt;"",L11,9E9)),"")</f>
        <v/>
      </c>
      <c r="O11" s="8">
        <f>IF(OR(N11="",E11=0),"",(E11-N11)/N11)</f>
        <v/>
      </c>
      <c r="P11" s="7">
        <f>IF(N11="","",E11-N11)</f>
        <v/>
      </c>
      <c r="Q11" s="7">
        <f>IF(N11="","",CEILING(MAX(N11*1.4,IF(L11="",N11*1.5,L11*0.95)),10)-1)</f>
        <v/>
      </c>
      <c r="R11" s="9">
        <f>IF(OR(L11="",Q11=""),"",TEXT((Q11-L11)/L11,"+0.0%;-0.0%"))</f>
        <v/>
      </c>
      <c r="S11" s="10">
        <f>IF(N11="","fill prices →",IF(O11&gt;0.5,"✅ PROFITABLE — keep",IF(O11&gt;0.2,"🟡 OK — optimize",IF(O11&gt;0,"⚠️ THIN — raise price or drop","❌ LOSING MONEY — drop or renegotiate"))))</f>
        <v/>
      </c>
    </row>
    <row r="12">
      <c r="A12" s="2" t="n">
        <v>11</v>
      </c>
      <c r="B12" s="2" t="inlineStr">
        <is>
          <t>GM-RTR-ASU-001</t>
        </is>
      </c>
      <c r="C12" s="2" t="inlineStr">
        <is>
          <t>ASUS ROG Rapture GT-BE19000AI (WiFi 7)</t>
        </is>
      </c>
      <c r="D12" s="2" t="inlineStr">
        <is>
          <t>Gaming</t>
        </is>
      </c>
      <c r="E12" s="3" t="n">
        <v>4799</v>
      </c>
      <c r="F12" s="4" t="inlineStr">
        <is>
          <t>🔗 Search</t>
        </is>
      </c>
      <c r="G12" s="4" t="inlineStr">
        <is>
          <t>🔗 Amazon</t>
        </is>
      </c>
      <c r="H12" s="4" t="inlineStr">
        <is>
          <t>🔗 Noon</t>
        </is>
      </c>
      <c r="I12" s="4" t="inlineStr">
        <is>
          <t>🔗 Jarir</t>
        </is>
      </c>
      <c r="J12" s="5" t="n"/>
      <c r="K12" s="6" t="n"/>
      <c r="L12" s="6" t="n"/>
      <c r="M12" s="7">
        <f>IF(J12="","",J12*3.75)</f>
        <v/>
      </c>
      <c r="N12" s="7">
        <f>IFERROR(MIN(IF(M12&lt;&gt;"",M12,9E9),IF(K12&lt;&gt;"",K12,9E9),IF(L12&lt;&gt;"",L12,9E9)),"")</f>
        <v/>
      </c>
      <c r="O12" s="8">
        <f>IF(OR(N12="",E12=0),"",(E12-N12)/N12)</f>
        <v/>
      </c>
      <c r="P12" s="7">
        <f>IF(N12="","",E12-N12)</f>
        <v/>
      </c>
      <c r="Q12" s="7">
        <f>IF(N12="","",CEILING(MAX(N12*1.4,IF(L12="",N12*1.5,L12*0.95)),10)-1)</f>
        <v/>
      </c>
      <c r="R12" s="9">
        <f>IF(OR(L12="",Q12=""),"",TEXT((Q12-L12)/L12,"+0.0%;-0.0%"))</f>
        <v/>
      </c>
      <c r="S12" s="10">
        <f>IF(N12="","fill prices →",IF(O12&gt;0.5,"✅ PROFITABLE — keep",IF(O12&gt;0.2,"🟡 OK — optimize",IF(O12&gt;0,"⚠️ THIN — raise price or drop","❌ LOSING MONEY — drop or renegotiate"))))</f>
        <v/>
      </c>
    </row>
    <row r="13">
      <c r="A13" t="n">
        <v>12</v>
      </c>
      <c r="B13" t="inlineStr">
        <is>
          <t>GM-PGA-JSA-001</t>
        </is>
      </c>
      <c r="C13" t="inlineStr">
        <is>
          <t>JSAUX 6-in-1 Dock (Steam Deck/ROG Ally)</t>
        </is>
      </c>
      <c r="D13" t="inlineStr">
        <is>
          <t>Gaming</t>
        </is>
      </c>
      <c r="E13" s="11" t="n">
        <v>459</v>
      </c>
      <c r="F13" s="12" t="inlineStr">
        <is>
          <t>🔗 Search</t>
        </is>
      </c>
      <c r="G13" s="12" t="inlineStr">
        <is>
          <t>🔗 Amazon</t>
        </is>
      </c>
      <c r="H13" s="12" t="inlineStr">
        <is>
          <t>🔗 Noon</t>
        </is>
      </c>
      <c r="I13" s="12" t="inlineStr">
        <is>
          <t>🔗 Jarir</t>
        </is>
      </c>
      <c r="J13" s="5" t="n"/>
      <c r="K13" s="6" t="n"/>
      <c r="L13" s="6" t="n"/>
      <c r="M13" s="7">
        <f>IF(J13="","",J13*3.75)</f>
        <v/>
      </c>
      <c r="N13" s="7">
        <f>IFERROR(MIN(IF(M13&lt;&gt;"",M13,9E9),IF(K13&lt;&gt;"",K13,9E9),IF(L13&lt;&gt;"",L13,9E9)),"")</f>
        <v/>
      </c>
      <c r="O13" s="8">
        <f>IF(OR(N13="",E13=0),"",(E13-N13)/N13)</f>
        <v/>
      </c>
      <c r="P13" s="7">
        <f>IF(N13="","",E13-N13)</f>
        <v/>
      </c>
      <c r="Q13" s="7">
        <f>IF(N13="","",CEILING(MAX(N13*1.4,IF(L13="",N13*1.5,L13*0.95)),10)-1)</f>
        <v/>
      </c>
      <c r="R13" s="9">
        <f>IF(OR(L13="",Q13=""),"",TEXT((Q13-L13)/L13,"+0.0%;-0.0%"))</f>
        <v/>
      </c>
      <c r="S13" s="10">
        <f>IF(N13="","fill prices →",IF(O13&gt;0.5,"✅ PROFITABLE — keep",IF(O13&gt;0.2,"🟡 OK — optimize",IF(O13&gt;0,"⚠️ THIN — raise price or drop","❌ LOSING MONEY — drop or renegotiate"))))</f>
        <v/>
      </c>
    </row>
    <row r="14">
      <c r="A14" s="2" t="n">
        <v>13</v>
      </c>
      <c r="B14" s="2" t="inlineStr">
        <is>
          <t>GM-CMP-NZX-001</t>
        </is>
      </c>
      <c r="C14" s="2" t="inlineStr">
        <is>
          <t>NZXT H9 Elite Mid-Tower ATX Case</t>
        </is>
      </c>
      <c r="D14" s="2" t="inlineStr">
        <is>
          <t>Hardware</t>
        </is>
      </c>
      <c r="E14" s="3" t="n">
        <v>1349</v>
      </c>
      <c r="F14" s="4" t="inlineStr">
        <is>
          <t>🔗 Search</t>
        </is>
      </c>
      <c r="G14" s="4" t="inlineStr">
        <is>
          <t>🔗 Amazon</t>
        </is>
      </c>
      <c r="H14" s="4" t="inlineStr">
        <is>
          <t>🔗 Noon</t>
        </is>
      </c>
      <c r="I14" s="4" t="inlineStr">
        <is>
          <t>🔗 Jarir</t>
        </is>
      </c>
      <c r="J14" s="5" t="n"/>
      <c r="K14" s="6" t="n"/>
      <c r="L14" s="6" t="n"/>
      <c r="M14" s="7">
        <f>IF(J14="","",J14*3.75)</f>
        <v/>
      </c>
      <c r="N14" s="7">
        <f>IFERROR(MIN(IF(M14&lt;&gt;"",M14,9E9),IF(K14&lt;&gt;"",K14,9E9),IF(L14&lt;&gt;"",L14,9E9)),"")</f>
        <v/>
      </c>
      <c r="O14" s="8">
        <f>IF(OR(N14="",E14=0),"",(E14-N14)/N14)</f>
        <v/>
      </c>
      <c r="P14" s="7">
        <f>IF(N14="","",E14-N14)</f>
        <v/>
      </c>
      <c r="Q14" s="7">
        <f>IF(N14="","",CEILING(MAX(N14*1.4,IF(L14="",N14*1.5,L14*0.95)),10)-1)</f>
        <v/>
      </c>
      <c r="R14" s="9">
        <f>IF(OR(L14="",Q14=""),"",TEXT((Q14-L14)/L14,"+0.0%;-0.0%"))</f>
        <v/>
      </c>
      <c r="S14" s="10">
        <f>IF(N14="","fill prices →",IF(O14&gt;0.5,"✅ PROFITABLE — keep",IF(O14&gt;0.2,"🟡 OK — optimize",IF(O14&gt;0,"⚠️ THIN — raise price or drop","❌ LOSING MONEY — drop or renegotiate"))))</f>
        <v/>
      </c>
    </row>
    <row r="15">
      <c r="A15" t="n">
        <v>14</v>
      </c>
      <c r="B15" t="inlineStr">
        <is>
          <t>GM-CMP-COR-001</t>
        </is>
      </c>
      <c r="C15" t="inlineStr">
        <is>
          <t>Corsair iCUE H150i RGB Elite (360mm AIO)</t>
        </is>
      </c>
      <c r="D15" t="inlineStr">
        <is>
          <t>Hardware</t>
        </is>
      </c>
      <c r="E15" s="11" t="n">
        <v>1149</v>
      </c>
      <c r="F15" s="12" t="inlineStr">
        <is>
          <t>🔗 Search</t>
        </is>
      </c>
      <c r="G15" s="12" t="inlineStr">
        <is>
          <t>🔗 Amazon</t>
        </is>
      </c>
      <c r="H15" s="12" t="inlineStr">
        <is>
          <t>🔗 Noon</t>
        </is>
      </c>
      <c r="I15" s="12" t="inlineStr">
        <is>
          <t>🔗 Jarir</t>
        </is>
      </c>
      <c r="J15" s="5" t="n"/>
      <c r="K15" s="6" t="n"/>
      <c r="L15" s="6" t="n"/>
      <c r="M15" s="7">
        <f>IF(J15="","",J15*3.75)</f>
        <v/>
      </c>
      <c r="N15" s="7">
        <f>IFERROR(MIN(IF(M15&lt;&gt;"",M15,9E9),IF(K15&lt;&gt;"",K15,9E9),IF(L15&lt;&gt;"",L15,9E9)),"")</f>
        <v/>
      </c>
      <c r="O15" s="8">
        <f>IF(OR(N15="",E15=0),"",(E15-N15)/N15)</f>
        <v/>
      </c>
      <c r="P15" s="7">
        <f>IF(N15="","",E15-N15)</f>
        <v/>
      </c>
      <c r="Q15" s="7">
        <f>IF(N15="","",CEILING(MAX(N15*1.4,IF(L15="",N15*1.5,L15*0.95)),10)-1)</f>
        <v/>
      </c>
      <c r="R15" s="9">
        <f>IF(OR(L15="",Q15=""),"",TEXT((Q15-L15)/L15,"+0.0%;-0.0%"))</f>
        <v/>
      </c>
      <c r="S15" s="10">
        <f>IF(N15="","fill prices →",IF(O15&gt;0.5,"✅ PROFITABLE — keep",IF(O15&gt;0.2,"🟡 OK — optimize",IF(O15&gt;0,"⚠️ THIN — raise price or drop","❌ LOSING MONEY — drop or renegotiate"))))</f>
        <v/>
      </c>
    </row>
    <row r="16">
      <c r="A16" s="2" t="n">
        <v>15</v>
      </c>
      <c r="B16" s="2" t="inlineStr">
        <is>
          <t>GM-GPU-GIG-001</t>
        </is>
      </c>
      <c r="C16" s="2" t="inlineStr">
        <is>
          <t>Gigabyte AORUS RTX 5090 Master 32GB</t>
        </is>
      </c>
      <c r="D16" s="2" t="inlineStr">
        <is>
          <t>Hardware</t>
        </is>
      </c>
      <c r="E16" s="3" t="n">
        <v>27999</v>
      </c>
      <c r="F16" s="4" t="inlineStr">
        <is>
          <t>🔗 Search</t>
        </is>
      </c>
      <c r="G16" s="4" t="inlineStr">
        <is>
          <t>🔗 Amazon</t>
        </is>
      </c>
      <c r="H16" s="4" t="inlineStr">
        <is>
          <t>🔗 Noon</t>
        </is>
      </c>
      <c r="I16" s="4" t="inlineStr">
        <is>
          <t>🔗 Jarir</t>
        </is>
      </c>
      <c r="J16" s="5" t="n"/>
      <c r="K16" s="6" t="n"/>
      <c r="L16" s="6" t="n"/>
      <c r="M16" s="7">
        <f>IF(J16="","",J16*3.75)</f>
        <v/>
      </c>
      <c r="N16" s="7">
        <f>IFERROR(MIN(IF(M16&lt;&gt;"",M16,9E9),IF(K16&lt;&gt;"",K16,9E9),IF(L16&lt;&gt;"",L16,9E9)),"")</f>
        <v/>
      </c>
      <c r="O16" s="8">
        <f>IF(OR(N16="",E16=0),"",(E16-N16)/N16)</f>
        <v/>
      </c>
      <c r="P16" s="7">
        <f>IF(N16="","",E16-N16)</f>
        <v/>
      </c>
      <c r="Q16" s="7">
        <f>IF(N16="","",CEILING(MAX(N16*1.4,IF(L16="",N16*1.5,L16*0.95)),10)-1)</f>
        <v/>
      </c>
      <c r="R16" s="9">
        <f>IF(OR(L16="",Q16=""),"",TEXT((Q16-L16)/L16,"+0.0%;-0.0%"))</f>
        <v/>
      </c>
      <c r="S16" s="10">
        <f>IF(N16="","fill prices →",IF(O16&gt;0.5,"✅ PROFITABLE — keep",IF(O16&gt;0.2,"🟡 OK — optimize",IF(O16&gt;0,"⚠️ THIN — raise price or drop","❌ LOSING MONEY — drop or renegotiate"))))</f>
        <v/>
      </c>
    </row>
    <row r="17">
      <c r="A17" t="n">
        <v>16</v>
      </c>
      <c r="B17" t="inlineStr">
        <is>
          <t>GM-GPU-NVD-002</t>
        </is>
      </c>
      <c r="C17" t="inlineStr">
        <is>
          <t>NVIDIA RTX 5080 Founders Edition (16GB)</t>
        </is>
      </c>
      <c r="D17" t="inlineStr">
        <is>
          <t>Hardware</t>
        </is>
      </c>
      <c r="E17" s="11" t="n">
        <v>6499</v>
      </c>
      <c r="F17" s="12" t="inlineStr">
        <is>
          <t>🔗 Search</t>
        </is>
      </c>
      <c r="G17" s="12" t="inlineStr">
        <is>
          <t>🔗 Amazon</t>
        </is>
      </c>
      <c r="H17" s="12" t="inlineStr">
        <is>
          <t>🔗 Noon</t>
        </is>
      </c>
      <c r="I17" s="12" t="inlineStr">
        <is>
          <t>🔗 Jarir</t>
        </is>
      </c>
      <c r="J17" s="5" t="n"/>
      <c r="K17" s="6" t="n"/>
      <c r="L17" s="6" t="n"/>
      <c r="M17" s="7">
        <f>IF(J17="","",J17*3.75)</f>
        <v/>
      </c>
      <c r="N17" s="7">
        <f>IFERROR(MIN(IF(M17&lt;&gt;"",M17,9E9),IF(K17&lt;&gt;"",K17,9E9),IF(L17&lt;&gt;"",L17,9E9)),"")</f>
        <v/>
      </c>
      <c r="O17" s="8">
        <f>IF(OR(N17="",E17=0),"",(E17-N17)/N17)</f>
        <v/>
      </c>
      <c r="P17" s="7">
        <f>IF(N17="","",E17-N17)</f>
        <v/>
      </c>
      <c r="Q17" s="7">
        <f>IF(N17="","",CEILING(MAX(N17*1.4,IF(L17="",N17*1.5,L17*0.95)),10)-1)</f>
        <v/>
      </c>
      <c r="R17" s="9">
        <f>IF(OR(L17="",Q17=""),"",TEXT((Q17-L17)/L17,"+0.0%;-0.0%"))</f>
        <v/>
      </c>
      <c r="S17" s="10">
        <f>IF(N17="","fill prices →",IF(O17&gt;0.5,"✅ PROFITABLE — keep",IF(O17&gt;0.2,"🟡 OK — optimize",IF(O17&gt;0,"⚠️ THIN — raise price or drop","❌ LOSING MONEY — drop or renegotiate"))))</f>
        <v/>
      </c>
    </row>
    <row r="18">
      <c r="A18" s="2" t="n">
        <v>17</v>
      </c>
      <c r="B18" s="2" t="inlineStr">
        <is>
          <t>GM-GPU-NVD-001</t>
        </is>
      </c>
      <c r="C18" s="2" t="inlineStr">
        <is>
          <t>NVIDIA RTX 5090 Founders Edition (32GB)</t>
        </is>
      </c>
      <c r="D18" s="2" t="inlineStr">
        <is>
          <t>Hardware</t>
        </is>
      </c>
      <c r="E18" s="3" t="n">
        <v>22999</v>
      </c>
      <c r="F18" s="4" t="inlineStr">
        <is>
          <t>🔗 Search</t>
        </is>
      </c>
      <c r="G18" s="4" t="inlineStr">
        <is>
          <t>🔗 Amazon</t>
        </is>
      </c>
      <c r="H18" s="4" t="inlineStr">
        <is>
          <t>🔗 Noon</t>
        </is>
      </c>
      <c r="I18" s="4" t="inlineStr">
        <is>
          <t>🔗 Jarir</t>
        </is>
      </c>
      <c r="J18" s="5" t="n"/>
      <c r="K18" s="6" t="n"/>
      <c r="L18" s="6" t="n"/>
      <c r="M18" s="7">
        <f>IF(J18="","",J18*3.75)</f>
        <v/>
      </c>
      <c r="N18" s="7">
        <f>IFERROR(MIN(IF(M18&lt;&gt;"",M18,9E9),IF(K18&lt;&gt;"",K18,9E9),IF(L18&lt;&gt;"",L18,9E9)),"")</f>
        <v/>
      </c>
      <c r="O18" s="8">
        <f>IF(OR(N18="",E18=0),"",(E18-N18)/N18)</f>
        <v/>
      </c>
      <c r="P18" s="7">
        <f>IF(N18="","",E18-N18)</f>
        <v/>
      </c>
      <c r="Q18" s="7">
        <f>IF(N18="","",CEILING(MAX(N18*1.4,IF(L18="",N18*1.5,L18*0.95)),10)-1)</f>
        <v/>
      </c>
      <c r="R18" s="9">
        <f>IF(OR(L18="",Q18=""),"",TEXT((Q18-L18)/L18,"+0.0%;-0.0%"))</f>
        <v/>
      </c>
      <c r="S18" s="10">
        <f>IF(N18="","fill prices →",IF(O18&gt;0.5,"✅ PROFITABLE — keep",IF(O18&gt;0.2,"🟡 OK — optimize",IF(O18&gt;0,"⚠️ THIN — raise price or drop","❌ LOSING MONEY — drop or renegotiate"))))</f>
        <v/>
      </c>
    </row>
    <row r="19">
      <c r="A19" t="n">
        <v>18</v>
      </c>
      <c r="B19" t="inlineStr">
        <is>
          <t>GM-STR-HPX-001</t>
        </is>
      </c>
      <c r="C19" t="inlineStr">
        <is>
          <t>HyperX QuadCast S USB Microphone</t>
        </is>
      </c>
      <c r="D19" t="inlineStr">
        <is>
          <t>Gaming</t>
        </is>
      </c>
      <c r="E19" s="11" t="n">
        <v>949</v>
      </c>
      <c r="F19" s="12" t="inlineStr">
        <is>
          <t>🔗 Search</t>
        </is>
      </c>
      <c r="G19" s="12" t="inlineStr">
        <is>
          <t>🔗 Amazon</t>
        </is>
      </c>
      <c r="H19" s="12" t="inlineStr">
        <is>
          <t>🔗 Noon</t>
        </is>
      </c>
      <c r="I19" s="12" t="inlineStr">
        <is>
          <t>🔗 Jarir</t>
        </is>
      </c>
      <c r="J19" s="5" t="n"/>
      <c r="K19" s="6" t="n"/>
      <c r="L19" s="6" t="n"/>
      <c r="M19" s="7">
        <f>IF(J19="","",J19*3.75)</f>
        <v/>
      </c>
      <c r="N19" s="7">
        <f>IFERROR(MIN(IF(M19&lt;&gt;"",M19,9E9),IF(K19&lt;&gt;"",K19,9E9),IF(L19&lt;&gt;"",L19,9E9)),"")</f>
        <v/>
      </c>
      <c r="O19" s="8">
        <f>IF(OR(N19="",E19=0),"",(E19-N19)/N19)</f>
        <v/>
      </c>
      <c r="P19" s="7">
        <f>IF(N19="","",E19-N19)</f>
        <v/>
      </c>
      <c r="Q19" s="7">
        <f>IF(N19="","",CEILING(MAX(N19*1.4,IF(L19="",N19*1.5,L19*0.95)),10)-1)</f>
        <v/>
      </c>
      <c r="R19" s="9">
        <f>IF(OR(L19="",Q19=""),"",TEXT((Q19-L19)/L19,"+0.0%;-0.0%"))</f>
        <v/>
      </c>
      <c r="S19" s="10">
        <f>IF(N19="","fill prices →",IF(O19&gt;0.5,"✅ PROFITABLE — keep",IF(O19&gt;0.2,"🟡 OK — optimize",IF(O19&gt;0,"⚠️ THIN — raise price or drop","❌ LOSING MONEY — drop or renegotiate"))))</f>
        <v/>
      </c>
    </row>
    <row r="20">
      <c r="A20" s="2" t="n">
        <v>19</v>
      </c>
      <c r="B20" s="2" t="inlineStr">
        <is>
          <t>GM-STR-ELG-001</t>
        </is>
      </c>
      <c r="C20" s="2" t="inlineStr">
        <is>
          <t>Elgato Stream Deck MK.2</t>
        </is>
      </c>
      <c r="D20" s="2" t="inlineStr">
        <is>
          <t>Gaming</t>
        </is>
      </c>
      <c r="E20" s="3" t="n">
        <v>949</v>
      </c>
      <c r="F20" s="4" t="inlineStr">
        <is>
          <t>🔗 Search</t>
        </is>
      </c>
      <c r="G20" s="4" t="inlineStr">
        <is>
          <t>🔗 Amazon</t>
        </is>
      </c>
      <c r="H20" s="4" t="inlineStr">
        <is>
          <t>🔗 Noon</t>
        </is>
      </c>
      <c r="I20" s="4" t="inlineStr">
        <is>
          <t>🔗 Jarir</t>
        </is>
      </c>
      <c r="J20" s="5" t="n"/>
      <c r="K20" s="6" t="n"/>
      <c r="L20" s="6" t="n"/>
      <c r="M20" s="7">
        <f>IF(J20="","",J20*3.75)</f>
        <v/>
      </c>
      <c r="N20" s="7">
        <f>IFERROR(MIN(IF(M20&lt;&gt;"",M20,9E9),IF(K20&lt;&gt;"",K20,9E9),IF(L20&lt;&gt;"",L20,9E9)),"")</f>
        <v/>
      </c>
      <c r="O20" s="8">
        <f>IF(OR(N20="",E20=0),"",(E20-N20)/N20)</f>
        <v/>
      </c>
      <c r="P20" s="7">
        <f>IF(N20="","",E20-N20)</f>
        <v/>
      </c>
      <c r="Q20" s="7">
        <f>IF(N20="","",CEILING(MAX(N20*1.4,IF(L20="",N20*1.5,L20*0.95)),10)-1)</f>
        <v/>
      </c>
      <c r="R20" s="9">
        <f>IF(OR(L20="",Q20=""),"",TEXT((Q20-L20)/L20,"+0.0%;-0.0%"))</f>
        <v/>
      </c>
      <c r="S20" s="10">
        <f>IF(N20="","fill prices →",IF(O20&gt;0.5,"✅ PROFITABLE — keep",IF(O20&gt;0.2,"🟡 OK — optimize",IF(O20&gt;0,"⚠️ THIN — raise price or drop","❌ LOSING MONEY — drop or renegotiate"))))</f>
        <v/>
      </c>
    </row>
    <row r="21">
      <c r="A21" t="n">
        <v>20</v>
      </c>
      <c r="B21" t="inlineStr">
        <is>
          <t>GM-CAP-AVR-001</t>
        </is>
      </c>
      <c r="C21" t="inlineStr">
        <is>
          <t>AVerMedia Live Gamer Ultra S</t>
        </is>
      </c>
      <c r="D21" t="inlineStr">
        <is>
          <t>Gaming</t>
        </is>
      </c>
      <c r="E21" s="11" t="n">
        <v>1049</v>
      </c>
      <c r="F21" s="12" t="inlineStr">
        <is>
          <t>🔗 Search</t>
        </is>
      </c>
      <c r="G21" s="12" t="inlineStr">
        <is>
          <t>🔗 Amazon</t>
        </is>
      </c>
      <c r="H21" s="12" t="inlineStr">
        <is>
          <t>🔗 Noon</t>
        </is>
      </c>
      <c r="I21" s="12" t="inlineStr">
        <is>
          <t>🔗 Jarir</t>
        </is>
      </c>
      <c r="J21" s="5" t="n"/>
      <c r="K21" s="6" t="n"/>
      <c r="L21" s="6" t="n"/>
      <c r="M21" s="7">
        <f>IF(J21="","",J21*3.75)</f>
        <v/>
      </c>
      <c r="N21" s="7">
        <f>IFERROR(MIN(IF(M21&lt;&gt;"",M21,9E9),IF(K21&lt;&gt;"",K21,9E9),IF(L21&lt;&gt;"",L21,9E9)),"")</f>
        <v/>
      </c>
      <c r="O21" s="8">
        <f>IF(OR(N21="",E21=0),"",(E21-N21)/N21)</f>
        <v/>
      </c>
      <c r="P21" s="7">
        <f>IF(N21="","",E21-N21)</f>
        <v/>
      </c>
      <c r="Q21" s="7">
        <f>IF(N21="","",CEILING(MAX(N21*1.4,IF(L21="",N21*1.5,L21*0.95)),10)-1)</f>
        <v/>
      </c>
      <c r="R21" s="9">
        <f>IF(OR(L21="",Q21=""),"",TEXT((Q21-L21)/L21,"+0.0%;-0.0%"))</f>
        <v/>
      </c>
      <c r="S21" s="10">
        <f>IF(N21="","fill prices →",IF(O21&gt;0.5,"✅ PROFITABLE — keep",IF(O21&gt;0.2,"🟡 OK — optimize",IF(O21&gt;0,"⚠️ THIN — raise price or drop","❌ LOSING MONEY — drop or renegotiate"))))</f>
        <v/>
      </c>
    </row>
    <row r="22">
      <c r="A22" s="2" t="n">
        <v>21</v>
      </c>
      <c r="B22" s="2" t="inlineStr">
        <is>
          <t>GM-CAP-ELG-001</t>
        </is>
      </c>
      <c r="C22" s="2" t="inlineStr">
        <is>
          <t>Elgato HD60 X Capture Card</t>
        </is>
      </c>
      <c r="D22" s="2" t="inlineStr">
        <is>
          <t>Gaming</t>
        </is>
      </c>
      <c r="E22" s="3" t="n">
        <v>1099</v>
      </c>
      <c r="F22" s="4" t="inlineStr">
        <is>
          <t>🔗 Search</t>
        </is>
      </c>
      <c r="G22" s="4" t="inlineStr">
        <is>
          <t>🔗 Amazon</t>
        </is>
      </c>
      <c r="H22" s="4" t="inlineStr">
        <is>
          <t>🔗 Noon</t>
        </is>
      </c>
      <c r="I22" s="4" t="inlineStr">
        <is>
          <t>🔗 Jarir</t>
        </is>
      </c>
      <c r="J22" s="5" t="n"/>
      <c r="K22" s="6" t="n"/>
      <c r="L22" s="6" t="n"/>
      <c r="M22" s="7">
        <f>IF(J22="","",J22*3.75)</f>
        <v/>
      </c>
      <c r="N22" s="7">
        <f>IFERROR(MIN(IF(M22&lt;&gt;"",M22,9E9),IF(K22&lt;&gt;"",K22,9E9),IF(L22&lt;&gt;"",L22,9E9)),"")</f>
        <v/>
      </c>
      <c r="O22" s="8">
        <f>IF(OR(N22="",E22=0),"",(E22-N22)/N22)</f>
        <v/>
      </c>
      <c r="P22" s="7">
        <f>IF(N22="","",E22-N22)</f>
        <v/>
      </c>
      <c r="Q22" s="7">
        <f>IF(N22="","",CEILING(MAX(N22*1.4,IF(L22="",N22*1.5,L22*0.95)),10)-1)</f>
        <v/>
      </c>
      <c r="R22" s="9">
        <f>IF(OR(L22="",Q22=""),"",TEXT((Q22-L22)/L22,"+0.0%;-0.0%"))</f>
        <v/>
      </c>
      <c r="S22" s="10">
        <f>IF(N22="","fill prices →",IF(O22&gt;0.5,"✅ PROFITABLE — keep",IF(O22&gt;0.2,"🟡 OK — optimize",IF(O22&gt;0,"⚠️ THIN — raise price or drop","❌ LOSING MONEY — drop or renegotiate"))))</f>
        <v/>
      </c>
    </row>
    <row r="23">
      <c r="A23" t="n">
        <v>22</v>
      </c>
      <c r="B23" t="inlineStr">
        <is>
          <t>GM-CTR-SON-001</t>
        </is>
      </c>
      <c r="C23" t="inlineStr">
        <is>
          <t>Sony DualSense Edge Controller</t>
        </is>
      </c>
      <c r="D23" t="inlineStr">
        <is>
          <t>Gaming</t>
        </is>
      </c>
      <c r="E23" s="11" t="n">
        <v>1349</v>
      </c>
      <c r="F23" s="12" t="inlineStr">
        <is>
          <t>🔗 Search</t>
        </is>
      </c>
      <c r="G23" s="12" t="inlineStr">
        <is>
          <t>🔗 Amazon</t>
        </is>
      </c>
      <c r="H23" s="12" t="inlineStr">
        <is>
          <t>🔗 Noon</t>
        </is>
      </c>
      <c r="I23" s="12" t="inlineStr">
        <is>
          <t>🔗 Jarir</t>
        </is>
      </c>
      <c r="J23" s="5" t="n"/>
      <c r="K23" s="6" t="n"/>
      <c r="L23" s="6" t="n"/>
      <c r="M23" s="7">
        <f>IF(J23="","",J23*3.75)</f>
        <v/>
      </c>
      <c r="N23" s="7">
        <f>IFERROR(MIN(IF(M23&lt;&gt;"",M23,9E9),IF(K23&lt;&gt;"",K23,9E9),IF(L23&lt;&gt;"",L23,9E9)),"")</f>
        <v/>
      </c>
      <c r="O23" s="8">
        <f>IF(OR(N23="",E23=0),"",(E23-N23)/N23)</f>
        <v/>
      </c>
      <c r="P23" s="7">
        <f>IF(N23="","",E23-N23)</f>
        <v/>
      </c>
      <c r="Q23" s="7">
        <f>IF(N23="","",CEILING(MAX(N23*1.4,IF(L23="",N23*1.5,L23*0.95)),10)-1)</f>
        <v/>
      </c>
      <c r="R23" s="9">
        <f>IF(OR(L23="",Q23=""),"",TEXT((Q23-L23)/L23,"+0.0%;-0.0%"))</f>
        <v/>
      </c>
      <c r="S23" s="10">
        <f>IF(N23="","fill prices →",IF(O23&gt;0.5,"✅ PROFITABLE — keep",IF(O23&gt;0.2,"🟡 OK — optimize",IF(O23&gt;0,"⚠️ THIN — raise price or drop","❌ LOSING MONEY — drop or renegotiate"))))</f>
        <v/>
      </c>
    </row>
    <row r="24">
      <c r="A24" s="2" t="n">
        <v>23</v>
      </c>
      <c r="B24" s="2" t="inlineStr">
        <is>
          <t>GM-CTR-MSF-001</t>
        </is>
      </c>
      <c r="C24" s="2" t="inlineStr">
        <is>
          <t>Xbox Elite Controller Series 2 Core</t>
        </is>
      </c>
      <c r="D24" s="2" t="inlineStr">
        <is>
          <t>Gaming</t>
        </is>
      </c>
      <c r="E24" s="3" t="n">
        <v>1149</v>
      </c>
      <c r="F24" s="4" t="inlineStr">
        <is>
          <t>🔗 Search</t>
        </is>
      </c>
      <c r="G24" s="4" t="inlineStr">
        <is>
          <t>🔗 Amazon</t>
        </is>
      </c>
      <c r="H24" s="4" t="inlineStr">
        <is>
          <t>🔗 Noon</t>
        </is>
      </c>
      <c r="I24" s="4" t="inlineStr">
        <is>
          <t>🔗 Jarir</t>
        </is>
      </c>
      <c r="J24" s="5" t="n"/>
      <c r="K24" s="6" t="n"/>
      <c r="L24" s="6" t="n"/>
      <c r="M24" s="7">
        <f>IF(J24="","",J24*3.75)</f>
        <v/>
      </c>
      <c r="N24" s="7">
        <f>IFERROR(MIN(IF(M24&lt;&gt;"",M24,9E9),IF(K24&lt;&gt;"",K24,9E9),IF(L24&lt;&gt;"",L24,9E9)),"")</f>
        <v/>
      </c>
      <c r="O24" s="8">
        <f>IF(OR(N24="",E24=0),"",(E24-N24)/N24)</f>
        <v/>
      </c>
      <c r="P24" s="7">
        <f>IF(N24="","",E24-N24)</f>
        <v/>
      </c>
      <c r="Q24" s="7">
        <f>IF(N24="","",CEILING(MAX(N24*1.4,IF(L24="",N24*1.5,L24*0.95)),10)-1)</f>
        <v/>
      </c>
      <c r="R24" s="9">
        <f>IF(OR(L24="",Q24=""),"",TEXT((Q24-L24)/L24,"+0.0%;-0.0%"))</f>
        <v/>
      </c>
      <c r="S24" s="10">
        <f>IF(N24="","fill prices →",IF(O24&gt;0.5,"✅ PROFITABLE — keep",IF(O24&gt;0.2,"🟡 OK — optimize",IF(O24&gt;0,"⚠️ THIN — raise price or drop","❌ LOSING MONEY — drop or renegotiate"))))</f>
        <v/>
      </c>
    </row>
    <row r="25">
      <c r="A25" t="n">
        <v>24</v>
      </c>
      <c r="B25" t="inlineStr">
        <is>
          <t>GM-RGB-GOV-001</t>
        </is>
      </c>
      <c r="C25" t="inlineStr">
        <is>
          <t>Govee DreamView G1 Pro Gaming Light</t>
        </is>
      </c>
      <c r="D25" t="inlineStr">
        <is>
          <t>Gaming</t>
        </is>
      </c>
      <c r="E25" s="11" t="n">
        <v>749</v>
      </c>
      <c r="F25" s="12" t="inlineStr">
        <is>
          <t>🔗 Search</t>
        </is>
      </c>
      <c r="G25" s="12" t="inlineStr">
        <is>
          <t>🔗 Amazon</t>
        </is>
      </c>
      <c r="H25" s="12" t="inlineStr">
        <is>
          <t>🔗 Noon</t>
        </is>
      </c>
      <c r="I25" s="12" t="inlineStr">
        <is>
          <t>🔗 Jarir</t>
        </is>
      </c>
      <c r="J25" s="5" t="n"/>
      <c r="K25" s="6" t="n"/>
      <c r="L25" s="6" t="n"/>
      <c r="M25" s="7">
        <f>IF(J25="","",J25*3.75)</f>
        <v/>
      </c>
      <c r="N25" s="7">
        <f>IFERROR(MIN(IF(M25&lt;&gt;"",M25,9E9),IF(K25&lt;&gt;"",K25,9E9),IF(L25&lt;&gt;"",L25,9E9)),"")</f>
        <v/>
      </c>
      <c r="O25" s="8">
        <f>IF(OR(N25="",E25=0),"",(E25-N25)/N25)</f>
        <v/>
      </c>
      <c r="P25" s="7">
        <f>IF(N25="","",E25-N25)</f>
        <v/>
      </c>
      <c r="Q25" s="7">
        <f>IF(N25="","",CEILING(MAX(N25*1.4,IF(L25="",N25*1.5,L25*0.95)),10)-1)</f>
        <v/>
      </c>
      <c r="R25" s="9">
        <f>IF(OR(L25="",Q25=""),"",TEXT((Q25-L25)/L25,"+0.0%;-0.0%"))</f>
        <v/>
      </c>
      <c r="S25" s="10">
        <f>IF(N25="","fill prices →",IF(O25&gt;0.5,"✅ PROFITABLE — keep",IF(O25&gt;0.2,"🟡 OK — optimize",IF(O25&gt;0,"⚠️ THIN — raise price or drop","❌ LOSING MONEY — drop or renegotiate"))))</f>
        <v/>
      </c>
    </row>
    <row r="26">
      <c r="A26" s="2" t="n">
        <v>25</v>
      </c>
      <c r="B26" s="2" t="inlineStr">
        <is>
          <t>GM-RGB-COR-001</t>
        </is>
      </c>
      <c r="C26" s="2" t="inlineStr">
        <is>
          <t>Corsair iCUE LC100 Lighting Panels</t>
        </is>
      </c>
      <c r="D26" s="2" t="inlineStr">
        <is>
          <t>Gaming</t>
        </is>
      </c>
      <c r="E26" s="3" t="n">
        <v>549</v>
      </c>
      <c r="F26" s="4" t="inlineStr">
        <is>
          <t>🔗 Search</t>
        </is>
      </c>
      <c r="G26" s="4" t="inlineStr">
        <is>
          <t>🔗 Amazon</t>
        </is>
      </c>
      <c r="H26" s="4" t="inlineStr">
        <is>
          <t>🔗 Noon</t>
        </is>
      </c>
      <c r="I26" s="4" t="inlineStr">
        <is>
          <t>🔗 Jarir</t>
        </is>
      </c>
      <c r="J26" s="5" t="n"/>
      <c r="K26" s="6" t="n"/>
      <c r="L26" s="6" t="n"/>
      <c r="M26" s="7">
        <f>IF(J26="","",J26*3.75)</f>
        <v/>
      </c>
      <c r="N26" s="7">
        <f>IFERROR(MIN(IF(M26&lt;&gt;"",M26,9E9),IF(K26&lt;&gt;"",K26,9E9),IF(L26&lt;&gt;"",L26,9E9)),"")</f>
        <v/>
      </c>
      <c r="O26" s="8">
        <f>IF(OR(N26="",E26=0),"",(E26-N26)/N26)</f>
        <v/>
      </c>
      <c r="P26" s="7">
        <f>IF(N26="","",E26-N26)</f>
        <v/>
      </c>
      <c r="Q26" s="7">
        <f>IF(N26="","",CEILING(MAX(N26*1.4,IF(L26="",N26*1.5,L26*0.95)),10)-1)</f>
        <v/>
      </c>
      <c r="R26" s="9">
        <f>IF(OR(L26="",Q26=""),"",TEXT((Q26-L26)/L26,"+0.0%;-0.0%"))</f>
        <v/>
      </c>
      <c r="S26" s="10">
        <f>IF(N26="","fill prices →",IF(O26&gt;0.5,"✅ PROFITABLE — keep",IF(O26&gt;0.2,"🟡 OK — optimize",IF(O26&gt;0,"⚠️ THIN — raise price or drop","❌ LOSING MONEY — drop or renegotiate"))))</f>
        <v/>
      </c>
    </row>
    <row r="27">
      <c r="A27" t="n">
        <v>26</v>
      </c>
      <c r="B27" t="inlineStr">
        <is>
          <t>GM-CHR-RAZ-001</t>
        </is>
      </c>
      <c r="C27" t="inlineStr">
        <is>
          <t>Razer Iskur V2 NewGen</t>
        </is>
      </c>
      <c r="D27" t="inlineStr">
        <is>
          <t>Gaming</t>
        </is>
      </c>
      <c r="E27" s="11" t="n">
        <v>3199</v>
      </c>
      <c r="F27" s="12" t="inlineStr">
        <is>
          <t>🔗 Search</t>
        </is>
      </c>
      <c r="G27" s="12" t="inlineStr">
        <is>
          <t>🔗 Amazon</t>
        </is>
      </c>
      <c r="H27" s="12" t="inlineStr">
        <is>
          <t>🔗 Noon</t>
        </is>
      </c>
      <c r="I27" s="12" t="inlineStr">
        <is>
          <t>🔗 Jarir</t>
        </is>
      </c>
      <c r="J27" s="5" t="n"/>
      <c r="K27" s="6" t="n"/>
      <c r="L27" s="6" t="n"/>
      <c r="M27" s="7">
        <f>IF(J27="","",J27*3.75)</f>
        <v/>
      </c>
      <c r="N27" s="7">
        <f>IFERROR(MIN(IF(M27&lt;&gt;"",M27,9E9),IF(K27&lt;&gt;"",K27,9E9),IF(L27&lt;&gt;"",L27,9E9)),"")</f>
        <v/>
      </c>
      <c r="O27" s="8">
        <f>IF(OR(N27="",E27=0),"",(E27-N27)/N27)</f>
        <v/>
      </c>
      <c r="P27" s="7">
        <f>IF(N27="","",E27-N27)</f>
        <v/>
      </c>
      <c r="Q27" s="7">
        <f>IF(N27="","",CEILING(MAX(N27*1.4,IF(L27="",N27*1.5,L27*0.95)),10)-1)</f>
        <v/>
      </c>
      <c r="R27" s="9">
        <f>IF(OR(L27="",Q27=""),"",TEXT((Q27-L27)/L27,"+0.0%;-0.0%"))</f>
        <v/>
      </c>
      <c r="S27" s="10">
        <f>IF(N27="","fill prices →",IF(O27&gt;0.5,"✅ PROFITABLE — keep",IF(O27&gt;0.2,"🟡 OK — optimize",IF(O27&gt;0,"⚠️ THIN — raise price or drop","❌ LOSING MONEY — drop or renegotiate"))))</f>
        <v/>
      </c>
    </row>
    <row r="28">
      <c r="A28" s="2" t="n">
        <v>27</v>
      </c>
      <c r="B28" s="2" t="inlineStr">
        <is>
          <t>GM-CHR-SEC-001</t>
        </is>
      </c>
      <c r="C28" s="2" t="inlineStr">
        <is>
          <t>Secretlab Titan Evo</t>
        </is>
      </c>
      <c r="D28" s="2" t="inlineStr">
        <is>
          <t>Gaming</t>
        </is>
      </c>
      <c r="E28" s="3" t="n">
        <v>3499</v>
      </c>
      <c r="F28" s="4" t="inlineStr">
        <is>
          <t>🔗 Search</t>
        </is>
      </c>
      <c r="G28" s="4" t="inlineStr">
        <is>
          <t>🔗 Amazon</t>
        </is>
      </c>
      <c r="H28" s="4" t="inlineStr">
        <is>
          <t>🔗 Noon</t>
        </is>
      </c>
      <c r="I28" s="4" t="inlineStr">
        <is>
          <t>🔗 Jarir</t>
        </is>
      </c>
      <c r="J28" s="5" t="n"/>
      <c r="K28" s="6" t="n"/>
      <c r="L28" s="6" t="n"/>
      <c r="M28" s="7">
        <f>IF(J28="","",J28*3.75)</f>
        <v/>
      </c>
      <c r="N28" s="7">
        <f>IFERROR(MIN(IF(M28&lt;&gt;"",M28,9E9),IF(K28&lt;&gt;"",K28,9E9),IF(L28&lt;&gt;"",L28,9E9)),"")</f>
        <v/>
      </c>
      <c r="O28" s="8">
        <f>IF(OR(N28="",E28=0),"",(E28-N28)/N28)</f>
        <v/>
      </c>
      <c r="P28" s="7">
        <f>IF(N28="","",E28-N28)</f>
        <v/>
      </c>
      <c r="Q28" s="7">
        <f>IF(N28="","",CEILING(MAX(N28*1.4,IF(L28="",N28*1.5,L28*0.95)),10)-1)</f>
        <v/>
      </c>
      <c r="R28" s="9">
        <f>IF(OR(L28="",Q28=""),"",TEXT((Q28-L28)/L28,"+0.0%;-0.0%"))</f>
        <v/>
      </c>
      <c r="S28" s="10">
        <f>IF(N28="","fill prices →",IF(O28&gt;0.5,"✅ PROFITABLE — keep",IF(O28&gt;0.2,"🟡 OK — optimize",IF(O28&gt;0,"⚠️ THIN — raise price or drop","❌ LOSING MONEY — drop or renegotiate"))))</f>
        <v/>
      </c>
    </row>
    <row r="29">
      <c r="A29" t="n">
        <v>28</v>
      </c>
      <c r="B29" t="inlineStr">
        <is>
          <t>GM-HST-RAZ-001</t>
        </is>
      </c>
      <c r="C29" t="inlineStr">
        <is>
          <t>Razer BlackShark V2 Pro 2023</t>
        </is>
      </c>
      <c r="D29" t="inlineStr">
        <is>
          <t>Gaming</t>
        </is>
      </c>
      <c r="E29" s="11" t="n">
        <v>999</v>
      </c>
      <c r="F29" s="12" t="inlineStr">
        <is>
          <t>🔗 Search</t>
        </is>
      </c>
      <c r="G29" s="12" t="inlineStr">
        <is>
          <t>🔗 Amazon</t>
        </is>
      </c>
      <c r="H29" s="12" t="inlineStr">
        <is>
          <t>🔗 Noon</t>
        </is>
      </c>
      <c r="I29" s="12" t="inlineStr">
        <is>
          <t>🔗 Jarir</t>
        </is>
      </c>
      <c r="J29" s="5" t="n"/>
      <c r="K29" s="6" t="n"/>
      <c r="L29" s="6" t="n"/>
      <c r="M29" s="7">
        <f>IF(J29="","",J29*3.75)</f>
        <v/>
      </c>
      <c r="N29" s="7">
        <f>IFERROR(MIN(IF(M29&lt;&gt;"",M29,9E9),IF(K29&lt;&gt;"",K29,9E9),IF(L29&lt;&gt;"",L29,9E9)),"")</f>
        <v/>
      </c>
      <c r="O29" s="8">
        <f>IF(OR(N29="",E29=0),"",(E29-N29)/N29)</f>
        <v/>
      </c>
      <c r="P29" s="7">
        <f>IF(N29="","",E29-N29)</f>
        <v/>
      </c>
      <c r="Q29" s="7">
        <f>IF(N29="","",CEILING(MAX(N29*1.4,IF(L29="",N29*1.5,L29*0.95)),10)-1)</f>
        <v/>
      </c>
      <c r="R29" s="9">
        <f>IF(OR(L29="",Q29=""),"",TEXT((Q29-L29)/L29,"+0.0%;-0.0%"))</f>
        <v/>
      </c>
      <c r="S29" s="10">
        <f>IF(N29="","fill prices →",IF(O29&gt;0.5,"✅ PROFITABLE — keep",IF(O29&gt;0.2,"🟡 OK — optimize",IF(O29&gt;0,"⚠️ THIN — raise price or drop","❌ LOSING MONEY — drop or renegotiate"))))</f>
        <v/>
      </c>
    </row>
    <row r="30">
      <c r="A30" s="2" t="n">
        <v>29</v>
      </c>
      <c r="B30" s="2" t="inlineStr">
        <is>
          <t>GM-HST-STS-001</t>
        </is>
      </c>
      <c r="C30" s="2" t="inlineStr">
        <is>
          <t>SteelSeries Arctis Nova 7 Wireless</t>
        </is>
      </c>
      <c r="D30" s="2" t="inlineStr">
        <is>
          <t>Gaming</t>
        </is>
      </c>
      <c r="E30" s="3" t="n">
        <v>1149</v>
      </c>
      <c r="F30" s="4" t="inlineStr">
        <is>
          <t>🔗 Search</t>
        </is>
      </c>
      <c r="G30" s="4" t="inlineStr">
        <is>
          <t>🔗 Amazon</t>
        </is>
      </c>
      <c r="H30" s="4" t="inlineStr">
        <is>
          <t>🔗 Noon</t>
        </is>
      </c>
      <c r="I30" s="4" t="inlineStr">
        <is>
          <t>🔗 Jarir</t>
        </is>
      </c>
      <c r="J30" s="5" t="n"/>
      <c r="K30" s="6" t="n"/>
      <c r="L30" s="6" t="n"/>
      <c r="M30" s="7">
        <f>IF(J30="","",J30*3.75)</f>
        <v/>
      </c>
      <c r="N30" s="7">
        <f>IFERROR(MIN(IF(M30&lt;&gt;"",M30,9E9),IF(K30&lt;&gt;"",K30,9E9),IF(L30&lt;&gt;"",L30,9E9)),"")</f>
        <v/>
      </c>
      <c r="O30" s="8">
        <f>IF(OR(N30="",E30=0),"",(E30-N30)/N30)</f>
        <v/>
      </c>
      <c r="P30" s="7">
        <f>IF(N30="","",E30-N30)</f>
        <v/>
      </c>
      <c r="Q30" s="7">
        <f>IF(N30="","",CEILING(MAX(N30*1.4,IF(L30="",N30*1.5,L30*0.95)),10)-1)</f>
        <v/>
      </c>
      <c r="R30" s="9">
        <f>IF(OR(L30="",Q30=""),"",TEXT((Q30-L30)/L30,"+0.0%;-0.0%"))</f>
        <v/>
      </c>
      <c r="S30" s="10">
        <f>IF(N30="","fill prices →",IF(O30&gt;0.5,"✅ PROFITABLE — keep",IF(O30&gt;0.2,"🟡 OK — optimize",IF(O30&gt;0,"⚠️ THIN — raise price or drop","❌ LOSING MONEY — drop or renegotiate"))))</f>
        <v/>
      </c>
    </row>
    <row r="31">
      <c r="A31" t="n">
        <v>30</v>
      </c>
      <c r="B31" t="inlineStr">
        <is>
          <t>GM-HST-HPX-001</t>
        </is>
      </c>
      <c r="C31" t="inlineStr">
        <is>
          <t>HyperX Cloud Alpha Wireless (300hr)</t>
        </is>
      </c>
      <c r="D31" t="inlineStr">
        <is>
          <t>Gaming</t>
        </is>
      </c>
      <c r="E31" s="11" t="n">
        <v>1199</v>
      </c>
      <c r="F31" s="12" t="inlineStr">
        <is>
          <t>🔗 Search</t>
        </is>
      </c>
      <c r="G31" s="12" t="inlineStr">
        <is>
          <t>🔗 Amazon</t>
        </is>
      </c>
      <c r="H31" s="12" t="inlineStr">
        <is>
          <t>🔗 Noon</t>
        </is>
      </c>
      <c r="I31" s="12" t="inlineStr">
        <is>
          <t>🔗 Jarir</t>
        </is>
      </c>
      <c r="J31" s="5" t="n"/>
      <c r="K31" s="6" t="n"/>
      <c r="L31" s="6" t="n"/>
      <c r="M31" s="7">
        <f>IF(J31="","",J31*3.75)</f>
        <v/>
      </c>
      <c r="N31" s="7">
        <f>IFERROR(MIN(IF(M31&lt;&gt;"",M31,9E9),IF(K31&lt;&gt;"",K31,9E9),IF(L31&lt;&gt;"",L31,9E9)),"")</f>
        <v/>
      </c>
      <c r="O31" s="8">
        <f>IF(OR(N31="",E31=0),"",(E31-N31)/N31)</f>
        <v/>
      </c>
      <c r="P31" s="7">
        <f>IF(N31="","",E31-N31)</f>
        <v/>
      </c>
      <c r="Q31" s="7">
        <f>IF(N31="","",CEILING(MAX(N31*1.4,IF(L31="",N31*1.5,L31*0.95)),10)-1)</f>
        <v/>
      </c>
      <c r="R31" s="9">
        <f>IF(OR(L31="",Q31=""),"",TEXT((Q31-L31)/L31,"+0.0%;-0.0%"))</f>
        <v/>
      </c>
      <c r="S31" s="10">
        <f>IF(N31="","fill prices →",IF(O31&gt;0.5,"✅ PROFITABLE — keep",IF(O31&gt;0.2,"🟡 OK — optimize",IF(O31&gt;0,"⚠️ THIN — raise price or drop","❌ LOSING MONEY — drop or renegotiate"))))</f>
        <v/>
      </c>
    </row>
    <row r="32">
      <c r="A32" s="2" t="n">
        <v>31</v>
      </c>
      <c r="B32" s="2" t="inlineStr">
        <is>
          <t>GM-MOU-RAZ-002</t>
        </is>
      </c>
      <c r="C32" s="2" t="inlineStr">
        <is>
          <t>Razer Viper V3 Pro (54g Wireless)</t>
        </is>
      </c>
      <c r="D32" s="2" t="inlineStr">
        <is>
          <t>Gaming</t>
        </is>
      </c>
      <c r="E32" s="3" t="n">
        <v>1049</v>
      </c>
      <c r="F32" s="4" t="inlineStr">
        <is>
          <t>🔗 Search</t>
        </is>
      </c>
      <c r="G32" s="4" t="inlineStr">
        <is>
          <t>🔗 Amazon</t>
        </is>
      </c>
      <c r="H32" s="4" t="inlineStr">
        <is>
          <t>🔗 Noon</t>
        </is>
      </c>
      <c r="I32" s="4" t="inlineStr">
        <is>
          <t>🔗 Jarir</t>
        </is>
      </c>
      <c r="J32" s="5" t="n"/>
      <c r="K32" s="6" t="n"/>
      <c r="L32" s="6" t="n"/>
      <c r="M32" s="7">
        <f>IF(J32="","",J32*3.75)</f>
        <v/>
      </c>
      <c r="N32" s="7">
        <f>IFERROR(MIN(IF(M32&lt;&gt;"",M32,9E9),IF(K32&lt;&gt;"",K32,9E9),IF(L32&lt;&gt;"",L32,9E9)),"")</f>
        <v/>
      </c>
      <c r="O32" s="8">
        <f>IF(OR(N32="",E32=0),"",(E32-N32)/N32)</f>
        <v/>
      </c>
      <c r="P32" s="7">
        <f>IF(N32="","",E32-N32)</f>
        <v/>
      </c>
      <c r="Q32" s="7">
        <f>IF(N32="","",CEILING(MAX(N32*1.4,IF(L32="",N32*1.5,L32*0.95)),10)-1)</f>
        <v/>
      </c>
      <c r="R32" s="9">
        <f>IF(OR(L32="",Q32=""),"",TEXT((Q32-L32)/L32,"+0.0%;-0.0%"))</f>
        <v/>
      </c>
      <c r="S32" s="10">
        <f>IF(N32="","fill prices →",IF(O32&gt;0.5,"✅ PROFITABLE — keep",IF(O32&gt;0.2,"🟡 OK — optimize",IF(O32&gt;0,"⚠️ THIN — raise price or drop","❌ LOSING MONEY — drop or renegotiate"))))</f>
        <v/>
      </c>
    </row>
    <row r="33">
      <c r="A33" t="n">
        <v>32</v>
      </c>
      <c r="B33" t="inlineStr">
        <is>
          <t>GM-MOU-LOG-001</t>
        </is>
      </c>
      <c r="C33" t="inlineStr">
        <is>
          <t>Logitech G Pro X Superlight 2 DEX</t>
        </is>
      </c>
      <c r="D33" t="inlineStr">
        <is>
          <t>Gaming</t>
        </is>
      </c>
      <c r="E33" s="11" t="n">
        <v>1099</v>
      </c>
      <c r="F33" s="12" t="inlineStr">
        <is>
          <t>🔗 Search</t>
        </is>
      </c>
      <c r="G33" s="12" t="inlineStr">
        <is>
          <t>🔗 Amazon</t>
        </is>
      </c>
      <c r="H33" s="12" t="inlineStr">
        <is>
          <t>🔗 Noon</t>
        </is>
      </c>
      <c r="I33" s="12" t="inlineStr">
        <is>
          <t>🔗 Jarir</t>
        </is>
      </c>
      <c r="J33" s="5" t="n"/>
      <c r="K33" s="6" t="n"/>
      <c r="L33" s="6" t="n"/>
      <c r="M33" s="7">
        <f>IF(J33="","",J33*3.75)</f>
        <v/>
      </c>
      <c r="N33" s="7">
        <f>IFERROR(MIN(IF(M33&lt;&gt;"",M33,9E9),IF(K33&lt;&gt;"",K33,9E9),IF(L33&lt;&gt;"",L33,9E9)),"")</f>
        <v/>
      </c>
      <c r="O33" s="8">
        <f>IF(OR(N33="",E33=0),"",(E33-N33)/N33)</f>
        <v/>
      </c>
      <c r="P33" s="7">
        <f>IF(N33="","",E33-N33)</f>
        <v/>
      </c>
      <c r="Q33" s="7">
        <f>IF(N33="","",CEILING(MAX(N33*1.4,IF(L33="",N33*1.5,L33*0.95)),10)-1)</f>
        <v/>
      </c>
      <c r="R33" s="9">
        <f>IF(OR(L33="",Q33=""),"",TEXT((Q33-L33)/L33,"+0.0%;-0.0%"))</f>
        <v/>
      </c>
      <c r="S33" s="10">
        <f>IF(N33="","fill prices →",IF(O33&gt;0.5,"✅ PROFITABLE — keep",IF(O33&gt;0.2,"🟡 OK — optimize",IF(O33&gt;0,"⚠️ THIN — raise price or drop","❌ LOSING MONEY — drop or renegotiate"))))</f>
        <v/>
      </c>
    </row>
    <row r="34">
      <c r="A34" s="2" t="n">
        <v>33</v>
      </c>
      <c r="B34" s="2" t="inlineStr">
        <is>
          <t>GM-MOU-RAZ-001</t>
        </is>
      </c>
      <c r="C34" s="2" t="inlineStr">
        <is>
          <t>Razer DeathAdder V4 Pro (57g Wireless)</t>
        </is>
      </c>
      <c r="D34" s="2" t="inlineStr">
        <is>
          <t>Gaming</t>
        </is>
      </c>
      <c r="E34" s="3" t="n">
        <v>1149</v>
      </c>
      <c r="F34" s="4" t="inlineStr">
        <is>
          <t>🔗 Search</t>
        </is>
      </c>
      <c r="G34" s="4" t="inlineStr">
        <is>
          <t>🔗 Amazon</t>
        </is>
      </c>
      <c r="H34" s="4" t="inlineStr">
        <is>
          <t>🔗 Noon</t>
        </is>
      </c>
      <c r="I34" s="4" t="inlineStr">
        <is>
          <t>🔗 Jarir</t>
        </is>
      </c>
      <c r="J34" s="5" t="n"/>
      <c r="K34" s="6" t="n"/>
      <c r="L34" s="6" t="n"/>
      <c r="M34" s="7">
        <f>IF(J34="","",J34*3.75)</f>
        <v/>
      </c>
      <c r="N34" s="7">
        <f>IFERROR(MIN(IF(M34&lt;&gt;"",M34,9E9),IF(K34&lt;&gt;"",K34,9E9),IF(L34&lt;&gt;"",L34,9E9)),"")</f>
        <v/>
      </c>
      <c r="O34" s="8">
        <f>IF(OR(N34="",E34=0),"",(E34-N34)/N34)</f>
        <v/>
      </c>
      <c r="P34" s="7">
        <f>IF(N34="","",E34-N34)</f>
        <v/>
      </c>
      <c r="Q34" s="7">
        <f>IF(N34="","",CEILING(MAX(N34*1.4,IF(L34="",N34*1.5,L34*0.95)),10)-1)</f>
        <v/>
      </c>
      <c r="R34" s="9">
        <f>IF(OR(L34="",Q34=""),"",TEXT((Q34-L34)/L34,"+0.0%;-0.0%"))</f>
        <v/>
      </c>
      <c r="S34" s="10">
        <f>IF(N34="","fill prices →",IF(O34&gt;0.5,"✅ PROFITABLE — keep",IF(O34&gt;0.2,"🟡 OK — optimize",IF(O34&gt;0,"⚠️ THIN — raise price or drop","❌ LOSING MONEY — drop or renegotiate"))))</f>
        <v/>
      </c>
    </row>
    <row r="35">
      <c r="A35" t="n">
        <v>34</v>
      </c>
      <c r="B35" t="inlineStr">
        <is>
          <t>GM-KBD-KEY-001</t>
        </is>
      </c>
      <c r="C35" t="inlineStr">
        <is>
          <t>Keychron K10 HE (Arabic Layout)</t>
        </is>
      </c>
      <c r="D35" t="inlineStr">
        <is>
          <t>Gaming</t>
        </is>
      </c>
      <c r="E35" s="11" t="n">
        <v>999</v>
      </c>
      <c r="F35" s="12" t="inlineStr">
        <is>
          <t>🔗 Search</t>
        </is>
      </c>
      <c r="G35" s="12" t="inlineStr">
        <is>
          <t>🔗 Amazon</t>
        </is>
      </c>
      <c r="H35" s="12" t="inlineStr">
        <is>
          <t>🔗 Noon</t>
        </is>
      </c>
      <c r="I35" s="12" t="inlineStr">
        <is>
          <t>🔗 Jarir</t>
        </is>
      </c>
      <c r="J35" s="5" t="n"/>
      <c r="K35" s="6" t="n"/>
      <c r="L35" s="6" t="n"/>
      <c r="M35" s="7">
        <f>IF(J35="","",J35*3.75)</f>
        <v/>
      </c>
      <c r="N35" s="7">
        <f>IFERROR(MIN(IF(M35&lt;&gt;"",M35,9E9),IF(K35&lt;&gt;"",K35,9E9),IF(L35&lt;&gt;"",L35,9E9)),"")</f>
        <v/>
      </c>
      <c r="O35" s="8">
        <f>IF(OR(N35="",E35=0),"",(E35-N35)/N35)</f>
        <v/>
      </c>
      <c r="P35" s="7">
        <f>IF(N35="","",E35-N35)</f>
        <v/>
      </c>
      <c r="Q35" s="7">
        <f>IF(N35="","",CEILING(MAX(N35*1.4,IF(L35="",N35*1.5,L35*0.95)),10)-1)</f>
        <v/>
      </c>
      <c r="R35" s="9">
        <f>IF(OR(L35="",Q35=""),"",TEXT((Q35-L35)/L35,"+0.0%;-0.0%"))</f>
        <v/>
      </c>
      <c r="S35" s="10">
        <f>IF(N35="","fill prices →",IF(O35&gt;0.5,"✅ PROFITABLE — keep",IF(O35&gt;0.2,"🟡 OK — optimize",IF(O35&gt;0,"⚠️ THIN — raise price or drop","❌ LOSING MONEY — drop or renegotiate"))))</f>
        <v/>
      </c>
    </row>
    <row r="36">
      <c r="A36" s="2" t="n">
        <v>35</v>
      </c>
      <c r="B36" s="2" t="inlineStr">
        <is>
          <t>GM-KBD-LOG-001</t>
        </is>
      </c>
      <c r="C36" s="2" t="inlineStr">
        <is>
          <t>Logitech G Pro X TKL LIGHTSPEED</t>
        </is>
      </c>
      <c r="D36" s="2" t="inlineStr">
        <is>
          <t>Gaming</t>
        </is>
      </c>
      <c r="E36" s="3" t="n">
        <v>1199</v>
      </c>
      <c r="F36" s="4" t="inlineStr">
        <is>
          <t>🔗 Search</t>
        </is>
      </c>
      <c r="G36" s="4" t="inlineStr">
        <is>
          <t>🔗 Amazon</t>
        </is>
      </c>
      <c r="H36" s="4" t="inlineStr">
        <is>
          <t>🔗 Noon</t>
        </is>
      </c>
      <c r="I36" s="4" t="inlineStr">
        <is>
          <t>🔗 Jarir</t>
        </is>
      </c>
      <c r="J36" s="5" t="n"/>
      <c r="K36" s="6" t="n"/>
      <c r="L36" s="6" t="n"/>
      <c r="M36" s="7">
        <f>IF(J36="","",J36*3.75)</f>
        <v/>
      </c>
      <c r="N36" s="7">
        <f>IFERROR(MIN(IF(M36&lt;&gt;"",M36,9E9),IF(K36&lt;&gt;"",K36,9E9),IF(L36&lt;&gt;"",L36,9E9)),"")</f>
        <v/>
      </c>
      <c r="O36" s="8">
        <f>IF(OR(N36="",E36=0),"",(E36-N36)/N36)</f>
        <v/>
      </c>
      <c r="P36" s="7">
        <f>IF(N36="","",E36-N36)</f>
        <v/>
      </c>
      <c r="Q36" s="7">
        <f>IF(N36="","",CEILING(MAX(N36*1.4,IF(L36="",N36*1.5,L36*0.95)),10)-1)</f>
        <v/>
      </c>
      <c r="R36" s="9">
        <f>IF(OR(L36="",Q36=""),"",TEXT((Q36-L36)/L36,"+0.0%;-0.0%"))</f>
        <v/>
      </c>
      <c r="S36" s="10">
        <f>IF(N36="","fill prices →",IF(O36&gt;0.5,"✅ PROFITABLE — keep",IF(O36&gt;0.2,"🟡 OK — optimize",IF(O36&gt;0,"⚠️ THIN — raise price or drop","❌ LOSING MONEY — drop or renegotiate"))))</f>
        <v/>
      </c>
    </row>
    <row r="37">
      <c r="A37" t="n">
        <v>36</v>
      </c>
      <c r="B37" t="inlineStr">
        <is>
          <t>GM-KBD-COR-001</t>
        </is>
      </c>
      <c r="C37" t="inlineStr">
        <is>
          <t>Corsair K70 MAX RGB</t>
        </is>
      </c>
      <c r="D37" t="inlineStr">
        <is>
          <t>Gaming</t>
        </is>
      </c>
      <c r="E37" s="11" t="n">
        <v>1299</v>
      </c>
      <c r="F37" s="12" t="inlineStr">
        <is>
          <t>🔗 Search</t>
        </is>
      </c>
      <c r="G37" s="12" t="inlineStr">
        <is>
          <t>🔗 Amazon</t>
        </is>
      </c>
      <c r="H37" s="12" t="inlineStr">
        <is>
          <t>🔗 Noon</t>
        </is>
      </c>
      <c r="I37" s="12" t="inlineStr">
        <is>
          <t>🔗 Jarir</t>
        </is>
      </c>
      <c r="J37" s="5" t="n"/>
      <c r="K37" s="6" t="n"/>
      <c r="L37" s="6" t="n"/>
      <c r="M37" s="7">
        <f>IF(J37="","",J37*3.75)</f>
        <v/>
      </c>
      <c r="N37" s="7">
        <f>IFERROR(MIN(IF(M37&lt;&gt;"",M37,9E9),IF(K37&lt;&gt;"",K37,9E9),IF(L37&lt;&gt;"",L37,9E9)),"")</f>
        <v/>
      </c>
      <c r="O37" s="8">
        <f>IF(OR(N37="",E37=0),"",(E37-N37)/N37)</f>
        <v/>
      </c>
      <c r="P37" s="7">
        <f>IF(N37="","",E37-N37)</f>
        <v/>
      </c>
      <c r="Q37" s="7">
        <f>IF(N37="","",CEILING(MAX(N37*1.4,IF(L37="",N37*1.5,L37*0.95)),10)-1)</f>
        <v/>
      </c>
      <c r="R37" s="9">
        <f>IF(OR(L37="",Q37=""),"",TEXT((Q37-L37)/L37,"+0.0%;-0.0%"))</f>
        <v/>
      </c>
      <c r="S37" s="10">
        <f>IF(N37="","fill prices →",IF(O37&gt;0.5,"✅ PROFITABLE — keep",IF(O37&gt;0.2,"🟡 OK — optimize",IF(O37&gt;0,"⚠️ THIN — raise price or drop","❌ LOSING MONEY — drop or renegotiate"))))</f>
        <v/>
      </c>
    </row>
    <row r="38">
      <c r="A38" s="2" t="n">
        <v>37</v>
      </c>
      <c r="B38" s="2" t="inlineStr">
        <is>
          <t>GM-KBD-RAZ-001</t>
        </is>
      </c>
      <c r="C38" s="2" t="inlineStr">
        <is>
          <t>Razer Huntsman V3 Pro TKL</t>
        </is>
      </c>
      <c r="D38" s="2" t="inlineStr">
        <is>
          <t>Gaming</t>
        </is>
      </c>
      <c r="E38" s="3" t="n">
        <v>1349</v>
      </c>
      <c r="F38" s="4" t="inlineStr">
        <is>
          <t>🔗 Search</t>
        </is>
      </c>
      <c r="G38" s="4" t="inlineStr">
        <is>
          <t>🔗 Amazon</t>
        </is>
      </c>
      <c r="H38" s="4" t="inlineStr">
        <is>
          <t>🔗 Noon</t>
        </is>
      </c>
      <c r="I38" s="4" t="inlineStr">
        <is>
          <t>🔗 Jarir</t>
        </is>
      </c>
      <c r="J38" s="5" t="n"/>
      <c r="K38" s="6" t="n"/>
      <c r="L38" s="6" t="n"/>
      <c r="M38" s="7">
        <f>IF(J38="","",J38*3.75)</f>
        <v/>
      </c>
      <c r="N38" s="7">
        <f>IFERROR(MIN(IF(M38&lt;&gt;"",M38,9E9),IF(K38&lt;&gt;"",K38,9E9),IF(L38&lt;&gt;"",L38,9E9)),"")</f>
        <v/>
      </c>
      <c r="O38" s="8">
        <f>IF(OR(N38="",E38=0),"",(E38-N38)/N38)</f>
        <v/>
      </c>
      <c r="P38" s="7">
        <f>IF(N38="","",E38-N38)</f>
        <v/>
      </c>
      <c r="Q38" s="7">
        <f>IF(N38="","",CEILING(MAX(N38*1.4,IF(L38="",N38*1.5,L38*0.95)),10)-1)</f>
        <v/>
      </c>
      <c r="R38" s="9">
        <f>IF(OR(L38="",Q38=""),"",TEXT((Q38-L38)/L38,"+0.0%;-0.0%"))</f>
        <v/>
      </c>
      <c r="S38" s="10">
        <f>IF(N38="","fill prices →",IF(O38&gt;0.5,"✅ PROFITABLE — keep",IF(O38&gt;0.2,"🟡 OK — optimize",IF(O38&gt;0,"⚠️ THIN — raise price or drop","❌ LOSING MONEY — drop or renegotiate"))))</f>
        <v/>
      </c>
    </row>
    <row r="39">
      <c r="A39" t="n">
        <v>38</v>
      </c>
      <c r="B39" t="inlineStr">
        <is>
          <t>GM-MON-DEL-001</t>
        </is>
      </c>
      <c r="C39" t="inlineStr">
        <is>
          <t>Dell Alienware AW2725DF (27" QD-OLED 360Hz)</t>
        </is>
      </c>
      <c r="D39" t="inlineStr">
        <is>
          <t>Gaming</t>
        </is>
      </c>
      <c r="E39" s="11" t="n">
        <v>5599</v>
      </c>
      <c r="F39" s="12" t="inlineStr">
        <is>
          <t>🔗 Search</t>
        </is>
      </c>
      <c r="G39" s="12" t="inlineStr">
        <is>
          <t>🔗 Amazon</t>
        </is>
      </c>
      <c r="H39" s="12" t="inlineStr">
        <is>
          <t>🔗 Noon</t>
        </is>
      </c>
      <c r="I39" s="12" t="inlineStr">
        <is>
          <t>🔗 Jarir</t>
        </is>
      </c>
      <c r="J39" s="5" t="n"/>
      <c r="K39" s="6" t="n"/>
      <c r="L39" s="6" t="n"/>
      <c r="M39" s="7">
        <f>IF(J39="","",J39*3.75)</f>
        <v/>
      </c>
      <c r="N39" s="7">
        <f>IFERROR(MIN(IF(M39&lt;&gt;"",M39,9E9),IF(K39&lt;&gt;"",K39,9E9),IF(L39&lt;&gt;"",L39,9E9)),"")</f>
        <v/>
      </c>
      <c r="O39" s="8">
        <f>IF(OR(N39="",E39=0),"",(E39-N39)/N39)</f>
        <v/>
      </c>
      <c r="P39" s="7">
        <f>IF(N39="","",E39-N39)</f>
        <v/>
      </c>
      <c r="Q39" s="7">
        <f>IF(N39="","",CEILING(MAX(N39*1.4,IF(L39="",N39*1.5,L39*0.95)),10)-1)</f>
        <v/>
      </c>
      <c r="R39" s="9">
        <f>IF(OR(L39="",Q39=""),"",TEXT((Q39-L39)/L39,"+0.0%;-0.0%"))</f>
        <v/>
      </c>
      <c r="S39" s="10">
        <f>IF(N39="","fill prices →",IF(O39&gt;0.5,"✅ PROFITABLE — keep",IF(O39&gt;0.2,"🟡 OK — optimize",IF(O39&gt;0,"⚠️ THIN — raise price or drop","❌ LOSING MONEY — drop or renegotiate"))))</f>
        <v/>
      </c>
    </row>
    <row r="40">
      <c r="A40" s="2" t="n">
        <v>39</v>
      </c>
      <c r="B40" s="2" t="inlineStr">
        <is>
          <t>GM-MON-LGE-001</t>
        </is>
      </c>
      <c r="C40" s="2" t="inlineStr">
        <is>
          <t>LG UltraGear OLED 27GR95QE-B (27" QHD 240Hz)</t>
        </is>
      </c>
      <c r="D40" s="2" t="inlineStr">
        <is>
          <t>Gaming</t>
        </is>
      </c>
      <c r="E40" s="3" t="n">
        <v>4899</v>
      </c>
      <c r="F40" s="4" t="inlineStr">
        <is>
          <t>🔗 Search</t>
        </is>
      </c>
      <c r="G40" s="4" t="inlineStr">
        <is>
          <t>🔗 Amazon</t>
        </is>
      </c>
      <c r="H40" s="4" t="inlineStr">
        <is>
          <t>🔗 Noon</t>
        </is>
      </c>
      <c r="I40" s="4" t="inlineStr">
        <is>
          <t>🔗 Jarir</t>
        </is>
      </c>
      <c r="J40" s="5" t="n"/>
      <c r="K40" s="6" t="n"/>
      <c r="L40" s="6" t="n"/>
      <c r="M40" s="7">
        <f>IF(J40="","",J40*3.75)</f>
        <v/>
      </c>
      <c r="N40" s="7">
        <f>IFERROR(MIN(IF(M40&lt;&gt;"",M40,9E9),IF(K40&lt;&gt;"",K40,9E9),IF(L40&lt;&gt;"",L40,9E9)),"")</f>
        <v/>
      </c>
      <c r="O40" s="8">
        <f>IF(OR(N40="",E40=0),"",(E40-N40)/N40)</f>
        <v/>
      </c>
      <c r="P40" s="7">
        <f>IF(N40="","",E40-N40)</f>
        <v/>
      </c>
      <c r="Q40" s="7">
        <f>IF(N40="","",CEILING(MAX(N40*1.4,IF(L40="",N40*1.5,L40*0.95)),10)-1)</f>
        <v/>
      </c>
      <c r="R40" s="9">
        <f>IF(OR(L40="",Q40=""),"",TEXT((Q40-L40)/L40,"+0.0%;-0.0%"))</f>
        <v/>
      </c>
      <c r="S40" s="10">
        <f>IF(N40="","fill prices →",IF(O40&gt;0.5,"✅ PROFITABLE — keep",IF(O40&gt;0.2,"🟡 OK — optimize",IF(O40&gt;0,"⚠️ THIN — raise price or drop","❌ LOSING MONEY — drop or renegotiate"))))</f>
        <v/>
      </c>
    </row>
    <row r="41">
      <c r="A41" t="n">
        <v>40</v>
      </c>
      <c r="B41" t="inlineStr">
        <is>
          <t>GM-MON-SAM-002</t>
        </is>
      </c>
      <c r="C41" t="inlineStr">
        <is>
          <t>Samsung Odyssey G7 G70D (32" 4K 144Hz)</t>
        </is>
      </c>
      <c r="D41" t="inlineStr">
        <is>
          <t>Gaming</t>
        </is>
      </c>
      <c r="E41" s="11" t="n">
        <v>3499</v>
      </c>
      <c r="F41" s="12" t="inlineStr">
        <is>
          <t>🔗 Search</t>
        </is>
      </c>
      <c r="G41" s="12" t="inlineStr">
        <is>
          <t>🔗 Amazon</t>
        </is>
      </c>
      <c r="H41" s="12" t="inlineStr">
        <is>
          <t>🔗 Noon</t>
        </is>
      </c>
      <c r="I41" s="12" t="inlineStr">
        <is>
          <t>🔗 Jarir</t>
        </is>
      </c>
      <c r="J41" s="5" t="n"/>
      <c r="K41" s="6" t="n"/>
      <c r="L41" s="6" t="n"/>
      <c r="M41" s="7">
        <f>IF(J41="","",J41*3.75)</f>
        <v/>
      </c>
      <c r="N41" s="7">
        <f>IFERROR(MIN(IF(M41&lt;&gt;"",M41,9E9),IF(K41&lt;&gt;"",K41,9E9),IF(L41&lt;&gt;"",L41,9E9)),"")</f>
        <v/>
      </c>
      <c r="O41" s="8">
        <f>IF(OR(N41="",E41=0),"",(E41-N41)/N41)</f>
        <v/>
      </c>
      <c r="P41" s="7">
        <f>IF(N41="","",E41-N41)</f>
        <v/>
      </c>
      <c r="Q41" s="7">
        <f>IF(N41="","",CEILING(MAX(N41*1.4,IF(L41="",N41*1.5,L41*0.95)),10)-1)</f>
        <v/>
      </c>
      <c r="R41" s="9">
        <f>IF(OR(L41="",Q41=""),"",TEXT((Q41-L41)/L41,"+0.0%;-0.0%"))</f>
        <v/>
      </c>
      <c r="S41" s="10">
        <f>IF(N41="","fill prices →",IF(O41&gt;0.5,"✅ PROFITABLE — keep",IF(O41&gt;0.2,"🟡 OK — optimize",IF(O41&gt;0,"⚠️ THIN — raise price or drop","❌ LOSING MONEY — drop or renegotiate"))))</f>
        <v/>
      </c>
    </row>
    <row r="42">
      <c r="A42" s="2" t="n">
        <v>41</v>
      </c>
      <c r="B42" s="2" t="inlineStr">
        <is>
          <t>GM-MON-SAM-001</t>
        </is>
      </c>
      <c r="C42" s="2" t="inlineStr">
        <is>
          <t>Samsung Odyssey OLED G8 (34" UWQHD 175Hz)</t>
        </is>
      </c>
      <c r="D42" s="2" t="inlineStr">
        <is>
          <t>Gaming</t>
        </is>
      </c>
      <c r="E42" s="3" t="n">
        <v>7799</v>
      </c>
      <c r="F42" s="4" t="inlineStr">
        <is>
          <t>🔗 Search</t>
        </is>
      </c>
      <c r="G42" s="4" t="inlineStr">
        <is>
          <t>🔗 Amazon</t>
        </is>
      </c>
      <c r="H42" s="4" t="inlineStr">
        <is>
          <t>🔗 Noon</t>
        </is>
      </c>
      <c r="I42" s="4" t="inlineStr">
        <is>
          <t>🔗 Jarir</t>
        </is>
      </c>
      <c r="J42" s="5" t="n"/>
      <c r="K42" s="6" t="n"/>
      <c r="L42" s="6" t="n"/>
      <c r="M42" s="7">
        <f>IF(J42="","",J42*3.75)</f>
        <v/>
      </c>
      <c r="N42" s="7">
        <f>IFERROR(MIN(IF(M42&lt;&gt;"",M42,9E9),IF(K42&lt;&gt;"",K42,9E9),IF(L42&lt;&gt;"",L42,9E9)),"")</f>
        <v/>
      </c>
      <c r="O42" s="8">
        <f>IF(OR(N42="",E42=0),"",(E42-N42)/N42)</f>
        <v/>
      </c>
      <c r="P42" s="7">
        <f>IF(N42="","",E42-N42)</f>
        <v/>
      </c>
      <c r="Q42" s="7">
        <f>IF(N42="","",CEILING(MAX(N42*1.4,IF(L42="",N42*1.5,L42*0.95)),10)-1)</f>
        <v/>
      </c>
      <c r="R42" s="9">
        <f>IF(OR(L42="",Q42=""),"",TEXT((Q42-L42)/L42,"+0.0%;-0.0%"))</f>
        <v/>
      </c>
      <c r="S42" s="10">
        <f>IF(N42="","fill prices →",IF(O42&gt;0.5,"✅ PROFITABLE — keep",IF(O42&gt;0.2,"🟡 OK — optimize",IF(O42&gt;0,"⚠️ THIN — raise price or drop","❌ LOSING MONEY — drop or renegotiate"))))</f>
        <v/>
      </c>
    </row>
    <row r="43">
      <c r="A43" t="n">
        <v>42</v>
      </c>
      <c r="B43" t="inlineStr">
        <is>
          <t>GM-MON-ASU-001</t>
        </is>
      </c>
      <c r="C43" t="inlineStr">
        <is>
          <t>ASUS ROG Swift OLED PG27AQDM (27" QHD 240Hz)</t>
        </is>
      </c>
      <c r="D43" t="inlineStr">
        <is>
          <t>Gaming</t>
        </is>
      </c>
      <c r="E43" s="11" t="n">
        <v>5399</v>
      </c>
      <c r="F43" s="12" t="inlineStr">
        <is>
          <t>🔗 Search</t>
        </is>
      </c>
      <c r="G43" s="12" t="inlineStr">
        <is>
          <t>🔗 Amazon</t>
        </is>
      </c>
      <c r="H43" s="12" t="inlineStr">
        <is>
          <t>🔗 Noon</t>
        </is>
      </c>
      <c r="I43" s="12" t="inlineStr">
        <is>
          <t>🔗 Jarir</t>
        </is>
      </c>
      <c r="J43" s="5" t="n"/>
      <c r="K43" s="6" t="n"/>
      <c r="L43" s="6" t="n"/>
      <c r="M43" s="7">
        <f>IF(J43="","",J43*3.75)</f>
        <v/>
      </c>
      <c r="N43" s="7">
        <f>IFERROR(MIN(IF(M43&lt;&gt;"",M43,9E9),IF(K43&lt;&gt;"",K43,9E9),IF(L43&lt;&gt;"",L43,9E9)),"")</f>
        <v/>
      </c>
      <c r="O43" s="8">
        <f>IF(OR(N43="",E43=0),"",(E43-N43)/N43)</f>
        <v/>
      </c>
      <c r="P43" s="7">
        <f>IF(N43="","",E43-N43)</f>
        <v/>
      </c>
      <c r="Q43" s="7">
        <f>IF(N43="","",CEILING(MAX(N43*1.4,IF(L43="",N43*1.5,L43*0.95)),10)-1)</f>
        <v/>
      </c>
      <c r="R43" s="9">
        <f>IF(OR(L43="",Q43=""),"",TEXT((Q43-L43)/L43,"+0.0%;-0.0%"))</f>
        <v/>
      </c>
      <c r="S43" s="10">
        <f>IF(N43="","fill prices →",IF(O43&gt;0.5,"✅ PROFITABLE — keep",IF(O43&gt;0.2,"🟡 OK — optimize",IF(O43&gt;0,"⚠️ THIN — raise price or drop","❌ LOSING MONEY — drop or renegotiate"))))</f>
        <v/>
      </c>
    </row>
    <row r="44">
      <c r="A44" s="2" t="n">
        <v>43</v>
      </c>
      <c r="B44" s="2" t="inlineStr">
        <is>
          <t>NT-MPC-DEL-001</t>
        </is>
      </c>
      <c r="C44" s="2" t="inlineStr">
        <is>
          <t>Dell OptiPlex 7070 Micro (Refurb)</t>
        </is>
      </c>
      <c r="D44" s="2" t="inlineStr">
        <is>
          <t>Homelab</t>
        </is>
      </c>
      <c r="E44" s="3" t="n">
        <v>1549</v>
      </c>
      <c r="F44" s="4" t="inlineStr">
        <is>
          <t>🔗 Search</t>
        </is>
      </c>
      <c r="G44" s="4" t="inlineStr">
        <is>
          <t>🔗 Amazon</t>
        </is>
      </c>
      <c r="H44" s="4" t="inlineStr">
        <is>
          <t>🔗 Noon</t>
        </is>
      </c>
      <c r="I44" s="4" t="inlineStr">
        <is>
          <t>🔗 Jarir</t>
        </is>
      </c>
      <c r="J44" s="5" t="n"/>
      <c r="K44" s="6" t="n"/>
      <c r="L44" s="6" t="n"/>
      <c r="M44" s="7">
        <f>IF(J44="","",J44*3.75)</f>
        <v/>
      </c>
      <c r="N44" s="7">
        <f>IFERROR(MIN(IF(M44&lt;&gt;"",M44,9E9),IF(K44&lt;&gt;"",K44,9E9),IF(L44&lt;&gt;"",L44,9E9)),"")</f>
        <v/>
      </c>
      <c r="O44" s="8">
        <f>IF(OR(N44="",E44=0),"",(E44-N44)/N44)</f>
        <v/>
      </c>
      <c r="P44" s="7">
        <f>IF(N44="","",E44-N44)</f>
        <v/>
      </c>
      <c r="Q44" s="7">
        <f>IF(N44="","",CEILING(MAX(N44*1.4,IF(L44="",N44*1.5,L44*0.95)),10)-1)</f>
        <v/>
      </c>
      <c r="R44" s="9">
        <f>IF(OR(L44="",Q44=""),"",TEXT((Q44-L44)/L44,"+0.0%;-0.0%"))</f>
        <v/>
      </c>
      <c r="S44" s="10">
        <f>IF(N44="","fill prices →",IF(O44&gt;0.5,"✅ PROFITABLE — keep",IF(O44&gt;0.2,"🟡 OK — optimize",IF(O44&gt;0,"⚠️ THIN — raise price or drop","❌ LOSING MONEY — drop or renegotiate"))))</f>
        <v/>
      </c>
    </row>
    <row r="45">
      <c r="A45" t="n">
        <v>44</v>
      </c>
      <c r="B45" t="inlineStr">
        <is>
          <t>NT-MPC-BLK-002</t>
        </is>
      </c>
      <c r="C45" t="inlineStr">
        <is>
          <t>Beelink EQ12 (Intel N100)</t>
        </is>
      </c>
      <c r="D45" t="inlineStr">
        <is>
          <t>Homelab</t>
        </is>
      </c>
      <c r="E45" s="11" t="n">
        <v>999</v>
      </c>
      <c r="F45" s="12" t="inlineStr">
        <is>
          <t>🔗 Search</t>
        </is>
      </c>
      <c r="G45" s="12" t="inlineStr">
        <is>
          <t>🔗 Amazon</t>
        </is>
      </c>
      <c r="H45" s="12" t="inlineStr">
        <is>
          <t>🔗 Noon</t>
        </is>
      </c>
      <c r="I45" s="12" t="inlineStr">
        <is>
          <t>🔗 Jarir</t>
        </is>
      </c>
      <c r="J45" s="5" t="n"/>
      <c r="K45" s="6" t="n"/>
      <c r="L45" s="6" t="n"/>
      <c r="M45" s="7">
        <f>IF(J45="","",J45*3.75)</f>
        <v/>
      </c>
      <c r="N45" s="7">
        <f>IFERROR(MIN(IF(M45&lt;&gt;"",M45,9E9),IF(K45&lt;&gt;"",K45,9E9),IF(L45&lt;&gt;"",L45,9E9)),"")</f>
        <v/>
      </c>
      <c r="O45" s="8">
        <f>IF(OR(N45="",E45=0),"",(E45-N45)/N45)</f>
        <v/>
      </c>
      <c r="P45" s="7">
        <f>IF(N45="","",E45-N45)</f>
        <v/>
      </c>
      <c r="Q45" s="7">
        <f>IF(N45="","",CEILING(MAX(N45*1.4,IF(L45="",N45*1.5,L45*0.95)),10)-1)</f>
        <v/>
      </c>
      <c r="R45" s="9">
        <f>IF(OR(L45="",Q45=""),"",TEXT((Q45-L45)/L45,"+0.0%;-0.0%"))</f>
        <v/>
      </c>
      <c r="S45" s="10">
        <f>IF(N45="","fill prices →",IF(O45&gt;0.5,"✅ PROFITABLE — keep",IF(O45&gt;0.2,"🟡 OK — optimize",IF(O45&gt;0,"⚠️ THIN — raise price or drop","❌ LOSING MONEY — drop or renegotiate"))))</f>
        <v/>
      </c>
    </row>
    <row r="46">
      <c r="A46" s="2" t="n">
        <v>45</v>
      </c>
      <c r="B46" s="2" t="inlineStr">
        <is>
          <t>NT-MPC-BLK-001</t>
        </is>
      </c>
      <c r="C46" s="2" t="inlineStr">
        <is>
          <t>Beelink SER7 (Ryzen 7 7735HS)</t>
        </is>
      </c>
      <c r="D46" s="2" t="inlineStr">
        <is>
          <t>Homelab</t>
        </is>
      </c>
      <c r="E46" s="3" t="n">
        <v>2399</v>
      </c>
      <c r="F46" s="4" t="inlineStr">
        <is>
          <t>🔗 Search</t>
        </is>
      </c>
      <c r="G46" s="4" t="inlineStr">
        <is>
          <t>🔗 Amazon</t>
        </is>
      </c>
      <c r="H46" s="4" t="inlineStr">
        <is>
          <t>🔗 Noon</t>
        </is>
      </c>
      <c r="I46" s="4" t="inlineStr">
        <is>
          <t>🔗 Jarir</t>
        </is>
      </c>
      <c r="J46" s="5" t="n"/>
      <c r="K46" s="6" t="n"/>
      <c r="L46" s="6" t="n"/>
      <c r="M46" s="7">
        <f>IF(J46="","",J46*3.75)</f>
        <v/>
      </c>
      <c r="N46" s="7">
        <f>IFERROR(MIN(IF(M46&lt;&gt;"",M46,9E9),IF(K46&lt;&gt;"",K46,9E9),IF(L46&lt;&gt;"",L46,9E9)),"")</f>
        <v/>
      </c>
      <c r="O46" s="8">
        <f>IF(OR(N46="",E46=0),"",(E46-N46)/N46)</f>
        <v/>
      </c>
      <c r="P46" s="7">
        <f>IF(N46="","",E46-N46)</f>
        <v/>
      </c>
      <c r="Q46" s="7">
        <f>IF(N46="","",CEILING(MAX(N46*1.4,IF(L46="",N46*1.5,L46*0.95)),10)-1)</f>
        <v/>
      </c>
      <c r="R46" s="9">
        <f>IF(OR(L46="",Q46=""),"",TEXT((Q46-L46)/L46,"+0.0%;-0.0%"))</f>
        <v/>
      </c>
      <c r="S46" s="10">
        <f>IF(N46="","fill prices →",IF(O46&gt;0.5,"✅ PROFITABLE — keep",IF(O46&gt;0.2,"🟡 OK — optimize",IF(O46&gt;0,"⚠️ THIN — raise price or drop","❌ LOSING MONEY — drop or renegotiate"))))</f>
        <v/>
      </c>
    </row>
    <row r="47">
      <c r="A47" t="n">
        <v>46</v>
      </c>
      <c r="B47" t="inlineStr">
        <is>
          <t>NT-MPC-MNF-001</t>
        </is>
      </c>
      <c r="C47" t="inlineStr">
        <is>
          <t>MinisForum MS-01 (Homelab Server)</t>
        </is>
      </c>
      <c r="D47" t="inlineStr">
        <is>
          <t>Homelab</t>
        </is>
      </c>
      <c r="E47" s="11" t="n">
        <v>3999</v>
      </c>
      <c r="F47" s="12" t="inlineStr">
        <is>
          <t>🔗 Search</t>
        </is>
      </c>
      <c r="G47" s="12" t="inlineStr">
        <is>
          <t>🔗 Amazon</t>
        </is>
      </c>
      <c r="H47" s="12" t="inlineStr">
        <is>
          <t>🔗 Noon</t>
        </is>
      </c>
      <c r="I47" s="12" t="inlineStr">
        <is>
          <t>🔗 Jarir</t>
        </is>
      </c>
      <c r="J47" s="5" t="n"/>
      <c r="K47" s="6" t="n"/>
      <c r="L47" s="6" t="n"/>
      <c r="M47" s="7">
        <f>IF(J47="","",J47*3.75)</f>
        <v/>
      </c>
      <c r="N47" s="7">
        <f>IFERROR(MIN(IF(M47&lt;&gt;"",M47,9E9),IF(K47&lt;&gt;"",K47,9E9),IF(L47&lt;&gt;"",L47,9E9)),"")</f>
        <v/>
      </c>
      <c r="O47" s="8">
        <f>IF(OR(N47="",E47=0),"",(E47-N47)/N47)</f>
        <v/>
      </c>
      <c r="P47" s="7">
        <f>IF(N47="","",E47-N47)</f>
        <v/>
      </c>
      <c r="Q47" s="7">
        <f>IF(N47="","",CEILING(MAX(N47*1.4,IF(L47="",N47*1.5,L47*0.95)),10)-1)</f>
        <v/>
      </c>
      <c r="R47" s="9">
        <f>IF(OR(L47="",Q47=""),"",TEXT((Q47-L47)/L47,"+0.0%;-0.0%"))</f>
        <v/>
      </c>
      <c r="S47" s="10">
        <f>IF(N47="","fill prices →",IF(O47&gt;0.5,"✅ PROFITABLE — keep",IF(O47&gt;0.2,"🟡 OK — optimize",IF(O47&gt;0,"⚠️ THIN — raise price or drop","❌ LOSING MONEY — drop or renegotiate"))))</f>
        <v/>
      </c>
    </row>
    <row r="48">
      <c r="A48" s="2" t="n">
        <v>47</v>
      </c>
      <c r="B48" s="2" t="inlineStr">
        <is>
          <t>NT-POE-TPL-001</t>
        </is>
      </c>
      <c r="C48" s="2" t="inlineStr">
        <is>
          <t>TP-Link TL-SG1005P 5-Port PoE</t>
        </is>
      </c>
      <c r="D48" s="2" t="inlineStr">
        <is>
          <t>Networking</t>
        </is>
      </c>
      <c r="E48" s="3" t="n">
        <v>299</v>
      </c>
      <c r="F48" s="4" t="inlineStr">
        <is>
          <t>🔗 Search</t>
        </is>
      </c>
      <c r="G48" s="4" t="inlineStr">
        <is>
          <t>🔗 Amazon</t>
        </is>
      </c>
      <c r="H48" s="4" t="inlineStr">
        <is>
          <t>🔗 Noon</t>
        </is>
      </c>
      <c r="I48" s="4" t="inlineStr">
        <is>
          <t>🔗 Jarir</t>
        </is>
      </c>
      <c r="J48" s="5" t="n"/>
      <c r="K48" s="6" t="n"/>
      <c r="L48" s="6" t="n"/>
      <c r="M48" s="7">
        <f>IF(J48="","",J48*3.75)</f>
        <v/>
      </c>
      <c r="N48" s="7">
        <f>IFERROR(MIN(IF(M48&lt;&gt;"",M48,9E9),IF(K48&lt;&gt;"",K48,9E9),IF(L48&lt;&gt;"",L48,9E9)),"")</f>
        <v/>
      </c>
      <c r="O48" s="8">
        <f>IF(OR(N48="",E48=0),"",(E48-N48)/N48)</f>
        <v/>
      </c>
      <c r="P48" s="7">
        <f>IF(N48="","",E48-N48)</f>
        <v/>
      </c>
      <c r="Q48" s="7">
        <f>IF(N48="","",CEILING(MAX(N48*1.4,IF(L48="",N48*1.5,L48*0.95)),10)-1)</f>
        <v/>
      </c>
      <c r="R48" s="9">
        <f>IF(OR(L48="",Q48=""),"",TEXT((Q48-L48)/L48,"+0.0%;-0.0%"))</f>
        <v/>
      </c>
      <c r="S48" s="10">
        <f>IF(N48="","fill prices →",IF(O48&gt;0.5,"✅ PROFITABLE — keep",IF(O48&gt;0.2,"🟡 OK — optimize",IF(O48&gt;0,"⚠️ THIN — raise price or drop","❌ LOSING MONEY — drop or renegotiate"))))</f>
        <v/>
      </c>
    </row>
    <row r="49">
      <c r="A49" t="n">
        <v>48</v>
      </c>
      <c r="B49" t="inlineStr">
        <is>
          <t>NT-POE-UBQ-001</t>
        </is>
      </c>
      <c r="C49" t="inlineStr">
        <is>
          <t>Ubiquiti USW-Lite-8-PoE</t>
        </is>
      </c>
      <c r="D49" t="inlineStr">
        <is>
          <t>Networking</t>
        </is>
      </c>
      <c r="E49" s="11" t="n">
        <v>849</v>
      </c>
      <c r="F49" s="12" t="inlineStr">
        <is>
          <t>🔗 Search</t>
        </is>
      </c>
      <c r="G49" s="12" t="inlineStr">
        <is>
          <t>🔗 Amazon</t>
        </is>
      </c>
      <c r="H49" s="12" t="inlineStr">
        <is>
          <t>🔗 Noon</t>
        </is>
      </c>
      <c r="I49" s="12" t="inlineStr">
        <is>
          <t>🔗 Jarir</t>
        </is>
      </c>
      <c r="J49" s="5" t="n"/>
      <c r="K49" s="6" t="n"/>
      <c r="L49" s="6" t="n"/>
      <c r="M49" s="7">
        <f>IF(J49="","",J49*3.75)</f>
        <v/>
      </c>
      <c r="N49" s="7">
        <f>IFERROR(MIN(IF(M49&lt;&gt;"",M49,9E9),IF(K49&lt;&gt;"",K49,9E9),IF(L49&lt;&gt;"",L49,9E9)),"")</f>
        <v/>
      </c>
      <c r="O49" s="8">
        <f>IF(OR(N49="",E49=0),"",(E49-N49)/N49)</f>
        <v/>
      </c>
      <c r="P49" s="7">
        <f>IF(N49="","",E49-N49)</f>
        <v/>
      </c>
      <c r="Q49" s="7">
        <f>IF(N49="","",CEILING(MAX(N49*1.4,IF(L49="",N49*1.5,L49*0.95)),10)-1)</f>
        <v/>
      </c>
      <c r="R49" s="9">
        <f>IF(OR(L49="",Q49=""),"",TEXT((Q49-L49)/L49,"+0.0%;-0.0%"))</f>
        <v/>
      </c>
      <c r="S49" s="10">
        <f>IF(N49="","fill prices →",IF(O49&gt;0.5,"✅ PROFITABLE — keep",IF(O49&gt;0.2,"🟡 OK — optimize",IF(O49&gt;0,"⚠️ THIN — raise price or drop","❌ LOSING MONEY — drop or renegotiate"))))</f>
        <v/>
      </c>
    </row>
    <row r="50">
      <c r="A50" s="2" t="n">
        <v>49</v>
      </c>
      <c r="B50" s="2" t="inlineStr">
        <is>
          <t>NT-KVM-ATN-001</t>
        </is>
      </c>
      <c r="C50" s="2" t="inlineStr">
        <is>
          <t>ATEN CS1924M 4-Port DP KVM</t>
        </is>
      </c>
      <c r="D50" s="2" t="inlineStr">
        <is>
          <t>Homelab</t>
        </is>
      </c>
      <c r="E50" s="3" t="n">
        <v>2399</v>
      </c>
      <c r="F50" s="4" t="inlineStr">
        <is>
          <t>🔗 Search</t>
        </is>
      </c>
      <c r="G50" s="4" t="inlineStr">
        <is>
          <t>🔗 Amazon</t>
        </is>
      </c>
      <c r="H50" s="4" t="inlineStr">
        <is>
          <t>🔗 Noon</t>
        </is>
      </c>
      <c r="I50" s="4" t="inlineStr">
        <is>
          <t>🔗 Jarir</t>
        </is>
      </c>
      <c r="J50" s="5" t="n"/>
      <c r="K50" s="6" t="n"/>
      <c r="L50" s="6" t="n"/>
      <c r="M50" s="7">
        <f>IF(J50="","",J50*3.75)</f>
        <v/>
      </c>
      <c r="N50" s="7">
        <f>IFERROR(MIN(IF(M50&lt;&gt;"",M50,9E9),IF(K50&lt;&gt;"",K50,9E9),IF(L50&lt;&gt;"",L50,9E9)),"")</f>
        <v/>
      </c>
      <c r="O50" s="8">
        <f>IF(OR(N50="",E50=0),"",(E50-N50)/N50)</f>
        <v/>
      </c>
      <c r="P50" s="7">
        <f>IF(N50="","",E50-N50)</f>
        <v/>
      </c>
      <c r="Q50" s="7">
        <f>IF(N50="","",CEILING(MAX(N50*1.4,IF(L50="",N50*1.5,L50*0.95)),10)-1)</f>
        <v/>
      </c>
      <c r="R50" s="9">
        <f>IF(OR(L50="",Q50=""),"",TEXT((Q50-L50)/L50,"+0.0%;-0.0%"))</f>
        <v/>
      </c>
      <c r="S50" s="10">
        <f>IF(N50="","fill prices →",IF(O50&gt;0.5,"✅ PROFITABLE — keep",IF(O50&gt;0.2,"🟡 OK — optimize",IF(O50&gt;0,"⚠️ THIN — raise price or drop","❌ LOSING MONEY — drop or renegotiate"))))</f>
        <v/>
      </c>
    </row>
    <row r="51">
      <c r="A51" t="n">
        <v>50</v>
      </c>
      <c r="B51" t="inlineStr">
        <is>
          <t>NT-KVM-TES-001</t>
        </is>
      </c>
      <c r="C51" t="inlineStr">
        <is>
          <t>TESmart HKS0401A1U 4-Port HDMI KVM</t>
        </is>
      </c>
      <c r="D51" t="inlineStr">
        <is>
          <t>Homelab</t>
        </is>
      </c>
      <c r="E51" s="11" t="n">
        <v>599</v>
      </c>
      <c r="F51" s="12" t="inlineStr">
        <is>
          <t>🔗 Search</t>
        </is>
      </c>
      <c r="G51" s="12" t="inlineStr">
        <is>
          <t>🔗 Amazon</t>
        </is>
      </c>
      <c r="H51" s="12" t="inlineStr">
        <is>
          <t>🔗 Noon</t>
        </is>
      </c>
      <c r="I51" s="12" t="inlineStr">
        <is>
          <t>🔗 Jarir</t>
        </is>
      </c>
      <c r="J51" s="5" t="n"/>
      <c r="K51" s="6" t="n"/>
      <c r="L51" s="6" t="n"/>
      <c r="M51" s="7">
        <f>IF(J51="","",J51*3.75)</f>
        <v/>
      </c>
      <c r="N51" s="7">
        <f>IFERROR(MIN(IF(M51&lt;&gt;"",M51,9E9),IF(K51&lt;&gt;"",K51,9E9),IF(L51&lt;&gt;"",L51,9E9)),"")</f>
        <v/>
      </c>
      <c r="O51" s="8">
        <f>IF(OR(N51="",E51=0),"",(E51-N51)/N51)</f>
        <v/>
      </c>
      <c r="P51" s="7">
        <f>IF(N51="","",E51-N51)</f>
        <v/>
      </c>
      <c r="Q51" s="7">
        <f>IF(N51="","",CEILING(MAX(N51*1.4,IF(L51="",N51*1.5,L51*0.95)),10)-1)</f>
        <v/>
      </c>
      <c r="R51" s="9">
        <f>IF(OR(L51="",Q51=""),"",TEXT((Q51-L51)/L51,"+0.0%;-0.0%"))</f>
        <v/>
      </c>
      <c r="S51" s="10">
        <f>IF(N51="","fill prices →",IF(O51&gt;0.5,"✅ PROFITABLE — keep",IF(O51&gt;0.2,"🟡 OK — optimize",IF(O51&gt;0,"⚠️ THIN — raise price or drop","❌ LOSING MONEY — drop or renegotiate"))))</f>
        <v/>
      </c>
    </row>
    <row r="52">
      <c r="A52" s="2" t="n">
        <v>51</v>
      </c>
      <c r="B52" s="2" t="inlineStr">
        <is>
          <t>NT-FWL-FTN-001</t>
        </is>
      </c>
      <c r="C52" s="2" t="inlineStr">
        <is>
          <t>Fortinet FortiGate 60F</t>
        </is>
      </c>
      <c r="D52" s="2" t="inlineStr">
        <is>
          <t>Homelab</t>
        </is>
      </c>
      <c r="E52" s="3" t="n">
        <v>5499</v>
      </c>
      <c r="F52" s="4" t="inlineStr">
        <is>
          <t>🔗 Search</t>
        </is>
      </c>
      <c r="G52" s="4" t="inlineStr">
        <is>
          <t>🔗 Amazon</t>
        </is>
      </c>
      <c r="H52" s="4" t="inlineStr">
        <is>
          <t>🔗 Noon</t>
        </is>
      </c>
      <c r="I52" s="4" t="inlineStr">
        <is>
          <t>🔗 Jarir</t>
        </is>
      </c>
      <c r="J52" s="5" t="n"/>
      <c r="K52" s="6" t="n"/>
      <c r="L52" s="6" t="n"/>
      <c r="M52" s="7">
        <f>IF(J52="","",J52*3.75)</f>
        <v/>
      </c>
      <c r="N52" s="7">
        <f>IFERROR(MIN(IF(M52&lt;&gt;"",M52,9E9),IF(K52&lt;&gt;"",K52,9E9),IF(L52&lt;&gt;"",L52,9E9)),"")</f>
        <v/>
      </c>
      <c r="O52" s="8">
        <f>IF(OR(N52="",E52=0),"",(E52-N52)/N52)</f>
        <v/>
      </c>
      <c r="P52" s="7">
        <f>IF(N52="","",E52-N52)</f>
        <v/>
      </c>
      <c r="Q52" s="7">
        <f>IF(N52="","",CEILING(MAX(N52*1.4,IF(L52="",N52*1.5,L52*0.95)),10)-1)</f>
        <v/>
      </c>
      <c r="R52" s="9">
        <f>IF(OR(L52="",Q52=""),"",TEXT((Q52-L52)/L52,"+0.0%;-0.0%"))</f>
        <v/>
      </c>
      <c r="S52" s="10">
        <f>IF(N52="","fill prices →",IF(O52&gt;0.5,"✅ PROFITABLE — keep",IF(O52&gt;0.2,"🟡 OK — optimize",IF(O52&gt;0,"⚠️ THIN — raise price or drop","❌ LOSING MONEY — drop or renegotiate"))))</f>
        <v/>
      </c>
    </row>
    <row r="53">
      <c r="A53" t="n">
        <v>52</v>
      </c>
      <c r="B53" t="inlineStr">
        <is>
          <t>NT-FWL-NGT-002</t>
        </is>
      </c>
      <c r="C53" t="inlineStr">
        <is>
          <t>Netgate 2100 MAX pfSense+ Gateway</t>
        </is>
      </c>
      <c r="D53" t="inlineStr">
        <is>
          <t>Homelab</t>
        </is>
      </c>
      <c r="E53" s="11" t="n">
        <v>2499</v>
      </c>
      <c r="F53" s="12" t="inlineStr">
        <is>
          <t>🔗 Search</t>
        </is>
      </c>
      <c r="G53" s="12" t="inlineStr">
        <is>
          <t>🔗 Amazon</t>
        </is>
      </c>
      <c r="H53" s="12" t="inlineStr">
        <is>
          <t>🔗 Noon</t>
        </is>
      </c>
      <c r="I53" s="12" t="inlineStr">
        <is>
          <t>🔗 Jarir</t>
        </is>
      </c>
      <c r="J53" s="5" t="n"/>
      <c r="K53" s="6" t="n"/>
      <c r="L53" s="6" t="n"/>
      <c r="M53" s="7">
        <f>IF(J53="","",J53*3.75)</f>
        <v/>
      </c>
      <c r="N53" s="7">
        <f>IFERROR(MIN(IF(M53&lt;&gt;"",M53,9E9),IF(K53&lt;&gt;"",K53,9E9),IF(L53&lt;&gt;"",L53,9E9)),"")</f>
        <v/>
      </c>
      <c r="O53" s="8">
        <f>IF(OR(N53="",E53=0),"",(E53-N53)/N53)</f>
        <v/>
      </c>
      <c r="P53" s="7">
        <f>IF(N53="","",E53-N53)</f>
        <v/>
      </c>
      <c r="Q53" s="7">
        <f>IF(N53="","",CEILING(MAX(N53*1.4,IF(L53="",N53*1.5,L53*0.95)),10)-1)</f>
        <v/>
      </c>
      <c r="R53" s="9">
        <f>IF(OR(L53="",Q53=""),"",TEXT((Q53-L53)/L53,"+0.0%;-0.0%"))</f>
        <v/>
      </c>
      <c r="S53" s="10">
        <f>IF(N53="","fill prices →",IF(O53&gt;0.5,"✅ PROFITABLE — keep",IF(O53&gt;0.2,"🟡 OK — optimize",IF(O53&gt;0,"⚠️ THIN — raise price or drop","❌ LOSING MONEY — drop or renegotiate"))))</f>
        <v/>
      </c>
    </row>
    <row r="54">
      <c r="A54" s="2" t="n">
        <v>53</v>
      </c>
      <c r="B54" s="2" t="inlineStr">
        <is>
          <t>NT-FWL-NGT-001</t>
        </is>
      </c>
      <c r="C54" s="2" t="inlineStr">
        <is>
          <t>Netgate 4200 MAX pfSense+ Gateway</t>
        </is>
      </c>
      <c r="D54" s="2" t="inlineStr">
        <is>
          <t>Homelab</t>
        </is>
      </c>
      <c r="E54" s="3" t="n">
        <v>3399</v>
      </c>
      <c r="F54" s="4" t="inlineStr">
        <is>
          <t>🔗 Search</t>
        </is>
      </c>
      <c r="G54" s="4" t="inlineStr">
        <is>
          <t>🔗 Amazon</t>
        </is>
      </c>
      <c r="H54" s="4" t="inlineStr">
        <is>
          <t>🔗 Noon</t>
        </is>
      </c>
      <c r="I54" s="4" t="inlineStr">
        <is>
          <t>🔗 Jarir</t>
        </is>
      </c>
      <c r="J54" s="5" t="n"/>
      <c r="K54" s="6" t="n"/>
      <c r="L54" s="6" t="n"/>
      <c r="M54" s="7">
        <f>IF(J54="","",J54*3.75)</f>
        <v/>
      </c>
      <c r="N54" s="7">
        <f>IFERROR(MIN(IF(M54&lt;&gt;"",M54,9E9),IF(K54&lt;&gt;"",K54,9E9),IF(L54&lt;&gt;"",L54,9E9)),"")</f>
        <v/>
      </c>
      <c r="O54" s="8">
        <f>IF(OR(N54="",E54=0),"",(E54-N54)/N54)</f>
        <v/>
      </c>
      <c r="P54" s="7">
        <f>IF(N54="","",E54-N54)</f>
        <v/>
      </c>
      <c r="Q54" s="7">
        <f>IF(N54="","",CEILING(MAX(N54*1.4,IF(L54="",N54*1.5,L54*0.95)),10)-1)</f>
        <v/>
      </c>
      <c r="R54" s="9">
        <f>IF(OR(L54="",Q54=""),"",TEXT((Q54-L54)/L54,"+0.0%;-0.0%"))</f>
        <v/>
      </c>
      <c r="S54" s="10">
        <f>IF(N54="","fill prices →",IF(O54&gt;0.5,"✅ PROFITABLE — keep",IF(O54&gt;0.2,"🟡 OK — optimize",IF(O54&gt;0,"⚠️ THIN — raise price or drop","❌ LOSING MONEY — drop or renegotiate"))))</f>
        <v/>
      </c>
    </row>
    <row r="55">
      <c r="A55" t="n">
        <v>54</v>
      </c>
      <c r="B55" t="inlineStr">
        <is>
          <t>NT-CBL-GEN-001</t>
        </is>
      </c>
      <c r="C55" t="inlineStr">
        <is>
          <t>Cat6a Shielded Bulk Cable (305m)</t>
        </is>
      </c>
      <c r="D55" t="inlineStr">
        <is>
          <t>Networking</t>
        </is>
      </c>
      <c r="E55" s="11" t="n">
        <v>849</v>
      </c>
      <c r="F55" s="12" t="inlineStr">
        <is>
          <t>🔗 Search</t>
        </is>
      </c>
      <c r="G55" s="12" t="inlineStr">
        <is>
          <t>🔗 Amazon</t>
        </is>
      </c>
      <c r="H55" s="12" t="inlineStr">
        <is>
          <t>🔗 Noon</t>
        </is>
      </c>
      <c r="I55" s="12" t="inlineStr">
        <is>
          <t>🔗 Jarir</t>
        </is>
      </c>
      <c r="J55" s="5" t="n"/>
      <c r="K55" s="6" t="n"/>
      <c r="L55" s="6" t="n"/>
      <c r="M55" s="7">
        <f>IF(J55="","",J55*3.75)</f>
        <v/>
      </c>
      <c r="N55" s="7">
        <f>IFERROR(MIN(IF(M55&lt;&gt;"",M55,9E9),IF(K55&lt;&gt;"",K55,9E9),IF(L55&lt;&gt;"",L55,9E9)),"")</f>
        <v/>
      </c>
      <c r="O55" s="8">
        <f>IF(OR(N55="",E55=0),"",(E55-N55)/N55)</f>
        <v/>
      </c>
      <c r="P55" s="7">
        <f>IF(N55="","",E55-N55)</f>
        <v/>
      </c>
      <c r="Q55" s="7">
        <f>IF(N55="","",CEILING(MAX(N55*1.4,IF(L55="",N55*1.5,L55*0.95)),10)-1)</f>
        <v/>
      </c>
      <c r="R55" s="9">
        <f>IF(OR(L55="",Q55=""),"",TEXT((Q55-L55)/L55,"+0.0%;-0.0%"))</f>
        <v/>
      </c>
      <c r="S55" s="10">
        <f>IF(N55="","fill prices →",IF(O55&gt;0.5,"✅ PROFITABLE — keep",IF(O55&gt;0.2,"🟡 OK — optimize",IF(O55&gt;0,"⚠️ THIN — raise price or drop","❌ LOSING MONEY — drop or renegotiate"))))</f>
        <v/>
      </c>
    </row>
    <row r="56">
      <c r="A56" s="2" t="n">
        <v>55</v>
      </c>
      <c r="B56" s="2" t="inlineStr">
        <is>
          <t>NT-CBL-FSC-001</t>
        </is>
      </c>
      <c r="C56" s="2" t="inlineStr">
        <is>
          <t>10G SFP+ DAC Twinax Cable (1m)</t>
        </is>
      </c>
      <c r="D56" s="2" t="inlineStr">
        <is>
          <t>Networking</t>
        </is>
      </c>
      <c r="E56" s="3" t="n">
        <v>139</v>
      </c>
      <c r="F56" s="4" t="inlineStr">
        <is>
          <t>🔗 Search</t>
        </is>
      </c>
      <c r="G56" s="4" t="inlineStr">
        <is>
          <t>🔗 Amazon</t>
        </is>
      </c>
      <c r="H56" s="4" t="inlineStr">
        <is>
          <t>🔗 Noon</t>
        </is>
      </c>
      <c r="I56" s="4" t="inlineStr">
        <is>
          <t>🔗 Jarir</t>
        </is>
      </c>
      <c r="J56" s="5" t="n"/>
      <c r="K56" s="6" t="n"/>
      <c r="L56" s="6" t="n"/>
      <c r="M56" s="7">
        <f>IF(J56="","",J56*3.75)</f>
        <v/>
      </c>
      <c r="N56" s="7">
        <f>IFERROR(MIN(IF(M56&lt;&gt;"",M56,9E9),IF(K56&lt;&gt;"",K56,9E9),IF(L56&lt;&gt;"",L56,9E9)),"")</f>
        <v/>
      </c>
      <c r="O56" s="8">
        <f>IF(OR(N56="",E56=0),"",(E56-N56)/N56)</f>
        <v/>
      </c>
      <c r="P56" s="7">
        <f>IF(N56="","",E56-N56)</f>
        <v/>
      </c>
      <c r="Q56" s="7">
        <f>IF(N56="","",CEILING(MAX(N56*1.4,IF(L56="",N56*1.5,L56*0.95)),10)-1)</f>
        <v/>
      </c>
      <c r="R56" s="9">
        <f>IF(OR(L56="",Q56=""),"",TEXT((Q56-L56)/L56,"+0.0%;-0.0%"))</f>
        <v/>
      </c>
      <c r="S56" s="10">
        <f>IF(N56="","fill prices →",IF(O56&gt;0.5,"✅ PROFITABLE — keep",IF(O56&gt;0.2,"🟡 OK — optimize",IF(O56&gt;0,"⚠️ THIN — raise price or drop","❌ LOSING MONEY — drop or renegotiate"))))</f>
        <v/>
      </c>
    </row>
    <row r="57">
      <c r="A57" t="n">
        <v>56</v>
      </c>
      <c r="B57" t="inlineStr">
        <is>
          <t>NT-SFP-FSC-001</t>
        </is>
      </c>
      <c r="C57" t="inlineStr">
        <is>
          <t>FS.com 10GBASE-SR SFP+ Transceiver</t>
        </is>
      </c>
      <c r="D57" t="inlineStr">
        <is>
          <t>Networking</t>
        </is>
      </c>
      <c r="E57" s="11" t="n">
        <v>129</v>
      </c>
      <c r="F57" s="12" t="inlineStr">
        <is>
          <t>🔗 Search</t>
        </is>
      </c>
      <c r="G57" s="12" t="inlineStr">
        <is>
          <t>🔗 Amazon</t>
        </is>
      </c>
      <c r="H57" s="12" t="inlineStr">
        <is>
          <t>🔗 Noon</t>
        </is>
      </c>
      <c r="I57" s="12" t="inlineStr">
        <is>
          <t>🔗 Jarir</t>
        </is>
      </c>
      <c r="J57" s="5" t="n"/>
      <c r="K57" s="6" t="n"/>
      <c r="L57" s="6" t="n"/>
      <c r="M57" s="7">
        <f>IF(J57="","",J57*3.75)</f>
        <v/>
      </c>
      <c r="N57" s="7">
        <f>IFERROR(MIN(IF(M57&lt;&gt;"",M57,9E9),IF(K57&lt;&gt;"",K57,9E9),IF(L57&lt;&gt;"",L57,9E9)),"")</f>
        <v/>
      </c>
      <c r="O57" s="8">
        <f>IF(OR(N57="",E57=0),"",(E57-N57)/N57)</f>
        <v/>
      </c>
      <c r="P57" s="7">
        <f>IF(N57="","",E57-N57)</f>
        <v/>
      </c>
      <c r="Q57" s="7">
        <f>IF(N57="","",CEILING(MAX(N57*1.4,IF(L57="",N57*1.5,L57*0.95)),10)-1)</f>
        <v/>
      </c>
      <c r="R57" s="9">
        <f>IF(OR(L57="",Q57=""),"",TEXT((Q57-L57)/L57,"+0.0%;-0.0%"))</f>
        <v/>
      </c>
      <c r="S57" s="10">
        <f>IF(N57="","fill prices →",IF(O57&gt;0.5,"✅ PROFITABLE — keep",IF(O57&gt;0.2,"🟡 OK — optimize",IF(O57&gt;0,"⚠️ THIN — raise price or drop","❌ LOSING MONEY — drop or renegotiate"))))</f>
        <v/>
      </c>
    </row>
    <row r="58">
      <c r="A58" s="2" t="n">
        <v>57</v>
      </c>
      <c r="B58" s="2" t="inlineStr">
        <is>
          <t>NT-SRV-NVP-001</t>
        </is>
      </c>
      <c r="C58" s="2" t="inlineStr">
        <is>
          <t>NavePoint 1U Cantilever Rack Shelf</t>
        </is>
      </c>
      <c r="D58" s="2" t="inlineStr">
        <is>
          <t>Homelab</t>
        </is>
      </c>
      <c r="E58" s="3" t="n">
        <v>249</v>
      </c>
      <c r="F58" s="4" t="inlineStr">
        <is>
          <t>🔗 Search</t>
        </is>
      </c>
      <c r="G58" s="4" t="inlineStr">
        <is>
          <t>🔗 Amazon</t>
        </is>
      </c>
      <c r="H58" s="4" t="inlineStr">
        <is>
          <t>🔗 Noon</t>
        </is>
      </c>
      <c r="I58" s="4" t="inlineStr">
        <is>
          <t>🔗 Jarir</t>
        </is>
      </c>
      <c r="J58" s="5" t="n"/>
      <c r="K58" s="6" t="n"/>
      <c r="L58" s="6" t="n"/>
      <c r="M58" s="7">
        <f>IF(J58="","",J58*3.75)</f>
        <v/>
      </c>
      <c r="N58" s="7">
        <f>IFERROR(MIN(IF(M58&lt;&gt;"",M58,9E9),IF(K58&lt;&gt;"",K58,9E9),IF(L58&lt;&gt;"",L58,9E9)),"")</f>
        <v/>
      </c>
      <c r="O58" s="8">
        <f>IF(OR(N58="",E58=0),"",(E58-N58)/N58)</f>
        <v/>
      </c>
      <c r="P58" s="7">
        <f>IF(N58="","",E58-N58)</f>
        <v/>
      </c>
      <c r="Q58" s="7">
        <f>IF(N58="","",CEILING(MAX(N58*1.4,IF(L58="",N58*1.5,L58*0.95)),10)-1)</f>
        <v/>
      </c>
      <c r="R58" s="9">
        <f>IF(OR(L58="",Q58=""),"",TEXT((Q58-L58)/L58,"+0.0%;-0.0%"))</f>
        <v/>
      </c>
      <c r="S58" s="10">
        <f>IF(N58="","fill prices →",IF(O58&gt;0.5,"✅ PROFITABLE — keep",IF(O58&gt;0.2,"🟡 OK — optimize",IF(O58&gt;0,"⚠️ THIN — raise price or drop","❌ LOSING MONEY — drop or renegotiate"))))</f>
        <v/>
      </c>
    </row>
    <row r="59">
      <c r="A59" t="n">
        <v>58</v>
      </c>
      <c r="B59" t="inlineStr">
        <is>
          <t>NT-SRV-CBM-001</t>
        </is>
      </c>
      <c r="C59" t="inlineStr">
        <is>
          <t>Cable Matters 24-Port Cat6 Patch Panel (1U)</t>
        </is>
      </c>
      <c r="D59" t="inlineStr">
        <is>
          <t>Homelab</t>
        </is>
      </c>
      <c r="E59" s="11" t="n">
        <v>239</v>
      </c>
      <c r="F59" s="12" t="inlineStr">
        <is>
          <t>🔗 Search</t>
        </is>
      </c>
      <c r="G59" s="12" t="inlineStr">
        <is>
          <t>🔗 Amazon</t>
        </is>
      </c>
      <c r="H59" s="12" t="inlineStr">
        <is>
          <t>🔗 Noon</t>
        </is>
      </c>
      <c r="I59" s="12" t="inlineStr">
        <is>
          <t>🔗 Jarir</t>
        </is>
      </c>
      <c r="J59" s="5" t="n"/>
      <c r="K59" s="6" t="n"/>
      <c r="L59" s="6" t="n"/>
      <c r="M59" s="7">
        <f>IF(J59="","",J59*3.75)</f>
        <v/>
      </c>
      <c r="N59" s="7">
        <f>IFERROR(MIN(IF(M59&lt;&gt;"",M59,9E9),IF(K59&lt;&gt;"",K59,9E9),IF(L59&lt;&gt;"",L59,9E9)),"")</f>
        <v/>
      </c>
      <c r="O59" s="8">
        <f>IF(OR(N59="",E59=0),"",(E59-N59)/N59)</f>
        <v/>
      </c>
      <c r="P59" s="7">
        <f>IF(N59="","",E59-N59)</f>
        <v/>
      </c>
      <c r="Q59" s="7">
        <f>IF(N59="","",CEILING(MAX(N59*1.4,IF(L59="",N59*1.5,L59*0.95)),10)-1)</f>
        <v/>
      </c>
      <c r="R59" s="9">
        <f>IF(OR(L59="",Q59=""),"",TEXT((Q59-L59)/L59,"+0.0%;-0.0%"))</f>
        <v/>
      </c>
      <c r="S59" s="10">
        <f>IF(N59="","fill prices →",IF(O59&gt;0.5,"✅ PROFITABLE — keep",IF(O59&gt;0.2,"🟡 OK — optimize",IF(O59&gt;0,"⚠️ THIN — raise price or drop","❌ LOSING MONEY — drop or renegotiate"))))</f>
        <v/>
      </c>
    </row>
    <row r="60">
      <c r="A60" s="2" t="n">
        <v>59</v>
      </c>
      <c r="B60" s="2" t="inlineStr">
        <is>
          <t>NT-SRV-STC-001</t>
        </is>
      </c>
      <c r="C60" s="2" t="inlineStr">
        <is>
          <t>StarTech RK12WALLOA 12U Wall-Mount Rack</t>
        </is>
      </c>
      <c r="D60" s="2" t="inlineStr">
        <is>
          <t>Homelab</t>
        </is>
      </c>
      <c r="E60" s="3" t="n">
        <v>1399</v>
      </c>
      <c r="F60" s="4" t="inlineStr">
        <is>
          <t>🔗 Search</t>
        </is>
      </c>
      <c r="G60" s="4" t="inlineStr">
        <is>
          <t>🔗 Amazon</t>
        </is>
      </c>
      <c r="H60" s="4" t="inlineStr">
        <is>
          <t>🔗 Noon</t>
        </is>
      </c>
      <c r="I60" s="4" t="inlineStr">
        <is>
          <t>🔗 Jarir</t>
        </is>
      </c>
      <c r="J60" s="5" t="n"/>
      <c r="K60" s="6" t="n"/>
      <c r="L60" s="6" t="n"/>
      <c r="M60" s="7">
        <f>IF(J60="","",J60*3.75)</f>
        <v/>
      </c>
      <c r="N60" s="7">
        <f>IFERROR(MIN(IF(M60&lt;&gt;"",M60,9E9),IF(K60&lt;&gt;"",K60,9E9),IF(L60&lt;&gt;"",L60,9E9)),"")</f>
        <v/>
      </c>
      <c r="O60" s="8">
        <f>IF(OR(N60="",E60=0),"",(E60-N60)/N60)</f>
        <v/>
      </c>
      <c r="P60" s="7">
        <f>IF(N60="","",E60-N60)</f>
        <v/>
      </c>
      <c r="Q60" s="7">
        <f>IF(N60="","",CEILING(MAX(N60*1.4,IF(L60="",N60*1.5,L60*0.95)),10)-1)</f>
        <v/>
      </c>
      <c r="R60" s="9">
        <f>IF(OR(L60="",Q60=""),"",TEXT((Q60-L60)/L60,"+0.0%;-0.0%"))</f>
        <v/>
      </c>
      <c r="S60" s="10">
        <f>IF(N60="","fill prices →",IF(O60&gt;0.5,"✅ PROFITABLE — keep",IF(O60&gt;0.2,"🟡 OK — optimize",IF(O60&gt;0,"⚠️ THIN — raise price or drop","❌ LOSING MONEY — drop or renegotiate"))))</f>
        <v/>
      </c>
    </row>
    <row r="61">
      <c r="A61" t="n">
        <v>60</v>
      </c>
      <c r="B61" t="inlineStr">
        <is>
          <t>NT-UPS-APC-002</t>
        </is>
      </c>
      <c r="C61" t="inlineStr">
        <is>
          <t>APC Back-UPS Pro BX1500M (Tower)</t>
        </is>
      </c>
      <c r="D61" t="inlineStr">
        <is>
          <t>Homelab</t>
        </is>
      </c>
      <c r="E61" s="11" t="n">
        <v>1599</v>
      </c>
      <c r="F61" s="12" t="inlineStr">
        <is>
          <t>🔗 Search</t>
        </is>
      </c>
      <c r="G61" s="12" t="inlineStr">
        <is>
          <t>🔗 Amazon</t>
        </is>
      </c>
      <c r="H61" s="12" t="inlineStr">
        <is>
          <t>🔗 Noon</t>
        </is>
      </c>
      <c r="I61" s="12" t="inlineStr">
        <is>
          <t>🔗 Jarir</t>
        </is>
      </c>
      <c r="J61" s="5" t="n"/>
      <c r="K61" s="6" t="n"/>
      <c r="L61" s="6" t="n"/>
      <c r="M61" s="7">
        <f>IF(J61="","",J61*3.75)</f>
        <v/>
      </c>
      <c r="N61" s="7">
        <f>IFERROR(MIN(IF(M61&lt;&gt;"",M61,9E9),IF(K61&lt;&gt;"",K61,9E9),IF(L61&lt;&gt;"",L61,9E9)),"")</f>
        <v/>
      </c>
      <c r="O61" s="8">
        <f>IF(OR(N61="",E61=0),"",(E61-N61)/N61)</f>
        <v/>
      </c>
      <c r="P61" s="7">
        <f>IF(N61="","",E61-N61)</f>
        <v/>
      </c>
      <c r="Q61" s="7">
        <f>IF(N61="","",CEILING(MAX(N61*1.4,IF(L61="",N61*1.5,L61*0.95)),10)-1)</f>
        <v/>
      </c>
      <c r="R61" s="9">
        <f>IF(OR(L61="",Q61=""),"",TEXT((Q61-L61)/L61,"+0.0%;-0.0%"))</f>
        <v/>
      </c>
      <c r="S61" s="10">
        <f>IF(N61="","fill prices →",IF(O61&gt;0.5,"✅ PROFITABLE — keep",IF(O61&gt;0.2,"🟡 OK — optimize",IF(O61&gt;0,"⚠️ THIN — raise price or drop","❌ LOSING MONEY — drop or renegotiate"))))</f>
        <v/>
      </c>
    </row>
    <row r="62">
      <c r="A62" s="2" t="n">
        <v>61</v>
      </c>
      <c r="B62" s="2" t="inlineStr">
        <is>
          <t>NT-UPS-CYB-001</t>
        </is>
      </c>
      <c r="C62" s="2" t="inlineStr">
        <is>
          <t>CyberPower OR1500LCDRM1U (1500VA 1U)</t>
        </is>
      </c>
      <c r="D62" s="2" t="inlineStr">
        <is>
          <t>Homelab</t>
        </is>
      </c>
      <c r="E62" s="3" t="n">
        <v>2099</v>
      </c>
      <c r="F62" s="4" t="inlineStr">
        <is>
          <t>🔗 Search</t>
        </is>
      </c>
      <c r="G62" s="4" t="inlineStr">
        <is>
          <t>🔗 Amazon</t>
        </is>
      </c>
      <c r="H62" s="4" t="inlineStr">
        <is>
          <t>🔗 Noon</t>
        </is>
      </c>
      <c r="I62" s="4" t="inlineStr">
        <is>
          <t>🔗 Jarir</t>
        </is>
      </c>
      <c r="J62" s="5" t="n"/>
      <c r="K62" s="6" t="n"/>
      <c r="L62" s="6" t="n"/>
      <c r="M62" s="7">
        <f>IF(J62="","",J62*3.75)</f>
        <v/>
      </c>
      <c r="N62" s="7">
        <f>IFERROR(MIN(IF(M62&lt;&gt;"",M62,9E9),IF(K62&lt;&gt;"",K62,9E9),IF(L62&lt;&gt;"",L62,9E9)),"")</f>
        <v/>
      </c>
      <c r="O62" s="8">
        <f>IF(OR(N62="",E62=0),"",(E62-N62)/N62)</f>
        <v/>
      </c>
      <c r="P62" s="7">
        <f>IF(N62="","",E62-N62)</f>
        <v/>
      </c>
      <c r="Q62" s="7">
        <f>IF(N62="","",CEILING(MAX(N62*1.4,IF(L62="",N62*1.5,L62*0.95)),10)-1)</f>
        <v/>
      </c>
      <c r="R62" s="9">
        <f>IF(OR(L62="",Q62=""),"",TEXT((Q62-L62)/L62,"+0.0%;-0.0%"))</f>
        <v/>
      </c>
      <c r="S62" s="10">
        <f>IF(N62="","fill prices →",IF(O62&gt;0.5,"✅ PROFITABLE — keep",IF(O62&gt;0.2,"🟡 OK — optimize",IF(O62&gt;0,"⚠️ THIN — raise price or drop","❌ LOSING MONEY — drop or renegotiate"))))</f>
        <v/>
      </c>
    </row>
    <row r="63">
      <c r="A63" t="n">
        <v>62</v>
      </c>
      <c r="B63" t="inlineStr">
        <is>
          <t>NT-UPS-APC-001</t>
        </is>
      </c>
      <c r="C63" t="inlineStr">
        <is>
          <t>APC Smart-UPS SMT1500RM2UC (1500VA Rack)</t>
        </is>
      </c>
      <c r="D63" t="inlineStr">
        <is>
          <t>Homelab</t>
        </is>
      </c>
      <c r="E63" s="11" t="n">
        <v>4899</v>
      </c>
      <c r="F63" s="12" t="inlineStr">
        <is>
          <t>🔗 Search</t>
        </is>
      </c>
      <c r="G63" s="12" t="inlineStr">
        <is>
          <t>🔗 Amazon</t>
        </is>
      </c>
      <c r="H63" s="12" t="inlineStr">
        <is>
          <t>🔗 Noon</t>
        </is>
      </c>
      <c r="I63" s="12" t="inlineStr">
        <is>
          <t>🔗 Jarir</t>
        </is>
      </c>
      <c r="J63" s="5" t="n"/>
      <c r="K63" s="6" t="n"/>
      <c r="L63" s="6" t="n"/>
      <c r="M63" s="7">
        <f>IF(J63="","",J63*3.75)</f>
        <v/>
      </c>
      <c r="N63" s="7">
        <f>IFERROR(MIN(IF(M63&lt;&gt;"",M63,9E9),IF(K63&lt;&gt;"",K63,9E9),IF(L63&lt;&gt;"",L63,9E9)),"")</f>
        <v/>
      </c>
      <c r="O63" s="8">
        <f>IF(OR(N63="",E63=0),"",(E63-N63)/N63)</f>
        <v/>
      </c>
      <c r="P63" s="7">
        <f>IF(N63="","",E63-N63)</f>
        <v/>
      </c>
      <c r="Q63" s="7">
        <f>IF(N63="","",CEILING(MAX(N63*1.4,IF(L63="",N63*1.5,L63*0.95)),10)-1)</f>
        <v/>
      </c>
      <c r="R63" s="9">
        <f>IF(OR(L63="",Q63=""),"",TEXT((Q63-L63)/L63,"+0.0%;-0.0%"))</f>
        <v/>
      </c>
      <c r="S63" s="10">
        <f>IF(N63="","fill prices →",IF(O63&gt;0.5,"✅ PROFITABLE — keep",IF(O63&gt;0.2,"🟡 OK — optimize",IF(O63&gt;0,"⚠️ THIN — raise price or drop","❌ LOSING MONEY — drop or renegotiate"))))</f>
        <v/>
      </c>
    </row>
    <row r="64">
      <c r="A64" s="2" t="n">
        <v>63</v>
      </c>
      <c r="B64" s="2" t="inlineStr">
        <is>
          <t>NT-NAS-QNP-002</t>
        </is>
      </c>
      <c r="C64" s="2" t="inlineStr">
        <is>
          <t>QNAP TS-262-4G (2-Bay)</t>
        </is>
      </c>
      <c r="D64" s="2" t="inlineStr">
        <is>
          <t>Homelab</t>
        </is>
      </c>
      <c r="E64" s="3" t="n">
        <v>1899</v>
      </c>
      <c r="F64" s="4" t="inlineStr">
        <is>
          <t>🔗 Search</t>
        </is>
      </c>
      <c r="G64" s="4" t="inlineStr">
        <is>
          <t>🔗 Amazon</t>
        </is>
      </c>
      <c r="H64" s="4" t="inlineStr">
        <is>
          <t>🔗 Noon</t>
        </is>
      </c>
      <c r="I64" s="4" t="inlineStr">
        <is>
          <t>🔗 Jarir</t>
        </is>
      </c>
      <c r="J64" s="5" t="n"/>
      <c r="K64" s="6" t="n"/>
      <c r="L64" s="6" t="n"/>
      <c r="M64" s="7">
        <f>IF(J64="","",J64*3.75)</f>
        <v/>
      </c>
      <c r="N64" s="7">
        <f>IFERROR(MIN(IF(M64&lt;&gt;"",M64,9E9),IF(K64&lt;&gt;"",K64,9E9),IF(L64&lt;&gt;"",L64,9E9)),"")</f>
        <v/>
      </c>
      <c r="O64" s="8">
        <f>IF(OR(N64="",E64=0),"",(E64-N64)/N64)</f>
        <v/>
      </c>
      <c r="P64" s="7">
        <f>IF(N64="","",E64-N64)</f>
        <v/>
      </c>
      <c r="Q64" s="7">
        <f>IF(N64="","",CEILING(MAX(N64*1.4,IF(L64="",N64*1.5,L64*0.95)),10)-1)</f>
        <v/>
      </c>
      <c r="R64" s="9">
        <f>IF(OR(L64="",Q64=""),"",TEXT((Q64-L64)/L64,"+0.0%;-0.0%"))</f>
        <v/>
      </c>
      <c r="S64" s="10">
        <f>IF(N64="","fill prices →",IF(O64&gt;0.5,"✅ PROFITABLE — keep",IF(O64&gt;0.2,"🟡 OK — optimize",IF(O64&gt;0,"⚠️ THIN — raise price or drop","❌ LOSING MONEY — drop or renegotiate"))))</f>
        <v/>
      </c>
    </row>
    <row r="65">
      <c r="A65" t="n">
        <v>64</v>
      </c>
      <c r="B65" t="inlineStr">
        <is>
          <t>NT-NAS-QNP-001</t>
        </is>
      </c>
      <c r="C65" t="inlineStr">
        <is>
          <t>QNAP TS-464-8G (4-Bay)</t>
        </is>
      </c>
      <c r="D65" t="inlineStr">
        <is>
          <t>Homelab</t>
        </is>
      </c>
      <c r="E65" s="11" t="n">
        <v>2799</v>
      </c>
      <c r="F65" s="12" t="inlineStr">
        <is>
          <t>🔗 Search</t>
        </is>
      </c>
      <c r="G65" s="12" t="inlineStr">
        <is>
          <t>🔗 Amazon</t>
        </is>
      </c>
      <c r="H65" s="12" t="inlineStr">
        <is>
          <t>🔗 Noon</t>
        </is>
      </c>
      <c r="I65" s="12" t="inlineStr">
        <is>
          <t>🔗 Jarir</t>
        </is>
      </c>
      <c r="J65" s="5" t="n"/>
      <c r="K65" s="6" t="n"/>
      <c r="L65" s="6" t="n"/>
      <c r="M65" s="7">
        <f>IF(J65="","",J65*3.75)</f>
        <v/>
      </c>
      <c r="N65" s="7">
        <f>IFERROR(MIN(IF(M65&lt;&gt;"",M65,9E9),IF(K65&lt;&gt;"",K65,9E9),IF(L65&lt;&gt;"",L65,9E9)),"")</f>
        <v/>
      </c>
      <c r="O65" s="8">
        <f>IF(OR(N65="",E65=0),"",(E65-N65)/N65)</f>
        <v/>
      </c>
      <c r="P65" s="7">
        <f>IF(N65="","",E65-N65)</f>
        <v/>
      </c>
      <c r="Q65" s="7">
        <f>IF(N65="","",CEILING(MAX(N65*1.4,IF(L65="",N65*1.5,L65*0.95)),10)-1)</f>
        <v/>
      </c>
      <c r="R65" s="9">
        <f>IF(OR(L65="",Q65=""),"",TEXT((Q65-L65)/L65,"+0.0%;-0.0%"))</f>
        <v/>
      </c>
      <c r="S65" s="10">
        <f>IF(N65="","fill prices →",IF(O65&gt;0.5,"✅ PROFITABLE — keep",IF(O65&gt;0.2,"🟡 OK — optimize",IF(O65&gt;0,"⚠️ THIN — raise price or drop","❌ LOSING MONEY — drop or renegotiate"))))</f>
        <v/>
      </c>
    </row>
    <row r="66">
      <c r="A66" s="2" t="n">
        <v>65</v>
      </c>
      <c r="B66" s="2" t="inlineStr">
        <is>
          <t>NT-NAS-SYN-002</t>
        </is>
      </c>
      <c r="C66" s="2" t="inlineStr">
        <is>
          <t>Synology DS925+ (4-Bay)</t>
        </is>
      </c>
      <c r="D66" s="2" t="inlineStr">
        <is>
          <t>Homelab</t>
        </is>
      </c>
      <c r="E66" s="3" t="n">
        <v>3499</v>
      </c>
      <c r="F66" s="4" t="inlineStr">
        <is>
          <t>🔗 Search</t>
        </is>
      </c>
      <c r="G66" s="4" t="inlineStr">
        <is>
          <t>🔗 Amazon</t>
        </is>
      </c>
      <c r="H66" s="4" t="inlineStr">
        <is>
          <t>🔗 Noon</t>
        </is>
      </c>
      <c r="I66" s="4" t="inlineStr">
        <is>
          <t>🔗 Jarir</t>
        </is>
      </c>
      <c r="J66" s="5" t="n"/>
      <c r="K66" s="6" t="n"/>
      <c r="L66" s="6" t="n"/>
      <c r="M66" s="7">
        <f>IF(J66="","",J66*3.75)</f>
        <v/>
      </c>
      <c r="N66" s="7">
        <f>IFERROR(MIN(IF(M66&lt;&gt;"",M66,9E9),IF(K66&lt;&gt;"",K66,9E9),IF(L66&lt;&gt;"",L66,9E9)),"")</f>
        <v/>
      </c>
      <c r="O66" s="8">
        <f>IF(OR(N66="",E66=0),"",(E66-N66)/N66)</f>
        <v/>
      </c>
      <c r="P66" s="7">
        <f>IF(N66="","",E66-N66)</f>
        <v/>
      </c>
      <c r="Q66" s="7">
        <f>IF(N66="","",CEILING(MAX(N66*1.4,IF(L66="",N66*1.5,L66*0.95)),10)-1)</f>
        <v/>
      </c>
      <c r="R66" s="9">
        <f>IF(OR(L66="",Q66=""),"",TEXT((Q66-L66)/L66,"+0.0%;-0.0%"))</f>
        <v/>
      </c>
      <c r="S66" s="10">
        <f>IF(N66="","fill prices →",IF(O66&gt;0.5,"✅ PROFITABLE — keep",IF(O66&gt;0.2,"🟡 OK — optimize",IF(O66&gt;0,"⚠️ THIN — raise price or drop","❌ LOSING MONEY — drop or renegotiate"))))</f>
        <v/>
      </c>
    </row>
    <row r="67">
      <c r="A67" t="n">
        <v>66</v>
      </c>
      <c r="B67" t="inlineStr">
        <is>
          <t>NT-NAS-SYN-001</t>
        </is>
      </c>
      <c r="C67" t="inlineStr">
        <is>
          <t>Synology DS225+ (2-Bay)</t>
        </is>
      </c>
      <c r="D67" t="inlineStr">
        <is>
          <t>Homelab</t>
        </is>
      </c>
      <c r="E67" s="11" t="n">
        <v>2099</v>
      </c>
      <c r="F67" s="12" t="inlineStr">
        <is>
          <t>🔗 Search</t>
        </is>
      </c>
      <c r="G67" s="12" t="inlineStr">
        <is>
          <t>🔗 Amazon</t>
        </is>
      </c>
      <c r="H67" s="12" t="inlineStr">
        <is>
          <t>🔗 Noon</t>
        </is>
      </c>
      <c r="I67" s="12" t="inlineStr">
        <is>
          <t>🔗 Jarir</t>
        </is>
      </c>
      <c r="J67" s="5" t="n"/>
      <c r="K67" s="6" t="n"/>
      <c r="L67" s="6" t="n"/>
      <c r="M67" s="7">
        <f>IF(J67="","",J67*3.75)</f>
        <v/>
      </c>
      <c r="N67" s="7">
        <f>IFERROR(MIN(IF(M67&lt;&gt;"",M67,9E9),IF(K67&lt;&gt;"",K67,9E9),IF(L67&lt;&gt;"",L67,9E9)),"")</f>
        <v/>
      </c>
      <c r="O67" s="8">
        <f>IF(OR(N67="",E67=0),"",(E67-N67)/N67)</f>
        <v/>
      </c>
      <c r="P67" s="7">
        <f>IF(N67="","",E67-N67)</f>
        <v/>
      </c>
      <c r="Q67" s="7">
        <f>IF(N67="","",CEILING(MAX(N67*1.4,IF(L67="",N67*1.5,L67*0.95)),10)-1)</f>
        <v/>
      </c>
      <c r="R67" s="9">
        <f>IF(OR(L67="",Q67=""),"",TEXT((Q67-L67)/L67,"+0.0%;-0.0%"))</f>
        <v/>
      </c>
      <c r="S67" s="10">
        <f>IF(N67="","fill prices →",IF(O67&gt;0.5,"✅ PROFITABLE — keep",IF(O67&gt;0.2,"🟡 OK — optimize",IF(O67&gt;0,"⚠️ THIN — raise price or drop","❌ LOSING MONEY — drop or renegotiate"))))</f>
        <v/>
      </c>
    </row>
    <row r="68">
      <c r="A68" s="2" t="n">
        <v>67</v>
      </c>
      <c r="B68" s="2" t="inlineStr">
        <is>
          <t>NT-WAP-TPL-002</t>
        </is>
      </c>
      <c r="C68" s="2" t="inlineStr">
        <is>
          <t>TP-Link Omada EAP650</t>
        </is>
      </c>
      <c r="D68" s="2" t="inlineStr">
        <is>
          <t>Networking</t>
        </is>
      </c>
      <c r="E68" s="3" t="n">
        <v>799</v>
      </c>
      <c r="F68" s="4" t="inlineStr">
        <is>
          <t>🔗 Search</t>
        </is>
      </c>
      <c r="G68" s="4" t="inlineStr">
        <is>
          <t>🔗 Amazon</t>
        </is>
      </c>
      <c r="H68" s="4" t="inlineStr">
        <is>
          <t>🔗 Noon</t>
        </is>
      </c>
      <c r="I68" s="4" t="inlineStr">
        <is>
          <t>🔗 Jarir</t>
        </is>
      </c>
      <c r="J68" s="5" t="n"/>
      <c r="K68" s="6" t="n"/>
      <c r="L68" s="6" t="n"/>
      <c r="M68" s="7">
        <f>IF(J68="","",J68*3.75)</f>
        <v/>
      </c>
      <c r="N68" s="7">
        <f>IFERROR(MIN(IF(M68&lt;&gt;"",M68,9E9),IF(K68&lt;&gt;"",K68,9E9),IF(L68&lt;&gt;"",L68,9E9)),"")</f>
        <v/>
      </c>
      <c r="O68" s="8">
        <f>IF(OR(N68="",E68=0),"",(E68-N68)/N68)</f>
        <v/>
      </c>
      <c r="P68" s="7">
        <f>IF(N68="","",E68-N68)</f>
        <v/>
      </c>
      <c r="Q68" s="7">
        <f>IF(N68="","",CEILING(MAX(N68*1.4,IF(L68="",N68*1.5,L68*0.95)),10)-1)</f>
        <v/>
      </c>
      <c r="R68" s="9">
        <f>IF(OR(L68="",Q68=""),"",TEXT((Q68-L68)/L68,"+0.0%;-0.0%"))</f>
        <v/>
      </c>
      <c r="S68" s="10">
        <f>IF(N68="","fill prices →",IF(O68&gt;0.5,"✅ PROFITABLE — keep",IF(O68&gt;0.2,"🟡 OK — optimize",IF(O68&gt;0,"⚠️ THIN — raise price or drop","❌ LOSING MONEY — drop or renegotiate"))))</f>
        <v/>
      </c>
    </row>
    <row r="69">
      <c r="A69" t="n">
        <v>68</v>
      </c>
      <c r="B69" t="inlineStr">
        <is>
          <t>NT-WAP-TPL-001</t>
        </is>
      </c>
      <c r="C69" t="inlineStr">
        <is>
          <t>TP-Link Omada EAP610</t>
        </is>
      </c>
      <c r="D69" t="inlineStr">
        <is>
          <t>Networking</t>
        </is>
      </c>
      <c r="E69" s="11" t="n">
        <v>599</v>
      </c>
      <c r="F69" s="12" t="inlineStr">
        <is>
          <t>🔗 Search</t>
        </is>
      </c>
      <c r="G69" s="12" t="inlineStr">
        <is>
          <t>🔗 Amazon</t>
        </is>
      </c>
      <c r="H69" s="12" t="inlineStr">
        <is>
          <t>🔗 Noon</t>
        </is>
      </c>
      <c r="I69" s="12" t="inlineStr">
        <is>
          <t>🔗 Jarir</t>
        </is>
      </c>
      <c r="J69" s="5" t="n"/>
      <c r="K69" s="6" t="n"/>
      <c r="L69" s="6" t="n"/>
      <c r="M69" s="7">
        <f>IF(J69="","",J69*3.75)</f>
        <v/>
      </c>
      <c r="N69" s="7">
        <f>IFERROR(MIN(IF(M69&lt;&gt;"",M69,9E9),IF(K69&lt;&gt;"",K69,9E9),IF(L69&lt;&gt;"",L69,9E9)),"")</f>
        <v/>
      </c>
      <c r="O69" s="8">
        <f>IF(OR(N69="",E69=0),"",(E69-N69)/N69)</f>
        <v/>
      </c>
      <c r="P69" s="7">
        <f>IF(N69="","",E69-N69)</f>
        <v/>
      </c>
      <c r="Q69" s="7">
        <f>IF(N69="","",CEILING(MAX(N69*1.4,IF(L69="",N69*1.5,L69*0.95)),10)-1)</f>
        <v/>
      </c>
      <c r="R69" s="9">
        <f>IF(OR(L69="",Q69=""),"",TEXT((Q69-L69)/L69,"+0.0%;-0.0%"))</f>
        <v/>
      </c>
      <c r="S69" s="10">
        <f>IF(N69="","fill prices →",IF(O69&gt;0.5,"✅ PROFITABLE — keep",IF(O69&gt;0.2,"🟡 OK — optimize",IF(O69&gt;0,"⚠️ THIN — raise price or drop","❌ LOSING MONEY — drop or renegotiate"))))</f>
        <v/>
      </c>
    </row>
    <row r="70">
      <c r="A70" s="2" t="n">
        <v>69</v>
      </c>
      <c r="B70" s="2" t="inlineStr">
        <is>
          <t>NT-WAP-UBQ-002</t>
        </is>
      </c>
      <c r="C70" s="2" t="inlineStr">
        <is>
          <t>Ubiquiti UniFi U7 Pro</t>
        </is>
      </c>
      <c r="D70" s="2" t="inlineStr">
        <is>
          <t>Networking</t>
        </is>
      </c>
      <c r="E70" s="3" t="n">
        <v>1399</v>
      </c>
      <c r="F70" s="4" t="inlineStr">
        <is>
          <t>🔗 Search</t>
        </is>
      </c>
      <c r="G70" s="4" t="inlineStr">
        <is>
          <t>🔗 Amazon</t>
        </is>
      </c>
      <c r="H70" s="4" t="inlineStr">
        <is>
          <t>🔗 Noon</t>
        </is>
      </c>
      <c r="I70" s="4" t="inlineStr">
        <is>
          <t>🔗 Jarir</t>
        </is>
      </c>
      <c r="J70" s="5" t="n"/>
      <c r="K70" s="6" t="n"/>
      <c r="L70" s="6" t="n"/>
      <c r="M70" s="7">
        <f>IF(J70="","",J70*3.75)</f>
        <v/>
      </c>
      <c r="N70" s="7">
        <f>IFERROR(MIN(IF(M70&lt;&gt;"",M70,9E9),IF(K70&lt;&gt;"",K70,9E9),IF(L70&lt;&gt;"",L70,9E9)),"")</f>
        <v/>
      </c>
      <c r="O70" s="8">
        <f>IF(OR(N70="",E70=0),"",(E70-N70)/N70)</f>
        <v/>
      </c>
      <c r="P70" s="7">
        <f>IF(N70="","",E70-N70)</f>
        <v/>
      </c>
      <c r="Q70" s="7">
        <f>IF(N70="","",CEILING(MAX(N70*1.4,IF(L70="",N70*1.5,L70*0.95)),10)-1)</f>
        <v/>
      </c>
      <c r="R70" s="9">
        <f>IF(OR(L70="",Q70=""),"",TEXT((Q70-L70)/L70,"+0.0%;-0.0%"))</f>
        <v/>
      </c>
      <c r="S70" s="10">
        <f>IF(N70="","fill prices →",IF(O70&gt;0.5,"✅ PROFITABLE — keep",IF(O70&gt;0.2,"🟡 OK — optimize",IF(O70&gt;0,"⚠️ THIN — raise price or drop","❌ LOSING MONEY — drop or renegotiate"))))</f>
        <v/>
      </c>
    </row>
    <row r="71">
      <c r="A71" t="n">
        <v>70</v>
      </c>
      <c r="B71" t="inlineStr">
        <is>
          <t>NT-WAP-UBQ-001</t>
        </is>
      </c>
      <c r="C71" t="inlineStr">
        <is>
          <t>Ubiquiti UniFi U6 Pro</t>
        </is>
      </c>
      <c r="D71" t="inlineStr">
        <is>
          <t>Networking</t>
        </is>
      </c>
      <c r="E71" s="11" t="n">
        <v>999</v>
      </c>
      <c r="F71" s="12" t="inlineStr">
        <is>
          <t>🔗 Search</t>
        </is>
      </c>
      <c r="G71" s="12" t="inlineStr">
        <is>
          <t>🔗 Amazon</t>
        </is>
      </c>
      <c r="H71" s="12" t="inlineStr">
        <is>
          <t>🔗 Noon</t>
        </is>
      </c>
      <c r="I71" s="12" t="inlineStr">
        <is>
          <t>🔗 Jarir</t>
        </is>
      </c>
      <c r="J71" s="5" t="n"/>
      <c r="K71" s="6" t="n"/>
      <c r="L71" s="6" t="n"/>
      <c r="M71" s="7">
        <f>IF(J71="","",J71*3.75)</f>
        <v/>
      </c>
      <c r="N71" s="7">
        <f>IFERROR(MIN(IF(M71&lt;&gt;"",M71,9E9),IF(K71&lt;&gt;"",K71,9E9),IF(L71&lt;&gt;"",L71,9E9)),"")</f>
        <v/>
      </c>
      <c r="O71" s="8">
        <f>IF(OR(N71="",E71=0),"",(E71-N71)/N71)</f>
        <v/>
      </c>
      <c r="P71" s="7">
        <f>IF(N71="","",E71-N71)</f>
        <v/>
      </c>
      <c r="Q71" s="7">
        <f>IF(N71="","",CEILING(MAX(N71*1.4,IF(L71="",N71*1.5,L71*0.95)),10)-1)</f>
        <v/>
      </c>
      <c r="R71" s="9">
        <f>IF(OR(L71="",Q71=""),"",TEXT((Q71-L71)/L71,"+0.0%;-0.0%"))</f>
        <v/>
      </c>
      <c r="S71" s="10">
        <f>IF(N71="","fill prices →",IF(O71&gt;0.5,"✅ PROFITABLE — keep",IF(O71&gt;0.2,"🟡 OK — optimize",IF(O71&gt;0,"⚠️ THIN — raise price or drop","❌ LOSING MONEY — drop or renegotiate"))))</f>
        <v/>
      </c>
    </row>
    <row r="72">
      <c r="A72" s="2" t="n">
        <v>71</v>
      </c>
      <c r="B72" s="2" t="inlineStr">
        <is>
          <t>NT-NET-UBQ-001</t>
        </is>
      </c>
      <c r="C72" s="2" t="inlineStr">
        <is>
          <t>Ubiquiti USW-Pro-24-PoE</t>
        </is>
      </c>
      <c r="D72" s="2" t="inlineStr">
        <is>
          <t>Networking</t>
        </is>
      </c>
      <c r="E72" s="3" t="n">
        <v>3999</v>
      </c>
      <c r="F72" s="4" t="inlineStr">
        <is>
          <t>🔗 Search</t>
        </is>
      </c>
      <c r="G72" s="4" t="inlineStr">
        <is>
          <t>🔗 Amazon</t>
        </is>
      </c>
      <c r="H72" s="4" t="inlineStr">
        <is>
          <t>🔗 Noon</t>
        </is>
      </c>
      <c r="I72" s="4" t="inlineStr">
        <is>
          <t>🔗 Jarir</t>
        </is>
      </c>
      <c r="J72" s="5" t="n"/>
      <c r="K72" s="6" t="n"/>
      <c r="L72" s="6" t="n"/>
      <c r="M72" s="7">
        <f>IF(J72="","",J72*3.75)</f>
        <v/>
      </c>
      <c r="N72" s="7">
        <f>IFERROR(MIN(IF(M72&lt;&gt;"",M72,9E9),IF(K72&lt;&gt;"",K72,9E9),IF(L72&lt;&gt;"",L72,9E9)),"")</f>
        <v/>
      </c>
      <c r="O72" s="8">
        <f>IF(OR(N72="",E72=0),"",(E72-N72)/N72)</f>
        <v/>
      </c>
      <c r="P72" s="7">
        <f>IF(N72="","",E72-N72)</f>
        <v/>
      </c>
      <c r="Q72" s="7">
        <f>IF(N72="","",CEILING(MAX(N72*1.4,IF(L72="",N72*1.5,L72*0.95)),10)-1)</f>
        <v/>
      </c>
      <c r="R72" s="9">
        <f>IF(OR(L72="",Q72=""),"",TEXT((Q72-L72)/L72,"+0.0%;-0.0%"))</f>
        <v/>
      </c>
      <c r="S72" s="10">
        <f>IF(N72="","fill prices →",IF(O72&gt;0.5,"✅ PROFITABLE — keep",IF(O72&gt;0.2,"🟡 OK — optimize",IF(O72&gt;0,"⚠️ THIN — raise price or drop","❌ LOSING MONEY — drop or renegotiate"))))</f>
        <v/>
      </c>
    </row>
    <row r="73">
      <c r="A73" t="n">
        <v>72</v>
      </c>
      <c r="B73" t="inlineStr">
        <is>
          <t>NT-NET-MKT-004</t>
        </is>
      </c>
      <c r="C73" t="inlineStr">
        <is>
          <t>MikroTik CRS312-4C+8XG-RM</t>
        </is>
      </c>
      <c r="D73" t="inlineStr">
        <is>
          <t>Networking</t>
        </is>
      </c>
      <c r="E73" s="11" t="n">
        <v>2799</v>
      </c>
      <c r="F73" s="12" t="inlineStr">
        <is>
          <t>🔗 Search</t>
        </is>
      </c>
      <c r="G73" s="12" t="inlineStr">
        <is>
          <t>🔗 Amazon</t>
        </is>
      </c>
      <c r="H73" s="12" t="inlineStr">
        <is>
          <t>🔗 Noon</t>
        </is>
      </c>
      <c r="I73" s="12" t="inlineStr">
        <is>
          <t>🔗 Jarir</t>
        </is>
      </c>
      <c r="J73" s="5" t="n"/>
      <c r="K73" s="6" t="n"/>
      <c r="L73" s="6" t="n"/>
      <c r="M73" s="7">
        <f>IF(J73="","",J73*3.75)</f>
        <v/>
      </c>
      <c r="N73" s="7">
        <f>IFERROR(MIN(IF(M73&lt;&gt;"",M73,9E9),IF(K73&lt;&gt;"",K73,9E9),IF(L73&lt;&gt;"",L73,9E9)),"")</f>
        <v/>
      </c>
      <c r="O73" s="8">
        <f>IF(OR(N73="",E73=0),"",(E73-N73)/N73)</f>
        <v/>
      </c>
      <c r="P73" s="7">
        <f>IF(N73="","",E73-N73)</f>
        <v/>
      </c>
      <c r="Q73" s="7">
        <f>IF(N73="","",CEILING(MAX(N73*1.4,IF(L73="",N73*1.5,L73*0.95)),10)-1)</f>
        <v/>
      </c>
      <c r="R73" s="9">
        <f>IF(OR(L73="",Q73=""),"",TEXT((Q73-L73)/L73,"+0.0%;-0.0%"))</f>
        <v/>
      </c>
      <c r="S73" s="10">
        <f>IF(N73="","fill prices →",IF(O73&gt;0.5,"✅ PROFITABLE — keep",IF(O73&gt;0.2,"🟡 OK — optimize",IF(O73&gt;0,"⚠️ THIN — raise price or drop","❌ LOSING MONEY — drop or renegotiate"))))</f>
        <v/>
      </c>
    </row>
    <row r="74">
      <c r="A74" s="2" t="n">
        <v>73</v>
      </c>
      <c r="B74" s="2" t="inlineStr">
        <is>
          <t>NT-NET-MKT-003</t>
        </is>
      </c>
      <c r="C74" s="2" t="inlineStr">
        <is>
          <t>MikroTik CRS328-24P-4S+RM (PoE)</t>
        </is>
      </c>
      <c r="D74" s="2" t="inlineStr">
        <is>
          <t>Networking</t>
        </is>
      </c>
      <c r="E74" s="3" t="n">
        <v>2699</v>
      </c>
      <c r="F74" s="4" t="inlineStr">
        <is>
          <t>🔗 Search</t>
        </is>
      </c>
      <c r="G74" s="4" t="inlineStr">
        <is>
          <t>🔗 Amazon</t>
        </is>
      </c>
      <c r="H74" s="4" t="inlineStr">
        <is>
          <t>🔗 Noon</t>
        </is>
      </c>
      <c r="I74" s="4" t="inlineStr">
        <is>
          <t>🔗 Jarir</t>
        </is>
      </c>
      <c r="J74" s="5" t="n"/>
      <c r="K74" s="6" t="n"/>
      <c r="L74" s="6" t="n"/>
      <c r="M74" s="7">
        <f>IF(J74="","",J74*3.75)</f>
        <v/>
      </c>
      <c r="N74" s="7">
        <f>IFERROR(MIN(IF(M74&lt;&gt;"",M74,9E9),IF(K74&lt;&gt;"",K74,9E9),IF(L74&lt;&gt;"",L74,9E9)),"")</f>
        <v/>
      </c>
      <c r="O74" s="8">
        <f>IF(OR(N74="",E74=0),"",(E74-N74)/N74)</f>
        <v/>
      </c>
      <c r="P74" s="7">
        <f>IF(N74="","",E74-N74)</f>
        <v/>
      </c>
      <c r="Q74" s="7">
        <f>IF(N74="","",CEILING(MAX(N74*1.4,IF(L74="",N74*1.5,L74*0.95)),10)-1)</f>
        <v/>
      </c>
      <c r="R74" s="9">
        <f>IF(OR(L74="",Q74=""),"",TEXT((Q74-L74)/L74,"+0.0%;-0.0%"))</f>
        <v/>
      </c>
      <c r="S74" s="10">
        <f>IF(N74="","fill prices →",IF(O74&gt;0.5,"✅ PROFITABLE — keep",IF(O74&gt;0.2,"🟡 OK — optimize",IF(O74&gt;0,"⚠️ THIN — raise price or drop","❌ LOSING MONEY — drop or renegotiate"))))</f>
        <v/>
      </c>
    </row>
    <row r="75">
      <c r="A75" t="n">
        <v>74</v>
      </c>
      <c r="B75" t="inlineStr">
        <is>
          <t>NT-NET-MKT-002</t>
        </is>
      </c>
      <c r="C75" t="inlineStr">
        <is>
          <t>MikroTik CRS326-24G-2S+RM</t>
        </is>
      </c>
      <c r="D75" t="inlineStr">
        <is>
          <t>Networking</t>
        </is>
      </c>
      <c r="E75" s="11" t="n">
        <v>1199</v>
      </c>
      <c r="F75" s="12" t="inlineStr">
        <is>
          <t>🔗 Search</t>
        </is>
      </c>
      <c r="G75" s="12" t="inlineStr">
        <is>
          <t>🔗 Amazon</t>
        </is>
      </c>
      <c r="H75" s="12" t="inlineStr">
        <is>
          <t>🔗 Noon</t>
        </is>
      </c>
      <c r="I75" s="12" t="inlineStr">
        <is>
          <t>🔗 Jarir</t>
        </is>
      </c>
      <c r="J75" s="5" t="n"/>
      <c r="K75" s="6" t="n"/>
      <c r="L75" s="6" t="n"/>
      <c r="M75" s="7">
        <f>IF(J75="","",J75*3.75)</f>
        <v/>
      </c>
      <c r="N75" s="7">
        <f>IFERROR(MIN(IF(M75&lt;&gt;"",M75,9E9),IF(K75&lt;&gt;"",K75,9E9),IF(L75&lt;&gt;"",L75,9E9)),"")</f>
        <v/>
      </c>
      <c r="O75" s="8">
        <f>IF(OR(N75="",E75=0),"",(E75-N75)/N75)</f>
        <v/>
      </c>
      <c r="P75" s="7">
        <f>IF(N75="","",E75-N75)</f>
        <v/>
      </c>
      <c r="Q75" s="7">
        <f>IF(N75="","",CEILING(MAX(N75*1.4,IF(L75="",N75*1.5,L75*0.95)),10)-1)</f>
        <v/>
      </c>
      <c r="R75" s="9">
        <f>IF(OR(L75="",Q75=""),"",TEXT((Q75-L75)/L75,"+0.0%;-0.0%"))</f>
        <v/>
      </c>
      <c r="S75" s="10">
        <f>IF(N75="","fill prices →",IF(O75&gt;0.5,"✅ PROFITABLE — keep",IF(O75&gt;0.2,"🟡 OK — optimize",IF(O75&gt;0,"⚠️ THIN — raise price or drop","❌ LOSING MONEY — drop or renegotiate"))))</f>
        <v/>
      </c>
    </row>
    <row r="76">
      <c r="A76" s="2" t="n">
        <v>75</v>
      </c>
      <c r="B76" s="2" t="inlineStr">
        <is>
          <t>NT-NET-MKT-001</t>
        </is>
      </c>
      <c r="C76" s="2" t="inlineStr">
        <is>
          <t>MikroTik CRS305-1G-4S+IN</t>
        </is>
      </c>
      <c r="D76" s="2" t="inlineStr">
        <is>
          <t>Networking</t>
        </is>
      </c>
      <c r="E76" s="3" t="n">
        <v>999</v>
      </c>
      <c r="F76" s="4" t="inlineStr">
        <is>
          <t>🔗 Search</t>
        </is>
      </c>
      <c r="G76" s="4" t="inlineStr">
        <is>
          <t>🔗 Amazon</t>
        </is>
      </c>
      <c r="H76" s="4" t="inlineStr">
        <is>
          <t>🔗 Noon</t>
        </is>
      </c>
      <c r="I76" s="4" t="inlineStr">
        <is>
          <t>🔗 Jarir</t>
        </is>
      </c>
      <c r="J76" s="5" t="n"/>
      <c r="K76" s="6" t="n"/>
      <c r="L76" s="6" t="n"/>
      <c r="M76" s="7">
        <f>IF(J76="","",J76*3.75)</f>
        <v/>
      </c>
      <c r="N76" s="7">
        <f>IFERROR(MIN(IF(M76&lt;&gt;"",M76,9E9),IF(K76&lt;&gt;"",K76,9E9),IF(L76&lt;&gt;"",L76,9E9)),"")</f>
        <v/>
      </c>
      <c r="O76" s="8">
        <f>IF(OR(N76="",E76=0),"",(E76-N76)/N76)</f>
        <v/>
      </c>
      <c r="P76" s="7">
        <f>IF(N76="","",E76-N76)</f>
        <v/>
      </c>
      <c r="Q76" s="7">
        <f>IF(N76="","",CEILING(MAX(N76*1.4,IF(L76="",N76*1.5,L76*0.95)),10)-1)</f>
        <v/>
      </c>
      <c r="R76" s="9">
        <f>IF(OR(L76="",Q76=""),"",TEXT((Q76-L76)/L76,"+0.0%;-0.0%"))</f>
        <v/>
      </c>
      <c r="S76" s="10">
        <f>IF(N76="","fill prices →",IF(O76&gt;0.5,"✅ PROFITABLE — keep",IF(O76&gt;0.2,"🟡 OK — optimize",IF(O76&gt;0,"⚠️ THIN — raise price or drop","❌ LOSING MONEY — drop or renegotiate"))))</f>
        <v/>
      </c>
    </row>
    <row r="77">
      <c r="A77" t="n">
        <v>76</v>
      </c>
      <c r="B77" t="inlineStr">
        <is>
          <t>SH-SWB-SWBT-003</t>
        </is>
      </c>
      <c r="C77" t="inlineStr">
        <is>
          <t>SwitchBot Blind Tilt</t>
        </is>
      </c>
      <c r="D77" t="inlineStr">
        <is>
          <t>Smart Home &amp;amp; IoT</t>
        </is>
      </c>
      <c r="E77" s="11" t="n">
        <v>479</v>
      </c>
      <c r="F77" s="12" t="inlineStr">
        <is>
          <t>🔗 Search</t>
        </is>
      </c>
      <c r="G77" s="12" t="inlineStr">
        <is>
          <t>🔗 Amazon</t>
        </is>
      </c>
      <c r="H77" s="12" t="inlineStr">
        <is>
          <t>🔗 Noon</t>
        </is>
      </c>
      <c r="I77" s="12" t="inlineStr">
        <is>
          <t>🔗 Jarir</t>
        </is>
      </c>
      <c r="J77" s="5" t="n"/>
      <c r="K77" s="6" t="n"/>
      <c r="L77" s="6" t="n"/>
      <c r="M77" s="7">
        <f>IF(J77="","",J77*3.75)</f>
        <v/>
      </c>
      <c r="N77" s="7">
        <f>IFERROR(MIN(IF(M77&lt;&gt;"",M77,9E9),IF(K77&lt;&gt;"",K77,9E9),IF(L77&lt;&gt;"",L77,9E9)),"")</f>
        <v/>
      </c>
      <c r="O77" s="8">
        <f>IF(OR(N77="",E77=0),"",(E77-N77)/N77)</f>
        <v/>
      </c>
      <c r="P77" s="7">
        <f>IF(N77="","",E77-N77)</f>
        <v/>
      </c>
      <c r="Q77" s="7">
        <f>IF(N77="","",CEILING(MAX(N77*1.4,IF(L77="",N77*1.5,L77*0.95)),10)-1)</f>
        <v/>
      </c>
      <c r="R77" s="9">
        <f>IF(OR(L77="",Q77=""),"",TEXT((Q77-L77)/L77,"+0.0%;-0.0%"))</f>
        <v/>
      </c>
      <c r="S77" s="10">
        <f>IF(N77="","fill prices →",IF(O77&gt;0.5,"✅ PROFITABLE — keep",IF(O77&gt;0.2,"🟡 OK — optimize",IF(O77&gt;0,"⚠️ THIN — raise price or drop","❌ LOSING MONEY — drop or renegotiate"))))</f>
        <v/>
      </c>
    </row>
    <row r="78">
      <c r="A78" s="2" t="n">
        <v>77</v>
      </c>
      <c r="B78" s="2" t="inlineStr">
        <is>
          <t>SH-SWB-SWBT-002</t>
        </is>
      </c>
      <c r="C78" s="2" t="inlineStr">
        <is>
          <t>SwitchBot Bot (Smart Button Pusher)</t>
        </is>
      </c>
      <c r="D78" s="2" t="inlineStr">
        <is>
          <t>Smart Home &amp;amp; IoT</t>
        </is>
      </c>
      <c r="E78" s="3" t="n">
        <v>239</v>
      </c>
      <c r="F78" s="4" t="inlineStr">
        <is>
          <t>🔗 Search</t>
        </is>
      </c>
      <c r="G78" s="4" t="inlineStr">
        <is>
          <t>🔗 Amazon</t>
        </is>
      </c>
      <c r="H78" s="4" t="inlineStr">
        <is>
          <t>🔗 Noon</t>
        </is>
      </c>
      <c r="I78" s="4" t="inlineStr">
        <is>
          <t>🔗 Jarir</t>
        </is>
      </c>
      <c r="J78" s="5" t="n"/>
      <c r="K78" s="6" t="n"/>
      <c r="L78" s="6" t="n"/>
      <c r="M78" s="7">
        <f>IF(J78="","",J78*3.75)</f>
        <v/>
      </c>
      <c r="N78" s="7">
        <f>IFERROR(MIN(IF(M78&lt;&gt;"",M78,9E9),IF(K78&lt;&gt;"",K78,9E9),IF(L78&lt;&gt;"",L78,9E9)),"")</f>
        <v/>
      </c>
      <c r="O78" s="8">
        <f>IF(OR(N78="",E78=0),"",(E78-N78)/N78)</f>
        <v/>
      </c>
      <c r="P78" s="7">
        <f>IF(N78="","",E78-N78)</f>
        <v/>
      </c>
      <c r="Q78" s="7">
        <f>IF(N78="","",CEILING(MAX(N78*1.4,IF(L78="",N78*1.5,L78*0.95)),10)-1)</f>
        <v/>
      </c>
      <c r="R78" s="9">
        <f>IF(OR(L78="",Q78=""),"",TEXT((Q78-L78)/L78,"+0.0%;-0.0%"))</f>
        <v/>
      </c>
      <c r="S78" s="10">
        <f>IF(N78="","fill prices →",IF(O78&gt;0.5,"✅ PROFITABLE — keep",IF(O78&gt;0.2,"🟡 OK — optimize",IF(O78&gt;0,"⚠️ THIN — raise price or drop","❌ LOSING MONEY — drop or renegotiate"))))</f>
        <v/>
      </c>
    </row>
    <row r="79">
      <c r="A79" t="n">
        <v>78</v>
      </c>
      <c r="B79" t="inlineStr">
        <is>
          <t>SH-SWB-SWBT-001</t>
        </is>
      </c>
      <c r="C79" t="inlineStr">
        <is>
          <t>SwitchBot Hub 2 (Matter Enabled)</t>
        </is>
      </c>
      <c r="D79" t="inlineStr">
        <is>
          <t>Smart Home &amp;amp; IoT</t>
        </is>
      </c>
      <c r="E79" s="11" t="n">
        <v>479</v>
      </c>
      <c r="F79" s="12" t="inlineStr">
        <is>
          <t>🔗 Search</t>
        </is>
      </c>
      <c r="G79" s="12" t="inlineStr">
        <is>
          <t>🔗 Amazon</t>
        </is>
      </c>
      <c r="H79" s="12" t="inlineStr">
        <is>
          <t>🔗 Noon</t>
        </is>
      </c>
      <c r="I79" s="12" t="inlineStr">
        <is>
          <t>🔗 Jarir</t>
        </is>
      </c>
      <c r="J79" s="5" t="n"/>
      <c r="K79" s="6" t="n"/>
      <c r="L79" s="6" t="n"/>
      <c r="M79" s="7">
        <f>IF(J79="","",J79*3.75)</f>
        <v/>
      </c>
      <c r="N79" s="7">
        <f>IFERROR(MIN(IF(M79&lt;&gt;"",M79,9E9),IF(K79&lt;&gt;"",K79,9E9),IF(L79&lt;&gt;"",L79,9E9)),"")</f>
        <v/>
      </c>
      <c r="O79" s="8">
        <f>IF(OR(N79="",E79=0),"",(E79-N79)/N79)</f>
        <v/>
      </c>
      <c r="P79" s="7">
        <f>IF(N79="","",E79-N79)</f>
        <v/>
      </c>
      <c r="Q79" s="7">
        <f>IF(N79="","",CEILING(MAX(N79*1.4,IF(L79="",N79*1.5,L79*0.95)),10)-1)</f>
        <v/>
      </c>
      <c r="R79" s="9">
        <f>IF(OR(L79="",Q79=""),"",TEXT((Q79-L79)/L79,"+0.0%;-0.0%"))</f>
        <v/>
      </c>
      <c r="S79" s="10">
        <f>IF(N79="","fill prices →",IF(O79&gt;0.5,"✅ PROFITABLE — keep",IF(O79&gt;0.2,"🟡 OK — optimize",IF(O79&gt;0,"⚠️ THIN — raise price or drop","❌ LOSING MONEY — drop or renegotiate"))))</f>
        <v/>
      </c>
    </row>
    <row r="80">
      <c r="A80" s="2" t="n">
        <v>79</v>
      </c>
      <c r="B80" s="2" t="inlineStr">
        <is>
          <t>SH-HUB-HUBI-001</t>
        </is>
      </c>
      <c r="C80" s="2" t="inlineStr">
        <is>
          <t>Hubitat Elevation C-8 Pro</t>
        </is>
      </c>
      <c r="D80" s="2" t="inlineStr">
        <is>
          <t>Smart Home &amp;amp; IoT</t>
        </is>
      </c>
      <c r="E80" s="3" t="n">
        <v>1199</v>
      </c>
      <c r="F80" s="4" t="inlineStr">
        <is>
          <t>🔗 Search</t>
        </is>
      </c>
      <c r="G80" s="4" t="inlineStr">
        <is>
          <t>🔗 Amazon</t>
        </is>
      </c>
      <c r="H80" s="4" t="inlineStr">
        <is>
          <t>🔗 Noon</t>
        </is>
      </c>
      <c r="I80" s="4" t="inlineStr">
        <is>
          <t>🔗 Jarir</t>
        </is>
      </c>
      <c r="J80" s="5" t="n"/>
      <c r="K80" s="6" t="n"/>
      <c r="L80" s="6" t="n"/>
      <c r="M80" s="7">
        <f>IF(J80="","",J80*3.75)</f>
        <v/>
      </c>
      <c r="N80" s="7">
        <f>IFERROR(MIN(IF(M80&lt;&gt;"",M80,9E9),IF(K80&lt;&gt;"",K80,9E9),IF(L80&lt;&gt;"",L80,9E9)),"")</f>
        <v/>
      </c>
      <c r="O80" s="8">
        <f>IF(OR(N80="",E80=0),"",(E80-N80)/N80)</f>
        <v/>
      </c>
      <c r="P80" s="7">
        <f>IF(N80="","",E80-N80)</f>
        <v/>
      </c>
      <c r="Q80" s="7">
        <f>IF(N80="","",CEILING(MAX(N80*1.4,IF(L80="",N80*1.5,L80*0.95)),10)-1)</f>
        <v/>
      </c>
      <c r="R80" s="9">
        <f>IF(OR(L80="",Q80=""),"",TEXT((Q80-L80)/L80,"+0.0%;-0.0%"))</f>
        <v/>
      </c>
      <c r="S80" s="10">
        <f>IF(N80="","fill prices →",IF(O80&gt;0.5,"✅ PROFITABLE — keep",IF(O80&gt;0.2,"🟡 OK — optimize",IF(O80&gt;0,"⚠️ THIN — raise price or drop","❌ LOSING MONEY — drop or renegotiate"))))</f>
        <v/>
      </c>
    </row>
    <row r="81">
      <c r="A81" t="n">
        <v>80</v>
      </c>
      <c r="B81" t="inlineStr">
        <is>
          <t>SH-HUB-HASS-001</t>
        </is>
      </c>
      <c r="C81" t="inlineStr">
        <is>
          <t>Home Assistant Green</t>
        </is>
      </c>
      <c r="D81" t="inlineStr">
        <is>
          <t>Smart Home &amp;amp; IoT</t>
        </is>
      </c>
      <c r="E81" s="11" t="n">
        <v>699</v>
      </c>
      <c r="F81" s="12" t="inlineStr">
        <is>
          <t>🔗 Search</t>
        </is>
      </c>
      <c r="G81" s="12" t="inlineStr">
        <is>
          <t>🔗 Amazon</t>
        </is>
      </c>
      <c r="H81" s="12" t="inlineStr">
        <is>
          <t>🔗 Noon</t>
        </is>
      </c>
      <c r="I81" s="12" t="inlineStr">
        <is>
          <t>🔗 Jarir</t>
        </is>
      </c>
      <c r="J81" s="5" t="n"/>
      <c r="K81" s="6" t="n"/>
      <c r="L81" s="6" t="n"/>
      <c r="M81" s="7">
        <f>IF(J81="","",J81*3.75)</f>
        <v/>
      </c>
      <c r="N81" s="7">
        <f>IFERROR(MIN(IF(M81&lt;&gt;"",M81,9E9),IF(K81&lt;&gt;"",K81,9E9),IF(L81&lt;&gt;"",L81,9E9)),"")</f>
        <v/>
      </c>
      <c r="O81" s="8">
        <f>IF(OR(N81="",E81=0),"",(E81-N81)/N81)</f>
        <v/>
      </c>
      <c r="P81" s="7">
        <f>IF(N81="","",E81-N81)</f>
        <v/>
      </c>
      <c r="Q81" s="7">
        <f>IF(N81="","",CEILING(MAX(N81*1.4,IF(L81="",N81*1.5,L81*0.95)),10)-1)</f>
        <v/>
      </c>
      <c r="R81" s="9">
        <f>IF(OR(L81="",Q81=""),"",TEXT((Q81-L81)/L81,"+0.0%;-0.0%"))</f>
        <v/>
      </c>
      <c r="S81" s="10">
        <f>IF(N81="","fill prices →",IF(O81&gt;0.5,"✅ PROFITABLE — keep",IF(O81&gt;0.2,"🟡 OK — optimize",IF(O81&gt;0,"⚠️ THIN — raise price or drop","❌ LOSING MONEY — drop or renegotiate"))))</f>
        <v/>
      </c>
    </row>
    <row r="82">
      <c r="A82" s="2" t="n">
        <v>81</v>
      </c>
      <c r="B82" s="2" t="inlineStr">
        <is>
          <t>SH-HUB-AQRA-001</t>
        </is>
      </c>
      <c r="C82" s="2" t="inlineStr">
        <is>
          <t>Aqara Hub M3</t>
        </is>
      </c>
      <c r="D82" s="2" t="inlineStr">
        <is>
          <t>Smart Home &amp;amp; IoT</t>
        </is>
      </c>
      <c r="E82" s="3" t="n">
        <v>899</v>
      </c>
      <c r="F82" s="4" t="inlineStr">
        <is>
          <t>🔗 Search</t>
        </is>
      </c>
      <c r="G82" s="4" t="inlineStr">
        <is>
          <t>🔗 Amazon</t>
        </is>
      </c>
      <c r="H82" s="4" t="inlineStr">
        <is>
          <t>🔗 Noon</t>
        </is>
      </c>
      <c r="I82" s="4" t="inlineStr">
        <is>
          <t>🔗 Jarir</t>
        </is>
      </c>
      <c r="J82" s="5" t="n"/>
      <c r="K82" s="6" t="n"/>
      <c r="L82" s="6" t="n"/>
      <c r="M82" s="7">
        <f>IF(J82="","",J82*3.75)</f>
        <v/>
      </c>
      <c r="N82" s="7">
        <f>IFERROR(MIN(IF(M82&lt;&gt;"",M82,9E9),IF(K82&lt;&gt;"",K82,9E9),IF(L82&lt;&gt;"",L82,9E9)),"")</f>
        <v/>
      </c>
      <c r="O82" s="8">
        <f>IF(OR(N82="",E82=0),"",(E82-N82)/N82)</f>
        <v/>
      </c>
      <c r="P82" s="7">
        <f>IF(N82="","",E82-N82)</f>
        <v/>
      </c>
      <c r="Q82" s="7">
        <f>IF(N82="","",CEILING(MAX(N82*1.4,IF(L82="",N82*1.5,L82*0.95)),10)-1)</f>
        <v/>
      </c>
      <c r="R82" s="9">
        <f>IF(OR(L82="",Q82=""),"",TEXT((Q82-L82)/L82,"+0.0%;-0.0%"))</f>
        <v/>
      </c>
      <c r="S82" s="10">
        <f>IF(N82="","fill prices →",IF(O82&gt;0.5,"✅ PROFITABLE — keep",IF(O82&gt;0.2,"🟡 OK — optimize",IF(O82&gt;0,"⚠️ THIN — raise price or drop","❌ LOSING MONEY — drop or renegotiate"))))</f>
        <v/>
      </c>
    </row>
    <row r="83">
      <c r="A83" t="n">
        <v>82</v>
      </c>
      <c r="B83" t="inlineStr">
        <is>
          <t>SH-BLD-IKEA-001</t>
        </is>
      </c>
      <c r="C83" t="inlineStr">
        <is>
          <t>IKEA FYRTUR Blackout Smart Roller Blind</t>
        </is>
      </c>
      <c r="D83" t="inlineStr">
        <is>
          <t>Smart Home &amp;amp; IoT</t>
        </is>
      </c>
      <c r="E83" s="11" t="n">
        <v>949</v>
      </c>
      <c r="F83" s="12" t="inlineStr">
        <is>
          <t>🔗 Search</t>
        </is>
      </c>
      <c r="G83" s="12" t="inlineStr">
        <is>
          <t>🔗 Amazon</t>
        </is>
      </c>
      <c r="H83" s="12" t="inlineStr">
        <is>
          <t>🔗 Noon</t>
        </is>
      </c>
      <c r="I83" s="12" t="inlineStr">
        <is>
          <t>🔗 Jarir</t>
        </is>
      </c>
      <c r="J83" s="5" t="n"/>
      <c r="K83" s="6" t="n"/>
      <c r="L83" s="6" t="n"/>
      <c r="M83" s="7">
        <f>IF(J83="","",J83*3.75)</f>
        <v/>
      </c>
      <c r="N83" s="7">
        <f>IFERROR(MIN(IF(M83&lt;&gt;"",M83,9E9),IF(K83&lt;&gt;"",K83,9E9),IF(L83&lt;&gt;"",L83,9E9)),"")</f>
        <v/>
      </c>
      <c r="O83" s="8">
        <f>IF(OR(N83="",E83=0),"",(E83-N83)/N83)</f>
        <v/>
      </c>
      <c r="P83" s="7">
        <f>IF(N83="","",E83-N83)</f>
        <v/>
      </c>
      <c r="Q83" s="7">
        <f>IF(N83="","",CEILING(MAX(N83*1.4,IF(L83="",N83*1.5,L83*0.95)),10)-1)</f>
        <v/>
      </c>
      <c r="R83" s="9">
        <f>IF(OR(L83="",Q83=""),"",TEXT((Q83-L83)/L83,"+0.0%;-0.0%"))</f>
        <v/>
      </c>
      <c r="S83" s="10">
        <f>IF(N83="","fill prices →",IF(O83&gt;0.5,"✅ PROFITABLE — keep",IF(O83&gt;0.2,"🟡 OK — optimize",IF(O83&gt;0,"⚠️ THIN — raise price or drop","❌ LOSING MONEY — drop or renegotiate"))))</f>
        <v/>
      </c>
    </row>
    <row r="84">
      <c r="A84" s="2" t="n">
        <v>83</v>
      </c>
      <c r="B84" s="2" t="inlineStr">
        <is>
          <t>SH-BLD-SWBT-001</t>
        </is>
      </c>
      <c r="C84" s="2" t="inlineStr">
        <is>
          <t>SwitchBot Curtain 3</t>
        </is>
      </c>
      <c r="D84" s="2" t="inlineStr">
        <is>
          <t>Smart Home &amp;amp; IoT</t>
        </is>
      </c>
      <c r="E84" s="3" t="n">
        <v>649</v>
      </c>
      <c r="F84" s="4" t="inlineStr">
        <is>
          <t>🔗 Search</t>
        </is>
      </c>
      <c r="G84" s="4" t="inlineStr">
        <is>
          <t>🔗 Amazon</t>
        </is>
      </c>
      <c r="H84" s="4" t="inlineStr">
        <is>
          <t>🔗 Noon</t>
        </is>
      </c>
      <c r="I84" s="4" t="inlineStr">
        <is>
          <t>🔗 Jarir</t>
        </is>
      </c>
      <c r="J84" s="5" t="n"/>
      <c r="K84" s="6" t="n"/>
      <c r="L84" s="6" t="n"/>
      <c r="M84" s="7">
        <f>IF(J84="","",J84*3.75)</f>
        <v/>
      </c>
      <c r="N84" s="7">
        <f>IFERROR(MIN(IF(M84&lt;&gt;"",M84,9E9),IF(K84&lt;&gt;"",K84,9E9),IF(L84&lt;&gt;"",L84,9E9)),"")</f>
        <v/>
      </c>
      <c r="O84" s="8">
        <f>IF(OR(N84="",E84=0),"",(E84-N84)/N84)</f>
        <v/>
      </c>
      <c r="P84" s="7">
        <f>IF(N84="","",E84-N84)</f>
        <v/>
      </c>
      <c r="Q84" s="7">
        <f>IF(N84="","",CEILING(MAX(N84*1.4,IF(L84="",N84*1.5,L84*0.95)),10)-1)</f>
        <v/>
      </c>
      <c r="R84" s="9">
        <f>IF(OR(L84="",Q84=""),"",TEXT((Q84-L84)/L84,"+0.0%;-0.0%"))</f>
        <v/>
      </c>
      <c r="S84" s="10">
        <f>IF(N84="","fill prices →",IF(O84&gt;0.5,"✅ PROFITABLE — keep",IF(O84&gt;0.2,"🟡 OK — optimize",IF(O84&gt;0,"⚠️ THIN — raise price or drop","❌ LOSING MONEY — drop or renegotiate"))))</f>
        <v/>
      </c>
    </row>
    <row r="85">
      <c r="A85" t="n">
        <v>84</v>
      </c>
      <c r="B85" t="inlineStr">
        <is>
          <t>SH-VDB-EUFY-001</t>
        </is>
      </c>
      <c r="C85" t="inlineStr">
        <is>
          <t>Eufy Video Doorbell E340 (Dual Camera)</t>
        </is>
      </c>
      <c r="D85" t="inlineStr">
        <is>
          <t>Smart Home &amp;amp; IoT</t>
        </is>
      </c>
      <c r="E85" s="11" t="n">
        <v>999</v>
      </c>
      <c r="F85" s="12" t="inlineStr">
        <is>
          <t>🔗 Search</t>
        </is>
      </c>
      <c r="G85" s="12" t="inlineStr">
        <is>
          <t>🔗 Amazon</t>
        </is>
      </c>
      <c r="H85" s="12" t="inlineStr">
        <is>
          <t>🔗 Noon</t>
        </is>
      </c>
      <c r="I85" s="12" t="inlineStr">
        <is>
          <t>🔗 Jarir</t>
        </is>
      </c>
      <c r="J85" s="5" t="n"/>
      <c r="K85" s="6" t="n"/>
      <c r="L85" s="6" t="n"/>
      <c r="M85" s="7">
        <f>IF(J85="","",J85*3.75)</f>
        <v/>
      </c>
      <c r="N85" s="7">
        <f>IFERROR(MIN(IF(M85&lt;&gt;"",M85,9E9),IF(K85&lt;&gt;"",K85,9E9),IF(L85&lt;&gt;"",L85,9E9)),"")</f>
        <v/>
      </c>
      <c r="O85" s="8">
        <f>IF(OR(N85="",E85=0),"",(E85-N85)/N85)</f>
        <v/>
      </c>
      <c r="P85" s="7">
        <f>IF(N85="","",E85-N85)</f>
        <v/>
      </c>
      <c r="Q85" s="7">
        <f>IF(N85="","",CEILING(MAX(N85*1.4,IF(L85="",N85*1.5,L85*0.95)),10)-1)</f>
        <v/>
      </c>
      <c r="R85" s="9">
        <f>IF(OR(L85="",Q85=""),"",TEXT((Q85-L85)/L85,"+0.0%;-0.0%"))</f>
        <v/>
      </c>
      <c r="S85" s="10">
        <f>IF(N85="","fill prices →",IF(O85&gt;0.5,"✅ PROFITABLE — keep",IF(O85&gt;0.2,"🟡 OK — optimize",IF(O85&gt;0,"⚠️ THIN — raise price or drop","❌ LOSING MONEY — drop or renegotiate"))))</f>
        <v/>
      </c>
    </row>
    <row r="86">
      <c r="A86" s="2" t="n">
        <v>85</v>
      </c>
      <c r="B86" s="2" t="inlineStr">
        <is>
          <t>SH-VDB-RING-001</t>
        </is>
      </c>
      <c r="C86" s="2" t="inlineStr">
        <is>
          <t>Ring Battery Doorbell Plus</t>
        </is>
      </c>
      <c r="D86" s="2" t="inlineStr">
        <is>
          <t>Smart Home &amp;amp; IoT</t>
        </is>
      </c>
      <c r="E86" s="3" t="n">
        <v>999</v>
      </c>
      <c r="F86" s="4" t="inlineStr">
        <is>
          <t>🔗 Search</t>
        </is>
      </c>
      <c r="G86" s="4" t="inlineStr">
        <is>
          <t>🔗 Amazon</t>
        </is>
      </c>
      <c r="H86" s="4" t="inlineStr">
        <is>
          <t>🔗 Noon</t>
        </is>
      </c>
      <c r="I86" s="4" t="inlineStr">
        <is>
          <t>🔗 Jarir</t>
        </is>
      </c>
      <c r="J86" s="5" t="n"/>
      <c r="K86" s="6" t="n"/>
      <c r="L86" s="6" t="n"/>
      <c r="M86" s="7">
        <f>IF(J86="","",J86*3.75)</f>
        <v/>
      </c>
      <c r="N86" s="7">
        <f>IFERROR(MIN(IF(M86&lt;&gt;"",M86,9E9),IF(K86&lt;&gt;"",K86,9E9),IF(L86&lt;&gt;"",L86,9E9)),"")</f>
        <v/>
      </c>
      <c r="O86" s="8">
        <f>IF(OR(N86="",E86=0),"",(E86-N86)/N86)</f>
        <v/>
      </c>
      <c r="P86" s="7">
        <f>IF(N86="","",E86-N86)</f>
        <v/>
      </c>
      <c r="Q86" s="7">
        <f>IF(N86="","",CEILING(MAX(N86*1.4,IF(L86="",N86*1.5,L86*0.95)),10)-1)</f>
        <v/>
      </c>
      <c r="R86" s="9">
        <f>IF(OR(L86="",Q86=""),"",TEXT((Q86-L86)/L86,"+0.0%;-0.0%"))</f>
        <v/>
      </c>
      <c r="S86" s="10">
        <f>IF(N86="","fill prices →",IF(O86&gt;0.5,"✅ PROFITABLE — keep",IF(O86&gt;0.2,"🟡 OK — optimize",IF(O86&gt;0,"⚠️ THIN — raise price or drop","❌ LOSING MONEY — drop or renegotiate"))))</f>
        <v/>
      </c>
    </row>
    <row r="87">
      <c r="A87" t="n">
        <v>86</v>
      </c>
      <c r="B87" t="inlineStr">
        <is>
          <t>SH-CAM-RELK-001</t>
        </is>
      </c>
      <c r="C87" t="inlineStr">
        <is>
          <t>Reolink Argus 4 Pro (4K)</t>
        </is>
      </c>
      <c r="D87" t="inlineStr">
        <is>
          <t>Smart Home &amp;amp; IoT</t>
        </is>
      </c>
      <c r="E87" s="11" t="n">
        <v>899</v>
      </c>
      <c r="F87" s="12" t="inlineStr">
        <is>
          <t>🔗 Search</t>
        </is>
      </c>
      <c r="G87" s="12" t="inlineStr">
        <is>
          <t>🔗 Amazon</t>
        </is>
      </c>
      <c r="H87" s="12" t="inlineStr">
        <is>
          <t>🔗 Noon</t>
        </is>
      </c>
      <c r="I87" s="12" t="inlineStr">
        <is>
          <t>🔗 Jarir</t>
        </is>
      </c>
      <c r="J87" s="5" t="n"/>
      <c r="K87" s="6" t="n"/>
      <c r="L87" s="6" t="n"/>
      <c r="M87" s="7">
        <f>IF(J87="","",J87*3.75)</f>
        <v/>
      </c>
      <c r="N87" s="7">
        <f>IFERROR(MIN(IF(M87&lt;&gt;"",M87,9E9),IF(K87&lt;&gt;"",K87,9E9),IF(L87&lt;&gt;"",L87,9E9)),"")</f>
        <v/>
      </c>
      <c r="O87" s="8">
        <f>IF(OR(N87="",E87=0),"",(E87-N87)/N87)</f>
        <v/>
      </c>
      <c r="P87" s="7">
        <f>IF(N87="","",E87-N87)</f>
        <v/>
      </c>
      <c r="Q87" s="7">
        <f>IF(N87="","",CEILING(MAX(N87*1.4,IF(L87="",N87*1.5,L87*0.95)),10)-1)</f>
        <v/>
      </c>
      <c r="R87" s="9">
        <f>IF(OR(L87="",Q87=""),"",TEXT((Q87-L87)/L87,"+0.0%;-0.0%"))</f>
        <v/>
      </c>
      <c r="S87" s="10">
        <f>IF(N87="","fill prices →",IF(O87&gt;0.5,"✅ PROFITABLE — keep",IF(O87&gt;0.2,"🟡 OK — optimize",IF(O87&gt;0,"⚠️ THIN — raise price or drop","❌ LOSING MONEY — drop or renegotiate"))))</f>
        <v/>
      </c>
    </row>
    <row r="88">
      <c r="A88" s="2" t="n">
        <v>87</v>
      </c>
      <c r="B88" s="2" t="inlineStr">
        <is>
          <t>SH-CAM-EUFY-001</t>
        </is>
      </c>
      <c r="C88" s="2" t="inlineStr">
        <is>
          <t>Eufy eufyCam 3 (4K + HomeBase 3 Kit)</t>
        </is>
      </c>
      <c r="D88" s="2" t="inlineStr">
        <is>
          <t>Smart Home &amp;amp; IoT</t>
        </is>
      </c>
      <c r="E88" s="3" t="n">
        <v>1649</v>
      </c>
      <c r="F88" s="4" t="inlineStr">
        <is>
          <t>🔗 Search</t>
        </is>
      </c>
      <c r="G88" s="4" t="inlineStr">
        <is>
          <t>🔗 Amazon</t>
        </is>
      </c>
      <c r="H88" s="4" t="inlineStr">
        <is>
          <t>🔗 Noon</t>
        </is>
      </c>
      <c r="I88" s="4" t="inlineStr">
        <is>
          <t>🔗 Jarir</t>
        </is>
      </c>
      <c r="J88" s="5" t="n"/>
      <c r="K88" s="6" t="n"/>
      <c r="L88" s="6" t="n"/>
      <c r="M88" s="7">
        <f>IF(J88="","",J88*3.75)</f>
        <v/>
      </c>
      <c r="N88" s="7">
        <f>IFERROR(MIN(IF(M88&lt;&gt;"",M88,9E9),IF(K88&lt;&gt;"",K88,9E9),IF(L88&lt;&gt;"",L88,9E9)),"")</f>
        <v/>
      </c>
      <c r="O88" s="8">
        <f>IF(OR(N88="",E88=0),"",(E88-N88)/N88)</f>
        <v/>
      </c>
      <c r="P88" s="7">
        <f>IF(N88="","",E88-N88)</f>
        <v/>
      </c>
      <c r="Q88" s="7">
        <f>IF(N88="","",CEILING(MAX(N88*1.4,IF(L88="",N88*1.5,L88*0.95)),10)-1)</f>
        <v/>
      </c>
      <c r="R88" s="9">
        <f>IF(OR(L88="",Q88=""),"",TEXT((Q88-L88)/L88,"+0.0%;-0.0%"))</f>
        <v/>
      </c>
      <c r="S88" s="10">
        <f>IF(N88="","fill prices →",IF(O88&gt;0.5,"✅ PROFITABLE — keep",IF(O88&gt;0.2,"🟡 OK — optimize",IF(O88&gt;0,"⚠️ THIN — raise price or drop","❌ LOSING MONEY — drop or renegotiate"))))</f>
        <v/>
      </c>
    </row>
    <row r="89">
      <c r="A89" t="n">
        <v>88</v>
      </c>
      <c r="B89" t="inlineStr">
        <is>
          <t>SH-CAM-ARLO-001</t>
        </is>
      </c>
      <c r="C89" t="inlineStr">
        <is>
          <t>Arlo Pro 5 2K Spotlight Camera</t>
        </is>
      </c>
      <c r="D89" t="inlineStr">
        <is>
          <t>Smart Home &amp;amp; IoT</t>
        </is>
      </c>
      <c r="E89" s="11" t="n">
        <v>1549</v>
      </c>
      <c r="F89" s="12" t="inlineStr">
        <is>
          <t>🔗 Search</t>
        </is>
      </c>
      <c r="G89" s="12" t="inlineStr">
        <is>
          <t>🔗 Amazon</t>
        </is>
      </c>
      <c r="H89" s="12" t="inlineStr">
        <is>
          <t>🔗 Noon</t>
        </is>
      </c>
      <c r="I89" s="12" t="inlineStr">
        <is>
          <t>🔗 Jarir</t>
        </is>
      </c>
      <c r="J89" s="5" t="n"/>
      <c r="K89" s="6" t="n"/>
      <c r="L89" s="6" t="n"/>
      <c r="M89" s="7">
        <f>IF(J89="","",J89*3.75)</f>
        <v/>
      </c>
      <c r="N89" s="7">
        <f>IFERROR(MIN(IF(M89&lt;&gt;"",M89,9E9),IF(K89&lt;&gt;"",K89,9E9),IF(L89&lt;&gt;"",L89,9E9)),"")</f>
        <v/>
      </c>
      <c r="O89" s="8">
        <f>IF(OR(N89="",E89=0),"",(E89-N89)/N89)</f>
        <v/>
      </c>
      <c r="P89" s="7">
        <f>IF(N89="","",E89-N89)</f>
        <v/>
      </c>
      <c r="Q89" s="7">
        <f>IF(N89="","",CEILING(MAX(N89*1.4,IF(L89="",N89*1.5,L89*0.95)),10)-1)</f>
        <v/>
      </c>
      <c r="R89" s="9">
        <f>IF(OR(L89="",Q89=""),"",TEXT((Q89-L89)/L89,"+0.0%;-0.0%"))</f>
        <v/>
      </c>
      <c r="S89" s="10">
        <f>IF(N89="","fill prices →",IF(O89&gt;0.5,"✅ PROFITABLE — keep",IF(O89&gt;0.2,"🟡 OK — optimize",IF(O89&gt;0,"⚠️ THIN — raise price or drop","❌ LOSING MONEY — drop or renegotiate"))))</f>
        <v/>
      </c>
    </row>
    <row r="90">
      <c r="A90" s="2" t="n">
        <v>89</v>
      </c>
      <c r="B90" s="2" t="inlineStr">
        <is>
          <t>SH-CAM-RING-001</t>
        </is>
      </c>
      <c r="C90" s="2" t="inlineStr">
        <is>
          <t>Ring Indoor Cam (2nd Gen)</t>
        </is>
      </c>
      <c r="D90" s="2" t="inlineStr">
        <is>
          <t>Smart Home &amp;amp; IoT</t>
        </is>
      </c>
      <c r="E90" s="3" t="n">
        <v>479</v>
      </c>
      <c r="F90" s="4" t="inlineStr">
        <is>
          <t>🔗 Search</t>
        </is>
      </c>
      <c r="G90" s="4" t="inlineStr">
        <is>
          <t>🔗 Amazon</t>
        </is>
      </c>
      <c r="H90" s="4" t="inlineStr">
        <is>
          <t>🔗 Noon</t>
        </is>
      </c>
      <c r="I90" s="4" t="inlineStr">
        <is>
          <t>🔗 Jarir</t>
        </is>
      </c>
      <c r="J90" s="5" t="n"/>
      <c r="K90" s="6" t="n"/>
      <c r="L90" s="6" t="n"/>
      <c r="M90" s="7">
        <f>IF(J90="","",J90*3.75)</f>
        <v/>
      </c>
      <c r="N90" s="7">
        <f>IFERROR(MIN(IF(M90&lt;&gt;"",M90,9E9),IF(K90&lt;&gt;"",K90,9E9),IF(L90&lt;&gt;"",L90,9E9)),"")</f>
        <v/>
      </c>
      <c r="O90" s="8">
        <f>IF(OR(N90="",E90=0),"",(E90-N90)/N90)</f>
        <v/>
      </c>
      <c r="P90" s="7">
        <f>IF(N90="","",E90-N90)</f>
        <v/>
      </c>
      <c r="Q90" s="7">
        <f>IF(N90="","",CEILING(MAX(N90*1.4,IF(L90="",N90*1.5,L90*0.95)),10)-1)</f>
        <v/>
      </c>
      <c r="R90" s="9">
        <f>IF(OR(L90="",Q90=""),"",TEXT((Q90-L90)/L90,"+0.0%;-0.0%"))</f>
        <v/>
      </c>
      <c r="S90" s="10">
        <f>IF(N90="","fill prices →",IF(O90&gt;0.5,"✅ PROFITABLE — keep",IF(O90&gt;0.2,"🟡 OK — optimize",IF(O90&gt;0,"⚠️ THIN — raise price or drop","❌ LOSING MONEY — drop or renegotiate"))))</f>
        <v/>
      </c>
    </row>
    <row r="91">
      <c r="A91" t="n">
        <v>90</v>
      </c>
      <c r="B91" t="inlineStr">
        <is>
          <t>SH-PLG-MERS-001</t>
        </is>
      </c>
      <c r="C91" t="inlineStr">
        <is>
          <t>Meross Smart Plug Mini MSS110 (HomeKit)</t>
        </is>
      </c>
      <c r="D91" t="inlineStr">
        <is>
          <t>Smart Home &amp;amp; IoT</t>
        </is>
      </c>
      <c r="E91" s="11" t="n">
        <v>159</v>
      </c>
      <c r="F91" s="12" t="inlineStr">
        <is>
          <t>🔗 Search</t>
        </is>
      </c>
      <c r="G91" s="12" t="inlineStr">
        <is>
          <t>🔗 Amazon</t>
        </is>
      </c>
      <c r="H91" s="12" t="inlineStr">
        <is>
          <t>🔗 Noon</t>
        </is>
      </c>
      <c r="I91" s="12" t="inlineStr">
        <is>
          <t>🔗 Jarir</t>
        </is>
      </c>
      <c r="J91" s="5" t="n"/>
      <c r="K91" s="6" t="n"/>
      <c r="L91" s="6" t="n"/>
      <c r="M91" s="7">
        <f>IF(J91="","",J91*3.75)</f>
        <v/>
      </c>
      <c r="N91" s="7">
        <f>IFERROR(MIN(IF(M91&lt;&gt;"",M91,9E9),IF(K91&lt;&gt;"",K91,9E9),IF(L91&lt;&gt;"",L91,9E9)),"")</f>
        <v/>
      </c>
      <c r="O91" s="8">
        <f>IF(OR(N91="",E91=0),"",(E91-N91)/N91)</f>
        <v/>
      </c>
      <c r="P91" s="7">
        <f>IF(N91="","",E91-N91)</f>
        <v/>
      </c>
      <c r="Q91" s="7">
        <f>IF(N91="","",CEILING(MAX(N91*1.4,IF(L91="",N91*1.5,L91*0.95)),10)-1)</f>
        <v/>
      </c>
      <c r="R91" s="9">
        <f>IF(OR(L91="",Q91=""),"",TEXT((Q91-L91)/L91,"+0.0%;-0.0%"))</f>
        <v/>
      </c>
      <c r="S91" s="10">
        <f>IF(N91="","fill prices →",IF(O91&gt;0.5,"✅ PROFITABLE — keep",IF(O91&gt;0.2,"🟡 OK — optimize",IF(O91&gt;0,"⚠️ THIN — raise price or drop","❌ LOSING MONEY — drop or renegotiate"))))</f>
        <v/>
      </c>
    </row>
    <row r="92">
      <c r="A92" s="2" t="n">
        <v>91</v>
      </c>
      <c r="B92" s="2" t="inlineStr">
        <is>
          <t>SH-PLG-TPLK-001</t>
        </is>
      </c>
      <c r="C92" s="2" t="inlineStr">
        <is>
          <t>TP-Link Tapo P125M Smart Plug (Matter, 2-pack)</t>
        </is>
      </c>
      <c r="D92" s="2" t="inlineStr">
        <is>
          <t>Smart Home &amp;amp; IoT</t>
        </is>
      </c>
      <c r="E92" s="3" t="n">
        <v>149</v>
      </c>
      <c r="F92" s="4" t="inlineStr">
        <is>
          <t>🔗 Search</t>
        </is>
      </c>
      <c r="G92" s="4" t="inlineStr">
        <is>
          <t>🔗 Amazon</t>
        </is>
      </c>
      <c r="H92" s="4" t="inlineStr">
        <is>
          <t>🔗 Noon</t>
        </is>
      </c>
      <c r="I92" s="4" t="inlineStr">
        <is>
          <t>🔗 Jarir</t>
        </is>
      </c>
      <c r="J92" s="5" t="n"/>
      <c r="K92" s="6" t="n"/>
      <c r="L92" s="6" t="n"/>
      <c r="M92" s="7">
        <f>IF(J92="","",J92*3.75)</f>
        <v/>
      </c>
      <c r="N92" s="7">
        <f>IFERROR(MIN(IF(M92&lt;&gt;"",M92,9E9),IF(K92&lt;&gt;"",K92,9E9),IF(L92&lt;&gt;"",L92,9E9)),"")</f>
        <v/>
      </c>
      <c r="O92" s="8">
        <f>IF(OR(N92="",E92=0),"",(E92-N92)/N92)</f>
        <v/>
      </c>
      <c r="P92" s="7">
        <f>IF(N92="","",E92-N92)</f>
        <v/>
      </c>
      <c r="Q92" s="7">
        <f>IF(N92="","",CEILING(MAX(N92*1.4,IF(L92="",N92*1.5,L92*0.95)),10)-1)</f>
        <v/>
      </c>
      <c r="R92" s="9">
        <f>IF(OR(L92="",Q92=""),"",TEXT((Q92-L92)/L92,"+0.0%;-0.0%"))</f>
        <v/>
      </c>
      <c r="S92" s="10">
        <f>IF(N92="","fill prices →",IF(O92&gt;0.5,"✅ PROFITABLE — keep",IF(O92&gt;0.2,"🟡 OK — optimize",IF(O92&gt;0,"⚠️ THIN — raise price or drop","❌ LOSING MONEY — drop or renegotiate"))))</f>
        <v/>
      </c>
    </row>
    <row r="93">
      <c r="A93" t="n">
        <v>92</v>
      </c>
      <c r="B93" t="inlineStr">
        <is>
          <t>SH-THR-ECOB-001</t>
        </is>
      </c>
      <c r="C93" t="inlineStr">
        <is>
          <t>Ecobee Smart Thermostat Premium</t>
        </is>
      </c>
      <c r="D93" t="inlineStr">
        <is>
          <t>Smart Home &amp;amp; IoT</t>
        </is>
      </c>
      <c r="E93" s="11" t="n">
        <v>1549</v>
      </c>
      <c r="F93" s="12" t="inlineStr">
        <is>
          <t>🔗 Search</t>
        </is>
      </c>
      <c r="G93" s="12" t="inlineStr">
        <is>
          <t>🔗 Amazon</t>
        </is>
      </c>
      <c r="H93" s="12" t="inlineStr">
        <is>
          <t>🔗 Noon</t>
        </is>
      </c>
      <c r="I93" s="12" t="inlineStr">
        <is>
          <t>🔗 Jarir</t>
        </is>
      </c>
      <c r="J93" s="5" t="n"/>
      <c r="K93" s="6" t="n"/>
      <c r="L93" s="6" t="n"/>
      <c r="M93" s="7">
        <f>IF(J93="","",J93*3.75)</f>
        <v/>
      </c>
      <c r="N93" s="7">
        <f>IFERROR(MIN(IF(M93&lt;&gt;"",M93,9E9),IF(K93&lt;&gt;"",K93,9E9),IF(L93&lt;&gt;"",L93,9E9)),"")</f>
        <v/>
      </c>
      <c r="O93" s="8">
        <f>IF(OR(N93="",E93=0),"",(E93-N93)/N93)</f>
        <v/>
      </c>
      <c r="P93" s="7">
        <f>IF(N93="","",E93-N93)</f>
        <v/>
      </c>
      <c r="Q93" s="7">
        <f>IF(N93="","",CEILING(MAX(N93*1.4,IF(L93="",N93*1.5,L93*0.95)),10)-1)</f>
        <v/>
      </c>
      <c r="R93" s="9">
        <f>IF(OR(L93="",Q93=""),"",TEXT((Q93-L93)/L93,"+0.0%;-0.0%"))</f>
        <v/>
      </c>
      <c r="S93" s="10">
        <f>IF(N93="","fill prices →",IF(O93&gt;0.5,"✅ PROFITABLE — keep",IF(O93&gt;0.2,"🟡 OK — optimize",IF(O93&gt;0,"⚠️ THIN — raise price or drop","❌ LOSING MONEY — drop or renegotiate"))))</f>
        <v/>
      </c>
    </row>
    <row r="94">
      <c r="A94" s="2" t="n">
        <v>93</v>
      </c>
      <c r="B94" s="2" t="inlineStr">
        <is>
          <t>SH-THR-NEST-001</t>
        </is>
      </c>
      <c r="C94" s="2" t="inlineStr">
        <is>
          <t>Google Nest Learning Thermostat (4th Gen)</t>
        </is>
      </c>
      <c r="D94" s="2" t="inlineStr">
        <is>
          <t>Smart Home &amp;amp; IoT</t>
        </is>
      </c>
      <c r="E94" s="3" t="n">
        <v>1699</v>
      </c>
      <c r="F94" s="4" t="inlineStr">
        <is>
          <t>🔗 Search</t>
        </is>
      </c>
      <c r="G94" s="4" t="inlineStr">
        <is>
          <t>🔗 Amazon</t>
        </is>
      </c>
      <c r="H94" s="4" t="inlineStr">
        <is>
          <t>🔗 Noon</t>
        </is>
      </c>
      <c r="I94" s="4" t="inlineStr">
        <is>
          <t>🔗 Jarir</t>
        </is>
      </c>
      <c r="J94" s="5" t="n"/>
      <c r="K94" s="6" t="n"/>
      <c r="L94" s="6" t="n"/>
      <c r="M94" s="7">
        <f>IF(J94="","",J94*3.75)</f>
        <v/>
      </c>
      <c r="N94" s="7">
        <f>IFERROR(MIN(IF(M94&lt;&gt;"",M94,9E9),IF(K94&lt;&gt;"",K94,9E9),IF(L94&lt;&gt;"",L94,9E9)),"")</f>
        <v/>
      </c>
      <c r="O94" s="8">
        <f>IF(OR(N94="",E94=0),"",(E94-N94)/N94)</f>
        <v/>
      </c>
      <c r="P94" s="7">
        <f>IF(N94="","",E94-N94)</f>
        <v/>
      </c>
      <c r="Q94" s="7">
        <f>IF(N94="","",CEILING(MAX(N94*1.4,IF(L94="",N94*1.5,L94*0.95)),10)-1)</f>
        <v/>
      </c>
      <c r="R94" s="9">
        <f>IF(OR(L94="",Q94=""),"",TEXT((Q94-L94)/L94,"+0.0%;-0.0%"))</f>
        <v/>
      </c>
      <c r="S94" s="10">
        <f>IF(N94="","fill prices →",IF(O94&gt;0.5,"✅ PROFITABLE — keep",IF(O94&gt;0.2,"🟡 OK — optimize",IF(O94&gt;0,"⚠️ THIN — raise price or drop","❌ LOSING MONEY — drop or renegotiate"))))</f>
        <v/>
      </c>
    </row>
    <row r="95">
      <c r="A95" t="n">
        <v>94</v>
      </c>
      <c r="B95" t="inlineStr">
        <is>
          <t>SH-RVC-ECVX-001</t>
        </is>
      </c>
      <c r="C95" t="inlineStr">
        <is>
          <t>Ecovacs Deebot X9 Pro Omni</t>
        </is>
      </c>
      <c r="D95" t="inlineStr">
        <is>
          <t>Smart Home &amp;amp; IoT</t>
        </is>
      </c>
      <c r="E95" s="11" t="n">
        <v>5699</v>
      </c>
      <c r="F95" s="12" t="inlineStr">
        <is>
          <t>🔗 Search</t>
        </is>
      </c>
      <c r="G95" s="12" t="inlineStr">
        <is>
          <t>🔗 Amazon</t>
        </is>
      </c>
      <c r="H95" s="12" t="inlineStr">
        <is>
          <t>🔗 Noon</t>
        </is>
      </c>
      <c r="I95" s="12" t="inlineStr">
        <is>
          <t>🔗 Jarir</t>
        </is>
      </c>
      <c r="J95" s="5" t="n"/>
      <c r="K95" s="6" t="n"/>
      <c r="L95" s="6" t="n"/>
      <c r="M95" s="7">
        <f>IF(J95="","",J95*3.75)</f>
        <v/>
      </c>
      <c r="N95" s="7">
        <f>IFERROR(MIN(IF(M95&lt;&gt;"",M95,9E9),IF(K95&lt;&gt;"",K95,9E9),IF(L95&lt;&gt;"",L95,9E9)),"")</f>
        <v/>
      </c>
      <c r="O95" s="8">
        <f>IF(OR(N95="",E95=0),"",(E95-N95)/N95)</f>
        <v/>
      </c>
      <c r="P95" s="7">
        <f>IF(N95="","",E95-N95)</f>
        <v/>
      </c>
      <c r="Q95" s="7">
        <f>IF(N95="","",CEILING(MAX(N95*1.4,IF(L95="",N95*1.5,L95*0.95)),10)-1)</f>
        <v/>
      </c>
      <c r="R95" s="9">
        <f>IF(OR(L95="",Q95=""),"",TEXT((Q95-L95)/L95,"+0.0%;-0.0%"))</f>
        <v/>
      </c>
      <c r="S95" s="10">
        <f>IF(N95="","fill prices →",IF(O95&gt;0.5,"✅ PROFITABLE — keep",IF(O95&gt;0.2,"🟡 OK — optimize",IF(O95&gt;0,"⚠️ THIN — raise price or drop","❌ LOSING MONEY — drop or renegotiate"))))</f>
        <v/>
      </c>
    </row>
    <row r="96">
      <c r="A96" s="2" t="n">
        <v>95</v>
      </c>
      <c r="B96" s="2" t="inlineStr">
        <is>
          <t>SH-RVC-DREM-001</t>
        </is>
      </c>
      <c r="C96" s="2" t="inlineStr">
        <is>
          <t>Dreame L50 Ultra</t>
        </is>
      </c>
      <c r="D96" s="2" t="inlineStr">
        <is>
          <t>Smart Home &amp;amp; IoT</t>
        </is>
      </c>
      <c r="E96" s="3" t="n">
        <v>4599</v>
      </c>
      <c r="F96" s="4" t="inlineStr">
        <is>
          <t>🔗 Search</t>
        </is>
      </c>
      <c r="G96" s="4" t="inlineStr">
        <is>
          <t>🔗 Amazon</t>
        </is>
      </c>
      <c r="H96" s="4" t="inlineStr">
        <is>
          <t>🔗 Noon</t>
        </is>
      </c>
      <c r="I96" s="4" t="inlineStr">
        <is>
          <t>🔗 Jarir</t>
        </is>
      </c>
      <c r="J96" s="5" t="n"/>
      <c r="K96" s="6" t="n"/>
      <c r="L96" s="6" t="n"/>
      <c r="M96" s="7">
        <f>IF(J96="","",J96*3.75)</f>
        <v/>
      </c>
      <c r="N96" s="7">
        <f>IFERROR(MIN(IF(M96&lt;&gt;"",M96,9E9),IF(K96&lt;&gt;"",K96,9E9),IF(L96&lt;&gt;"",L96,9E9)),"")</f>
        <v/>
      </c>
      <c r="O96" s="8">
        <f>IF(OR(N96="",E96=0),"",(E96-N96)/N96)</f>
        <v/>
      </c>
      <c r="P96" s="7">
        <f>IF(N96="","",E96-N96)</f>
        <v/>
      </c>
      <c r="Q96" s="7">
        <f>IF(N96="","",CEILING(MAX(N96*1.4,IF(L96="",N96*1.5,L96*0.95)),10)-1)</f>
        <v/>
      </c>
      <c r="R96" s="9">
        <f>IF(OR(L96="",Q96=""),"",TEXT((Q96-L96)/L96,"+0.0%;-0.0%"))</f>
        <v/>
      </c>
      <c r="S96" s="10">
        <f>IF(N96="","fill prices →",IF(O96&gt;0.5,"✅ PROFITABLE — keep",IF(O96&gt;0.2,"🟡 OK — optimize",IF(O96&gt;0,"⚠️ THIN — raise price or drop","❌ LOSING MONEY — drop or renegotiate"))))</f>
        <v/>
      </c>
    </row>
    <row r="97">
      <c r="A97" t="n">
        <v>96</v>
      </c>
      <c r="B97" t="inlineStr">
        <is>
          <t>SH-RVC-RBRC-001</t>
        </is>
      </c>
      <c r="C97" t="inlineStr">
        <is>
          <t>Roborock Qrevo CurvX</t>
        </is>
      </c>
      <c r="D97" t="inlineStr">
        <is>
          <t>Smart Home &amp;amp; IoT</t>
        </is>
      </c>
      <c r="E97" s="11" t="n">
        <v>4599</v>
      </c>
      <c r="F97" s="12" t="inlineStr">
        <is>
          <t>🔗 Search</t>
        </is>
      </c>
      <c r="G97" s="12" t="inlineStr">
        <is>
          <t>🔗 Amazon</t>
        </is>
      </c>
      <c r="H97" s="12" t="inlineStr">
        <is>
          <t>🔗 Noon</t>
        </is>
      </c>
      <c r="I97" s="12" t="inlineStr">
        <is>
          <t>🔗 Jarir</t>
        </is>
      </c>
      <c r="J97" s="5" t="n"/>
      <c r="K97" s="6" t="n"/>
      <c r="L97" s="6" t="n"/>
      <c r="M97" s="7">
        <f>IF(J97="","",J97*3.75)</f>
        <v/>
      </c>
      <c r="N97" s="7">
        <f>IFERROR(MIN(IF(M97&lt;&gt;"",M97,9E9),IF(K97&lt;&gt;"",K97,9E9),IF(L97&lt;&gt;"",L97,9E9)),"")</f>
        <v/>
      </c>
      <c r="O97" s="8">
        <f>IF(OR(N97="",E97=0),"",(E97-N97)/N97)</f>
        <v/>
      </c>
      <c r="P97" s="7">
        <f>IF(N97="","",E97-N97)</f>
        <v/>
      </c>
      <c r="Q97" s="7">
        <f>IF(N97="","",CEILING(MAX(N97*1.4,IF(L97="",N97*1.5,L97*0.95)),10)-1)</f>
        <v/>
      </c>
      <c r="R97" s="9">
        <f>IF(OR(L97="",Q97=""),"",TEXT((Q97-L97)/L97,"+0.0%;-0.0%"))</f>
        <v/>
      </c>
      <c r="S97" s="10">
        <f>IF(N97="","fill prices →",IF(O97&gt;0.5,"✅ PROFITABLE — keep",IF(O97&gt;0.2,"🟡 OK — optimize",IF(O97&gt;0,"⚠️ THIN — raise price or drop","❌ LOSING MONEY — drop or renegotiate"))))</f>
        <v/>
      </c>
    </row>
    <row r="98">
      <c r="A98" s="2" t="n">
        <v>97</v>
      </c>
      <c r="B98" s="2" t="inlineStr">
        <is>
          <t>SH-LGT-GOVE-002</t>
        </is>
      </c>
      <c r="C98" s="2" t="inlineStr">
        <is>
          <t>Govee Glide Hexagon Light Panels Ultra (10-pack)</t>
        </is>
      </c>
      <c r="D98" s="2" t="inlineStr">
        <is>
          <t>Smart Home &amp;amp; IoT</t>
        </is>
      </c>
      <c r="E98" s="3" t="n">
        <v>1299</v>
      </c>
      <c r="F98" s="4" t="inlineStr">
        <is>
          <t>🔗 Search</t>
        </is>
      </c>
      <c r="G98" s="4" t="inlineStr">
        <is>
          <t>🔗 Amazon</t>
        </is>
      </c>
      <c r="H98" s="4" t="inlineStr">
        <is>
          <t>🔗 Noon</t>
        </is>
      </c>
      <c r="I98" s="4" t="inlineStr">
        <is>
          <t>🔗 Jarir</t>
        </is>
      </c>
      <c r="J98" s="5" t="n"/>
      <c r="K98" s="6" t="n"/>
      <c r="L98" s="6" t="n"/>
      <c r="M98" s="7">
        <f>IF(J98="","",J98*3.75)</f>
        <v/>
      </c>
      <c r="N98" s="7">
        <f>IFERROR(MIN(IF(M98&lt;&gt;"",M98,9E9),IF(K98&lt;&gt;"",K98,9E9),IF(L98&lt;&gt;"",L98,9E9)),"")</f>
        <v/>
      </c>
      <c r="O98" s="8">
        <f>IF(OR(N98="",E98=0),"",(E98-N98)/N98)</f>
        <v/>
      </c>
      <c r="P98" s="7">
        <f>IF(N98="","",E98-N98)</f>
        <v/>
      </c>
      <c r="Q98" s="7">
        <f>IF(N98="","",CEILING(MAX(N98*1.4,IF(L98="",N98*1.5,L98*0.95)),10)-1)</f>
        <v/>
      </c>
      <c r="R98" s="9">
        <f>IF(OR(L98="",Q98=""),"",TEXT((Q98-L98)/L98,"+0.0%;-0.0%"))</f>
        <v/>
      </c>
      <c r="S98" s="10">
        <f>IF(N98="","fill prices →",IF(O98&gt;0.5,"✅ PROFITABLE — keep",IF(O98&gt;0.2,"🟡 OK — optimize",IF(O98&gt;0,"⚠️ THIN — raise price or drop","❌ LOSING MONEY — drop or renegotiate"))))</f>
        <v/>
      </c>
    </row>
    <row r="99">
      <c r="A99" t="n">
        <v>98</v>
      </c>
      <c r="B99" t="inlineStr">
        <is>
          <t>SH-LGT-GOVE-001</t>
        </is>
      </c>
      <c r="C99" t="inlineStr">
        <is>
          <t>Govee RGBIC LED Strip M1 (5m)</t>
        </is>
      </c>
      <c r="D99" t="inlineStr">
        <is>
          <t>Smart Home &amp;amp; IoT</t>
        </is>
      </c>
      <c r="E99" s="11" t="n">
        <v>399</v>
      </c>
      <c r="F99" s="12" t="inlineStr">
        <is>
          <t>🔗 Search</t>
        </is>
      </c>
      <c r="G99" s="12" t="inlineStr">
        <is>
          <t>🔗 Amazon</t>
        </is>
      </c>
      <c r="H99" s="12" t="inlineStr">
        <is>
          <t>🔗 Noon</t>
        </is>
      </c>
      <c r="I99" s="12" t="inlineStr">
        <is>
          <t>🔗 Jarir</t>
        </is>
      </c>
      <c r="J99" s="5" t="n"/>
      <c r="K99" s="6" t="n"/>
      <c r="L99" s="6" t="n"/>
      <c r="M99" s="7">
        <f>IF(J99="","",J99*3.75)</f>
        <v/>
      </c>
      <c r="N99" s="7">
        <f>IFERROR(MIN(IF(M99&lt;&gt;"",M99,9E9),IF(K99&lt;&gt;"",K99,9E9),IF(L99&lt;&gt;"",L99,9E9)),"")</f>
        <v/>
      </c>
      <c r="O99" s="8">
        <f>IF(OR(N99="",E99=0),"",(E99-N99)/N99)</f>
        <v/>
      </c>
      <c r="P99" s="7">
        <f>IF(N99="","",E99-N99)</f>
        <v/>
      </c>
      <c r="Q99" s="7">
        <f>IF(N99="","",CEILING(MAX(N99*1.4,IF(L99="",N99*1.5,L99*0.95)),10)-1)</f>
        <v/>
      </c>
      <c r="R99" s="9">
        <f>IF(OR(L99="",Q99=""),"",TEXT((Q99-L99)/L99,"+0.0%;-0.0%"))</f>
        <v/>
      </c>
      <c r="S99" s="10">
        <f>IF(N99="","fill prices →",IF(O99&gt;0.5,"✅ PROFITABLE — keep",IF(O99&gt;0.2,"🟡 OK — optimize",IF(O99&gt;0,"⚠️ THIN — raise price or drop","❌ LOSING MONEY — drop or renegotiate"))))</f>
        <v/>
      </c>
    </row>
    <row r="100">
      <c r="A100" s="2" t="n">
        <v>99</v>
      </c>
      <c r="B100" s="2" t="inlineStr">
        <is>
          <t>SH-LGT-LIFX-001</t>
        </is>
      </c>
      <c r="C100" s="2" t="inlineStr">
        <is>
          <t>LIFX Color A19 1100lm Bulb</t>
        </is>
      </c>
      <c r="D100" s="2" t="inlineStr">
        <is>
          <t>Smart Home &amp;amp; IoT</t>
        </is>
      </c>
      <c r="E100" s="3" t="n">
        <v>279</v>
      </c>
      <c r="F100" s="4" t="inlineStr">
        <is>
          <t>🔗 Search</t>
        </is>
      </c>
      <c r="G100" s="4" t="inlineStr">
        <is>
          <t>🔗 Amazon</t>
        </is>
      </c>
      <c r="H100" s="4" t="inlineStr">
        <is>
          <t>🔗 Noon</t>
        </is>
      </c>
      <c r="I100" s="4" t="inlineStr">
        <is>
          <t>🔗 Jarir</t>
        </is>
      </c>
      <c r="J100" s="5" t="n"/>
      <c r="K100" s="6" t="n"/>
      <c r="L100" s="6" t="n"/>
      <c r="M100" s="7">
        <f>IF(J100="","",J100*3.75)</f>
        <v/>
      </c>
      <c r="N100" s="7">
        <f>IFERROR(MIN(IF(M100&lt;&gt;"",M100,9E9),IF(K100&lt;&gt;"",K100,9E9),IF(L100&lt;&gt;"",L100,9E9)),"")</f>
        <v/>
      </c>
      <c r="O100" s="8">
        <f>IF(OR(N100="",E100=0),"",(E100-N100)/N100)</f>
        <v/>
      </c>
      <c r="P100" s="7">
        <f>IF(N100="","",E100-N100)</f>
        <v/>
      </c>
      <c r="Q100" s="7">
        <f>IF(N100="","",CEILING(MAX(N100*1.4,IF(L100="",N100*1.5,L100*0.95)),10)-1)</f>
        <v/>
      </c>
      <c r="R100" s="9">
        <f>IF(OR(L100="",Q100=""),"",TEXT((Q100-L100)/L100,"+0.0%;-0.0%"))</f>
        <v/>
      </c>
      <c r="S100" s="10">
        <f>IF(N100="","fill prices →",IF(O100&gt;0.5,"✅ PROFITABLE — keep",IF(O100&gt;0.2,"🟡 OK — optimize",IF(O100&gt;0,"⚠️ THIN — raise price or drop","❌ LOSING MONEY — drop or renegotiate"))))</f>
        <v/>
      </c>
    </row>
    <row r="101">
      <c r="A101" t="n">
        <v>100</v>
      </c>
      <c r="B101" t="inlineStr">
        <is>
          <t>SH-LGT-PHUE-002</t>
        </is>
      </c>
      <c r="C101" t="inlineStr">
        <is>
          <t>Philips Hue Gradient Lightstrip (2m)</t>
        </is>
      </c>
      <c r="D101" t="inlineStr">
        <is>
          <t>Smart Home &amp;amp; IoT</t>
        </is>
      </c>
      <c r="E101" s="11" t="n">
        <v>1149</v>
      </c>
      <c r="F101" s="12" t="inlineStr">
        <is>
          <t>🔗 Search</t>
        </is>
      </c>
      <c r="G101" s="12" t="inlineStr">
        <is>
          <t>🔗 Amazon</t>
        </is>
      </c>
      <c r="H101" s="12" t="inlineStr">
        <is>
          <t>🔗 Noon</t>
        </is>
      </c>
      <c r="I101" s="12" t="inlineStr">
        <is>
          <t>🔗 Jarir</t>
        </is>
      </c>
      <c r="J101" s="5" t="n"/>
      <c r="K101" s="6" t="n"/>
      <c r="L101" s="6" t="n"/>
      <c r="M101" s="7">
        <f>IF(J101="","",J101*3.75)</f>
        <v/>
      </c>
      <c r="N101" s="7">
        <f>IFERROR(MIN(IF(M101&lt;&gt;"",M101,9E9),IF(K101&lt;&gt;"",K101,9E9),IF(L101&lt;&gt;"",L101,9E9)),"")</f>
        <v/>
      </c>
      <c r="O101" s="8">
        <f>IF(OR(N101="",E101=0),"",(E101-N101)/N101)</f>
        <v/>
      </c>
      <c r="P101" s="7">
        <f>IF(N101="","",E101-N101)</f>
        <v/>
      </c>
      <c r="Q101" s="7">
        <f>IF(N101="","",CEILING(MAX(N101*1.4,IF(L101="",N101*1.5,L101*0.95)),10)-1)</f>
        <v/>
      </c>
      <c r="R101" s="9">
        <f>IF(OR(L101="",Q101=""),"",TEXT((Q101-L101)/L101,"+0.0%;-0.0%"))</f>
        <v/>
      </c>
      <c r="S101" s="10">
        <f>IF(N101="","fill prices →",IF(O101&gt;0.5,"✅ PROFITABLE — keep",IF(O101&gt;0.2,"🟡 OK — optimize",IF(O101&gt;0,"⚠️ THIN — raise price or drop","❌ LOSING MONEY — drop or renegotiate"))))</f>
        <v/>
      </c>
    </row>
    <row r="102">
      <c r="A102" s="2" t="n">
        <v>101</v>
      </c>
      <c r="B102" s="2" t="inlineStr">
        <is>
          <t>SH-LGT-PHUE-001</t>
        </is>
      </c>
      <c r="C102" s="2" t="inlineStr">
        <is>
          <t>Philips Hue Starter Kit (3x A19 + Bridge)</t>
        </is>
      </c>
      <c r="D102" s="2" t="inlineStr">
        <is>
          <t>Smart Home &amp;amp; IoT</t>
        </is>
      </c>
      <c r="E102" s="3" t="n">
        <v>899</v>
      </c>
      <c r="F102" s="4" t="inlineStr">
        <is>
          <t>🔗 Search</t>
        </is>
      </c>
      <c r="G102" s="4" t="inlineStr">
        <is>
          <t>🔗 Amazon</t>
        </is>
      </c>
      <c r="H102" s="4" t="inlineStr">
        <is>
          <t>🔗 Noon</t>
        </is>
      </c>
      <c r="I102" s="4" t="inlineStr">
        <is>
          <t>🔗 Jarir</t>
        </is>
      </c>
      <c r="J102" s="5" t="n"/>
      <c r="K102" s="6" t="n"/>
      <c r="L102" s="6" t="n"/>
      <c r="M102" s="7">
        <f>IF(J102="","",J102*3.75)</f>
        <v/>
      </c>
      <c r="N102" s="7">
        <f>IFERROR(MIN(IF(M102&lt;&gt;"",M102,9E9),IF(K102&lt;&gt;"",K102,9E9),IF(L102&lt;&gt;"",L102,9E9)),"")</f>
        <v/>
      </c>
      <c r="O102" s="8">
        <f>IF(OR(N102="",E102=0),"",(E102-N102)/N102)</f>
        <v/>
      </c>
      <c r="P102" s="7">
        <f>IF(N102="","",E102-N102)</f>
        <v/>
      </c>
      <c r="Q102" s="7">
        <f>IF(N102="","",CEILING(MAX(N102*1.4,IF(L102="",N102*1.5,L102*0.95)),10)-1)</f>
        <v/>
      </c>
      <c r="R102" s="9">
        <f>IF(OR(L102="",Q102=""),"",TEXT((Q102-L102)/L102,"+0.0%;-0.0%"))</f>
        <v/>
      </c>
      <c r="S102" s="10">
        <f>IF(N102="","fill prices →",IF(O102&gt;0.5,"✅ PROFITABLE — keep",IF(O102&gt;0.2,"🟡 OK — optimize",IF(O102&gt;0,"⚠️ THIN — raise price or drop","❌ LOSING MONEY — drop or renegotiate"))))</f>
        <v/>
      </c>
    </row>
    <row r="103">
      <c r="A103" t="n">
        <v>102</v>
      </c>
      <c r="B103" t="inlineStr">
        <is>
          <t>SH-LCK-AUGS-001</t>
        </is>
      </c>
      <c r="C103" t="inlineStr">
        <is>
          <t>August Wi-Fi Smart Lock (4th Gen)</t>
        </is>
      </c>
      <c r="D103" t="inlineStr">
        <is>
          <t>Smart Home &amp;amp; IoT</t>
        </is>
      </c>
      <c r="E103" s="11" t="n">
        <v>1299</v>
      </c>
      <c r="F103" s="12" t="inlineStr">
        <is>
          <t>🔗 Search</t>
        </is>
      </c>
      <c r="G103" s="12" t="inlineStr">
        <is>
          <t>🔗 Amazon</t>
        </is>
      </c>
      <c r="H103" s="12" t="inlineStr">
        <is>
          <t>🔗 Noon</t>
        </is>
      </c>
      <c r="I103" s="12" t="inlineStr">
        <is>
          <t>🔗 Jarir</t>
        </is>
      </c>
      <c r="J103" s="5" t="n"/>
      <c r="K103" s="6" t="n"/>
      <c r="L103" s="6" t="n"/>
      <c r="M103" s="7">
        <f>IF(J103="","",J103*3.75)</f>
        <v/>
      </c>
      <c r="N103" s="7">
        <f>IFERROR(MIN(IF(M103&lt;&gt;"",M103,9E9),IF(K103&lt;&gt;"",K103,9E9),IF(L103&lt;&gt;"",L103,9E9)),"")</f>
        <v/>
      </c>
      <c r="O103" s="8">
        <f>IF(OR(N103="",E103=0),"",(E103-N103)/N103)</f>
        <v/>
      </c>
      <c r="P103" s="7">
        <f>IF(N103="","",E103-N103)</f>
        <v/>
      </c>
      <c r="Q103" s="7">
        <f>IF(N103="","",CEILING(MAX(N103*1.4,IF(L103="",N103*1.5,L103*0.95)),10)-1)</f>
        <v/>
      </c>
      <c r="R103" s="9">
        <f>IF(OR(L103="",Q103=""),"",TEXT((Q103-L103)/L103,"+0.0%;-0.0%"))</f>
        <v/>
      </c>
      <c r="S103" s="10">
        <f>IF(N103="","fill prices →",IF(O103&gt;0.5,"✅ PROFITABLE — keep",IF(O103&gt;0.2,"🟡 OK — optimize",IF(O103&gt;0,"⚠️ THIN — raise price or drop","❌ LOSING MONEY — drop or renegotiate"))))</f>
        <v/>
      </c>
    </row>
    <row r="104">
      <c r="A104" s="2" t="n">
        <v>103</v>
      </c>
      <c r="B104" s="2" t="inlineStr">
        <is>
          <t>SH-LCK-AQRA-001</t>
        </is>
      </c>
      <c r="C104" s="2" t="inlineStr">
        <is>
          <t>Aqara Smart Lock U200</t>
        </is>
      </c>
      <c r="D104" s="2" t="inlineStr">
        <is>
          <t>Smart Home &amp;amp; IoT</t>
        </is>
      </c>
      <c r="E104" s="3" t="n">
        <v>1249</v>
      </c>
      <c r="F104" s="4" t="inlineStr">
        <is>
          <t>🔗 Search</t>
        </is>
      </c>
      <c r="G104" s="4" t="inlineStr">
        <is>
          <t>🔗 Amazon</t>
        </is>
      </c>
      <c r="H104" s="4" t="inlineStr">
        <is>
          <t>🔗 Noon</t>
        </is>
      </c>
      <c r="I104" s="4" t="inlineStr">
        <is>
          <t>🔗 Jarir</t>
        </is>
      </c>
      <c r="J104" s="5" t="n"/>
      <c r="K104" s="6" t="n"/>
      <c r="L104" s="6" t="n"/>
      <c r="M104" s="7">
        <f>IF(J104="","",J104*3.75)</f>
        <v/>
      </c>
      <c r="N104" s="7">
        <f>IFERROR(MIN(IF(M104&lt;&gt;"",M104,9E9),IF(K104&lt;&gt;"",K104,9E9),IF(L104&lt;&gt;"",L104,9E9)),"")</f>
        <v/>
      </c>
      <c r="O104" s="8">
        <f>IF(OR(N104="",E104=0),"",(E104-N104)/N104)</f>
        <v/>
      </c>
      <c r="P104" s="7">
        <f>IF(N104="","",E104-N104)</f>
        <v/>
      </c>
      <c r="Q104" s="7">
        <f>IF(N104="","",CEILING(MAX(N104*1.4,IF(L104="",N104*1.5,L104*0.95)),10)-1)</f>
        <v/>
      </c>
      <c r="R104" s="9">
        <f>IF(OR(L104="",Q104=""),"",TEXT((Q104-L104)/L104,"+0.0%;-0.0%"))</f>
        <v/>
      </c>
      <c r="S104" s="10">
        <f>IF(N104="","fill prices →",IF(O104&gt;0.5,"✅ PROFITABLE — keep",IF(O104&gt;0.2,"🟡 OK — optimize",IF(O104&gt;0,"⚠️ THIN — raise price or drop","❌ LOSING MONEY — drop or renegotiate"))))</f>
        <v/>
      </c>
    </row>
    <row r="105">
      <c r="A105" t="n">
        <v>104</v>
      </c>
      <c r="B105" t="inlineStr">
        <is>
          <t>SH-LCK-YALE-001</t>
        </is>
      </c>
      <c r="C105" t="inlineStr">
        <is>
          <t>Yale Assure Lock 2 Wi-Fi</t>
        </is>
      </c>
      <c r="D105" t="inlineStr">
        <is>
          <t>Smart Home &amp;amp; IoT</t>
        </is>
      </c>
      <c r="E105" s="11" t="n">
        <v>1549</v>
      </c>
      <c r="F105" s="12" t="inlineStr">
        <is>
          <t>🔗 Search</t>
        </is>
      </c>
      <c r="G105" s="12" t="inlineStr">
        <is>
          <t>🔗 Amazon</t>
        </is>
      </c>
      <c r="H105" s="12" t="inlineStr">
        <is>
          <t>🔗 Noon</t>
        </is>
      </c>
      <c r="I105" s="12" t="inlineStr">
        <is>
          <t>🔗 Jarir</t>
        </is>
      </c>
      <c r="J105" s="5" t="n"/>
      <c r="K105" s="6" t="n"/>
      <c r="L105" s="6" t="n"/>
      <c r="M105" s="7">
        <f>IF(J105="","",J105*3.75)</f>
        <v/>
      </c>
      <c r="N105" s="7">
        <f>IFERROR(MIN(IF(M105&lt;&gt;"",M105,9E9),IF(K105&lt;&gt;"",K105,9E9),IF(L105&lt;&gt;"",L105,9E9)),"")</f>
        <v/>
      </c>
      <c r="O105" s="8">
        <f>IF(OR(N105="",E105=0),"",(E105-N105)/N105)</f>
        <v/>
      </c>
      <c r="P105" s="7">
        <f>IF(N105="","",E105-N105)</f>
        <v/>
      </c>
      <c r="Q105" s="7">
        <f>IF(N105="","",CEILING(MAX(N105*1.4,IF(L105="",N105*1.5,L105*0.95)),10)-1)</f>
        <v/>
      </c>
      <c r="R105" s="9">
        <f>IF(OR(L105="",Q105=""),"",TEXT((Q105-L105)/L105,"+0.0%;-0.0%"))</f>
        <v/>
      </c>
      <c r="S105" s="10">
        <f>IF(N105="","fill prices →",IF(O105&gt;0.5,"✅ PROFITABLE — keep",IF(O105&gt;0.2,"🟡 OK — optimize",IF(O105&gt;0,"⚠️ THIN — raise price or drop","❌ LOSING MONEY — drop or renegotiate"))))</f>
        <v/>
      </c>
    </row>
    <row r="106">
      <c r="A106" s="2" t="n">
        <v>105</v>
      </c>
      <c r="B106" s="2" t="inlineStr">
        <is>
          <t>SH-DSP-GGLE-001</t>
        </is>
      </c>
      <c r="C106" s="2" t="inlineStr">
        <is>
          <t>Google Nest Hub (2nd Gen)</t>
        </is>
      </c>
      <c r="D106" s="2" t="inlineStr">
        <is>
          <t>Smart Home &amp;amp; IoT</t>
        </is>
      </c>
      <c r="E106" s="3" t="n">
        <v>699</v>
      </c>
      <c r="F106" s="4" t="inlineStr">
        <is>
          <t>🔗 Search</t>
        </is>
      </c>
      <c r="G106" s="4" t="inlineStr">
        <is>
          <t>🔗 Amazon</t>
        </is>
      </c>
      <c r="H106" s="4" t="inlineStr">
        <is>
          <t>🔗 Noon</t>
        </is>
      </c>
      <c r="I106" s="4" t="inlineStr">
        <is>
          <t>🔗 Jarir</t>
        </is>
      </c>
      <c r="J106" s="5" t="n"/>
      <c r="K106" s="6" t="n"/>
      <c r="L106" s="6" t="n"/>
      <c r="M106" s="7">
        <f>IF(J106="","",J106*3.75)</f>
        <v/>
      </c>
      <c r="N106" s="7">
        <f>IFERROR(MIN(IF(M106&lt;&gt;"",M106,9E9),IF(K106&lt;&gt;"",K106,9E9),IF(L106&lt;&gt;"",L106,9E9)),"")</f>
        <v/>
      </c>
      <c r="O106" s="8">
        <f>IF(OR(N106="",E106=0),"",(E106-N106)/N106)</f>
        <v/>
      </c>
      <c r="P106" s="7">
        <f>IF(N106="","",E106-N106)</f>
        <v/>
      </c>
      <c r="Q106" s="7">
        <f>IF(N106="","",CEILING(MAX(N106*1.4,IF(L106="",N106*1.5,L106*0.95)),10)-1)</f>
        <v/>
      </c>
      <c r="R106" s="9">
        <f>IF(OR(L106="",Q106=""),"",TEXT((Q106-L106)/L106,"+0.0%;-0.0%"))</f>
        <v/>
      </c>
      <c r="S106" s="10">
        <f>IF(N106="","fill prices →",IF(O106&gt;0.5,"✅ PROFITABLE — keep",IF(O106&gt;0.2,"🟡 OK — optimize",IF(O106&gt;0,"⚠️ THIN — raise price or drop","❌ LOSING MONEY — drop or renegotiate"))))</f>
        <v/>
      </c>
    </row>
    <row r="107">
      <c r="A107" t="n">
        <v>106</v>
      </c>
      <c r="B107" t="inlineStr">
        <is>
          <t>SH-DSP-AMZN-001</t>
        </is>
      </c>
      <c r="C107" t="inlineStr">
        <is>
          <t>Amazon Echo Show 8 (3rd Gen)</t>
        </is>
      </c>
      <c r="D107" t="inlineStr">
        <is>
          <t>Smart Home &amp;amp; IoT</t>
        </is>
      </c>
      <c r="E107" s="11" t="n">
        <v>999</v>
      </c>
      <c r="F107" s="12" t="inlineStr">
        <is>
          <t>🔗 Search</t>
        </is>
      </c>
      <c r="G107" s="12" t="inlineStr">
        <is>
          <t>🔗 Amazon</t>
        </is>
      </c>
      <c r="H107" s="12" t="inlineStr">
        <is>
          <t>🔗 Noon</t>
        </is>
      </c>
      <c r="I107" s="12" t="inlineStr">
        <is>
          <t>🔗 Jarir</t>
        </is>
      </c>
      <c r="J107" s="5" t="n"/>
      <c r="K107" s="6" t="n"/>
      <c r="L107" s="6" t="n"/>
      <c r="M107" s="7">
        <f>IF(J107="","",J107*3.75)</f>
        <v/>
      </c>
      <c r="N107" s="7">
        <f>IFERROR(MIN(IF(M107&lt;&gt;"",M107,9E9),IF(K107&lt;&gt;"",K107,9E9),IF(L107&lt;&gt;"",L107,9E9)),"")</f>
        <v/>
      </c>
      <c r="O107" s="8">
        <f>IF(OR(N107="",E107=0),"",(E107-N107)/N107)</f>
        <v/>
      </c>
      <c r="P107" s="7">
        <f>IF(N107="","",E107-N107)</f>
        <v/>
      </c>
      <c r="Q107" s="7">
        <f>IF(N107="","",CEILING(MAX(N107*1.4,IF(L107="",N107*1.5,L107*0.95)),10)-1)</f>
        <v/>
      </c>
      <c r="R107" s="9">
        <f>IF(OR(L107="",Q107=""),"",TEXT((Q107-L107)/L107,"+0.0%;-0.0%"))</f>
        <v/>
      </c>
      <c r="S107" s="10">
        <f>IF(N107="","fill prices →",IF(O107&gt;0.5,"✅ PROFITABLE — keep",IF(O107&gt;0.2,"🟡 OK — optimize",IF(O107&gt;0,"⚠️ THIN — raise price or drop","❌ LOSING MONEY — drop or renegotiate"))))</f>
        <v/>
      </c>
    </row>
    <row r="108">
      <c r="A108" s="2" t="n">
        <v>107</v>
      </c>
      <c r="B108" s="2" t="inlineStr">
        <is>
          <t>SH-SPK-AMZN-002</t>
        </is>
      </c>
      <c r="C108" s="2" t="inlineStr">
        <is>
          <t>Amazon Echo Dot (5th Gen)</t>
        </is>
      </c>
      <c r="D108" s="2" t="inlineStr">
        <is>
          <t>Smart Home &amp;amp; IoT</t>
        </is>
      </c>
      <c r="E108" s="3" t="n">
        <v>399</v>
      </c>
      <c r="F108" s="4" t="inlineStr">
        <is>
          <t>🔗 Search</t>
        </is>
      </c>
      <c r="G108" s="4" t="inlineStr">
        <is>
          <t>🔗 Amazon</t>
        </is>
      </c>
      <c r="H108" s="4" t="inlineStr">
        <is>
          <t>🔗 Noon</t>
        </is>
      </c>
      <c r="I108" s="4" t="inlineStr">
        <is>
          <t>🔗 Jarir</t>
        </is>
      </c>
      <c r="J108" s="5" t="n"/>
      <c r="K108" s="6" t="n"/>
      <c r="L108" s="6" t="n"/>
      <c r="M108" s="7">
        <f>IF(J108="","",J108*3.75)</f>
        <v/>
      </c>
      <c r="N108" s="7">
        <f>IFERROR(MIN(IF(M108&lt;&gt;"",M108,9E9),IF(K108&lt;&gt;"",K108,9E9),IF(L108&lt;&gt;"",L108,9E9)),"")</f>
        <v/>
      </c>
      <c r="O108" s="8">
        <f>IF(OR(N108="",E108=0),"",(E108-N108)/N108)</f>
        <v/>
      </c>
      <c r="P108" s="7">
        <f>IF(N108="","",E108-N108)</f>
        <v/>
      </c>
      <c r="Q108" s="7">
        <f>IF(N108="","",CEILING(MAX(N108*1.4,IF(L108="",N108*1.5,L108*0.95)),10)-1)</f>
        <v/>
      </c>
      <c r="R108" s="9">
        <f>IF(OR(L108="",Q108=""),"",TEXT((Q108-L108)/L108,"+0.0%;-0.0%"))</f>
        <v/>
      </c>
      <c r="S108" s="10">
        <f>IF(N108="","fill prices →",IF(O108&gt;0.5,"✅ PROFITABLE — keep",IF(O108&gt;0.2,"🟡 OK — optimize",IF(O108&gt;0,"⚠️ THIN — raise price or drop","❌ LOSING MONEY — drop or renegotiate"))))</f>
        <v/>
      </c>
    </row>
    <row r="109">
      <c r="A109" t="n">
        <v>108</v>
      </c>
      <c r="B109" t="inlineStr">
        <is>
          <t>SH-SPK-GGLE-001</t>
        </is>
      </c>
      <c r="C109" t="inlineStr">
        <is>
          <t>Google Nest Audio</t>
        </is>
      </c>
      <c r="D109" t="inlineStr">
        <is>
          <t>Smart Home &amp;amp; IoT</t>
        </is>
      </c>
      <c r="E109" s="11" t="n">
        <v>699</v>
      </c>
      <c r="F109" s="12" t="inlineStr">
        <is>
          <t>🔗 Search</t>
        </is>
      </c>
      <c r="G109" s="12" t="inlineStr">
        <is>
          <t>🔗 Amazon</t>
        </is>
      </c>
      <c r="H109" s="12" t="inlineStr">
        <is>
          <t>🔗 Noon</t>
        </is>
      </c>
      <c r="I109" s="12" t="inlineStr">
        <is>
          <t>🔗 Jarir</t>
        </is>
      </c>
      <c r="J109" s="5" t="n"/>
      <c r="K109" s="6" t="n"/>
      <c r="L109" s="6" t="n"/>
      <c r="M109" s="7">
        <f>IF(J109="","",J109*3.75)</f>
        <v/>
      </c>
      <c r="N109" s="7">
        <f>IFERROR(MIN(IF(M109&lt;&gt;"",M109,9E9),IF(K109&lt;&gt;"",K109,9E9),IF(L109&lt;&gt;"",L109,9E9)),"")</f>
        <v/>
      </c>
      <c r="O109" s="8">
        <f>IF(OR(N109="",E109=0),"",(E109-N109)/N109)</f>
        <v/>
      </c>
      <c r="P109" s="7">
        <f>IF(N109="","",E109-N109)</f>
        <v/>
      </c>
      <c r="Q109" s="7">
        <f>IF(N109="","",CEILING(MAX(N109*1.4,IF(L109="",N109*1.5,L109*0.95)),10)-1)</f>
        <v/>
      </c>
      <c r="R109" s="9">
        <f>IF(OR(L109="",Q109=""),"",TEXT((Q109-L109)/L109,"+0.0%;-0.0%"))</f>
        <v/>
      </c>
      <c r="S109" s="10">
        <f>IF(N109="","fill prices →",IF(O109&gt;0.5,"✅ PROFITABLE — keep",IF(O109&gt;0.2,"🟡 OK — optimize",IF(O109&gt;0,"⚠️ THIN — raise price or drop","❌ LOSING MONEY — drop or renegotiate"))))</f>
        <v/>
      </c>
    </row>
    <row r="110">
      <c r="A110" s="2" t="n">
        <v>109</v>
      </c>
      <c r="B110" s="2" t="inlineStr">
        <is>
          <t>SH-SPK-APPL-001</t>
        </is>
      </c>
      <c r="C110" s="2" t="inlineStr">
        <is>
          <t>Apple HomePod Mini</t>
        </is>
      </c>
      <c r="D110" s="2" t="inlineStr">
        <is>
          <t>Smart Home &amp;amp; IoT</t>
        </is>
      </c>
      <c r="E110" s="3" t="n">
        <v>699</v>
      </c>
      <c r="F110" s="4" t="inlineStr">
        <is>
          <t>🔗 Search</t>
        </is>
      </c>
      <c r="G110" s="4" t="inlineStr">
        <is>
          <t>🔗 Amazon</t>
        </is>
      </c>
      <c r="H110" s="4" t="inlineStr">
        <is>
          <t>🔗 Noon</t>
        </is>
      </c>
      <c r="I110" s="4" t="inlineStr">
        <is>
          <t>🔗 Jarir</t>
        </is>
      </c>
      <c r="J110" s="5" t="n"/>
      <c r="K110" s="6" t="n"/>
      <c r="L110" s="6" t="n"/>
      <c r="M110" s="7">
        <f>IF(J110="","",J110*3.75)</f>
        <v/>
      </c>
      <c r="N110" s="7">
        <f>IFERROR(MIN(IF(M110&lt;&gt;"",M110,9E9),IF(K110&lt;&gt;"",K110,9E9),IF(L110&lt;&gt;"",L110,9E9)),"")</f>
        <v/>
      </c>
      <c r="O110" s="8">
        <f>IF(OR(N110="",E110=0),"",(E110-N110)/N110)</f>
        <v/>
      </c>
      <c r="P110" s="7">
        <f>IF(N110="","",E110-N110)</f>
        <v/>
      </c>
      <c r="Q110" s="7">
        <f>IF(N110="","",CEILING(MAX(N110*1.4,IF(L110="",N110*1.5,L110*0.95)),10)-1)</f>
        <v/>
      </c>
      <c r="R110" s="9">
        <f>IF(OR(L110="",Q110=""),"",TEXT((Q110-L110)/L110,"+0.0%;-0.0%"))</f>
        <v/>
      </c>
      <c r="S110" s="10">
        <f>IF(N110="","fill prices →",IF(O110&gt;0.5,"✅ PROFITABLE — keep",IF(O110&gt;0.2,"🟡 OK — optimize",IF(O110&gt;0,"⚠️ THIN — raise price or drop","❌ LOSING MONEY — drop or renegotiate"))))</f>
        <v/>
      </c>
    </row>
    <row r="111">
      <c r="A111" t="n">
        <v>110</v>
      </c>
      <c r="B111" t="inlineStr">
        <is>
          <t>SH-SPK-AMZN-001</t>
        </is>
      </c>
      <c r="C111" t="inlineStr">
        <is>
          <t>Amazon Echo (4th Gen)</t>
        </is>
      </c>
      <c r="D111" t="inlineStr">
        <is>
          <t>Smart Home &amp;amp; IoT</t>
        </is>
      </c>
      <c r="E111" s="11" t="n">
        <v>699</v>
      </c>
      <c r="F111" s="12" t="inlineStr">
        <is>
          <t>🔗 Search</t>
        </is>
      </c>
      <c r="G111" s="12" t="inlineStr">
        <is>
          <t>🔗 Amazon</t>
        </is>
      </c>
      <c r="H111" s="12" t="inlineStr">
        <is>
          <t>🔗 Noon</t>
        </is>
      </c>
      <c r="I111" s="12" t="inlineStr">
        <is>
          <t>🔗 Jarir</t>
        </is>
      </c>
      <c r="J111" s="5" t="n"/>
      <c r="K111" s="6" t="n"/>
      <c r="L111" s="6" t="n"/>
      <c r="M111" s="7">
        <f>IF(J111="","",J111*3.75)</f>
        <v/>
      </c>
      <c r="N111" s="7">
        <f>IFERROR(MIN(IF(M111&lt;&gt;"",M111,9E9),IF(K111&lt;&gt;"",K111,9E9),IF(L111&lt;&gt;"",L111,9E9)),"")</f>
        <v/>
      </c>
      <c r="O111" s="8">
        <f>IF(OR(N111="",E111=0),"",(E111-N111)/N111)</f>
        <v/>
      </c>
      <c r="P111" s="7">
        <f>IF(N111="","",E111-N111)</f>
        <v/>
      </c>
      <c r="Q111" s="7">
        <f>IF(N111="","",CEILING(MAX(N111*1.4,IF(L111="",N111*1.5,L111*0.95)),10)-1)</f>
        <v/>
      </c>
      <c r="R111" s="9">
        <f>IF(OR(L111="",Q111=""),"",TEXT((Q111-L111)/L111,"+0.0%;-0.0%"))</f>
        <v/>
      </c>
      <c r="S111" s="10">
        <f>IF(N111="","fill prices →",IF(O111&gt;0.5,"✅ PROFITABLE — keep",IF(O111&gt;0.2,"🟡 OK — optimize",IF(O111&gt;0,"⚠️ THIN — raise price or drop","❌ LOSING MONEY — drop or renegotiate"))))</f>
        <v/>
      </c>
    </row>
    <row r="112">
      <c r="A112" s="2" t="n">
        <v>111</v>
      </c>
      <c r="B112" s="2" t="inlineStr">
        <is>
          <t>NG-SEC-007</t>
        </is>
      </c>
      <c r="C112" s="2" t="inlineStr">
        <is>
          <t>Eufy Video Doorbell S330 - Dual Camera Smart Doorbell (2K + Package Cam)</t>
        </is>
      </c>
      <c r="D112" s="2" t="inlineStr">
        <is>
          <t>Security &amp;amp; Surveillance</t>
        </is>
      </c>
      <c r="E112" s="3" t="n">
        <v>1449</v>
      </c>
      <c r="F112" s="4" t="inlineStr">
        <is>
          <t>🔗 Search</t>
        </is>
      </c>
      <c r="G112" s="4" t="inlineStr">
        <is>
          <t>🔗 Amazon</t>
        </is>
      </c>
      <c r="H112" s="4" t="inlineStr">
        <is>
          <t>🔗 Noon</t>
        </is>
      </c>
      <c r="I112" s="4" t="inlineStr">
        <is>
          <t>🔗 Jarir</t>
        </is>
      </c>
      <c r="J112" s="5" t="n"/>
      <c r="K112" s="6" t="n"/>
      <c r="L112" s="6" t="n"/>
      <c r="M112" s="7">
        <f>IF(J112="","",J112*3.75)</f>
        <v/>
      </c>
      <c r="N112" s="7">
        <f>IFERROR(MIN(IF(M112&lt;&gt;"",M112,9E9),IF(K112&lt;&gt;"",K112,9E9),IF(L112&lt;&gt;"",L112,9E9)),"")</f>
        <v/>
      </c>
      <c r="O112" s="8">
        <f>IF(OR(N112="",E112=0),"",(E112-N112)/N112)</f>
        <v/>
      </c>
      <c r="P112" s="7">
        <f>IF(N112="","",E112-N112)</f>
        <v/>
      </c>
      <c r="Q112" s="7">
        <f>IF(N112="","",CEILING(MAX(N112*1.4,IF(L112="",N112*1.5,L112*0.95)),10)-1)</f>
        <v/>
      </c>
      <c r="R112" s="9">
        <f>IF(OR(L112="",Q112=""),"",TEXT((Q112-L112)/L112,"+0.0%;-0.0%"))</f>
        <v/>
      </c>
      <c r="S112" s="10">
        <f>IF(N112="","fill prices →",IF(O112&gt;0.5,"✅ PROFITABLE — keep",IF(O112&gt;0.2,"🟡 OK — optimize",IF(O112&gt;0,"⚠️ THIN — raise price or drop","❌ LOSING MONEY — drop or renegotiate"))))</f>
        <v/>
      </c>
    </row>
    <row r="113">
      <c r="A113" t="n">
        <v>112</v>
      </c>
      <c r="B113" t="inlineStr">
        <is>
          <t>NG-SEC-006</t>
        </is>
      </c>
      <c r="C113" t="inlineStr">
        <is>
          <t>Ajax Hub 2 Plus - Professional Wireless Smart Alarm System</t>
        </is>
      </c>
      <c r="D113" t="inlineStr">
        <is>
          <t>Security &amp;amp; Surveillance</t>
        </is>
      </c>
      <c r="E113" s="11" t="n">
        <v>2499</v>
      </c>
      <c r="F113" s="12" t="inlineStr">
        <is>
          <t>🔗 Search</t>
        </is>
      </c>
      <c r="G113" s="12" t="inlineStr">
        <is>
          <t>🔗 Amazon</t>
        </is>
      </c>
      <c r="H113" s="12" t="inlineStr">
        <is>
          <t>🔗 Noon</t>
        </is>
      </c>
      <c r="I113" s="12" t="inlineStr">
        <is>
          <t>🔗 Jarir</t>
        </is>
      </c>
      <c r="J113" s="5" t="n"/>
      <c r="K113" s="6" t="n"/>
      <c r="L113" s="6" t="n"/>
      <c r="M113" s="7">
        <f>IF(J113="","",J113*3.75)</f>
        <v/>
      </c>
      <c r="N113" s="7">
        <f>IFERROR(MIN(IF(M113&lt;&gt;"",M113,9E9),IF(K113&lt;&gt;"",K113,9E9),IF(L113&lt;&gt;"",L113,9E9)),"")</f>
        <v/>
      </c>
      <c r="O113" s="8">
        <f>IF(OR(N113="",E113=0),"",(E113-N113)/N113)</f>
        <v/>
      </c>
      <c r="P113" s="7">
        <f>IF(N113="","",E113-N113)</f>
        <v/>
      </c>
      <c r="Q113" s="7">
        <f>IF(N113="","",CEILING(MAX(N113*1.4,IF(L113="",N113*1.5,L113*0.95)),10)-1)</f>
        <v/>
      </c>
      <c r="R113" s="9">
        <f>IF(OR(L113="",Q113=""),"",TEXT((Q113-L113)/L113,"+0.0%;-0.0%"))</f>
        <v/>
      </c>
      <c r="S113" s="10">
        <f>IF(N113="","fill prices →",IF(O113&gt;0.5,"✅ PROFITABLE — keep",IF(O113&gt;0.2,"🟡 OK — optimize",IF(O113&gt;0,"⚠️ THIN — raise price or drop","❌ LOSING MONEY — drop or renegotiate"))))</f>
        <v/>
      </c>
    </row>
    <row r="114">
      <c r="A114" s="2" t="n">
        <v>113</v>
      </c>
      <c r="B114" s="2" t="inlineStr">
        <is>
          <t>NG-SEC-005</t>
        </is>
      </c>
      <c r="C114" s="2" t="inlineStr">
        <is>
          <t>Reolink 16-Channel PoE NVR (RLN16-410) - 4K Network Video Recorder</t>
        </is>
      </c>
      <c r="D114" s="2" t="inlineStr">
        <is>
          <t>Security &amp;amp; Surveillance</t>
        </is>
      </c>
      <c r="E114" s="3" t="n">
        <v>1599</v>
      </c>
      <c r="F114" s="4" t="inlineStr">
        <is>
          <t>🔗 Search</t>
        </is>
      </c>
      <c r="G114" s="4" t="inlineStr">
        <is>
          <t>🔗 Amazon</t>
        </is>
      </c>
      <c r="H114" s="4" t="inlineStr">
        <is>
          <t>🔗 Noon</t>
        </is>
      </c>
      <c r="I114" s="4" t="inlineStr">
        <is>
          <t>🔗 Jarir</t>
        </is>
      </c>
      <c r="J114" s="5" t="n"/>
      <c r="K114" s="6" t="n"/>
      <c r="L114" s="6" t="n"/>
      <c r="M114" s="7">
        <f>IF(J114="","",J114*3.75)</f>
        <v/>
      </c>
      <c r="N114" s="7">
        <f>IFERROR(MIN(IF(M114&lt;&gt;"",M114,9E9),IF(K114&lt;&gt;"",K114,9E9),IF(L114&lt;&gt;"",L114,9E9)),"")</f>
        <v/>
      </c>
      <c r="O114" s="8">
        <f>IF(OR(N114="",E114=0),"",(E114-N114)/N114)</f>
        <v/>
      </c>
      <c r="P114" s="7">
        <f>IF(N114="","",E114-N114)</f>
        <v/>
      </c>
      <c r="Q114" s="7">
        <f>IF(N114="","",CEILING(MAX(N114*1.4,IF(L114="",N114*1.5,L114*0.95)),10)-1)</f>
        <v/>
      </c>
      <c r="R114" s="9">
        <f>IF(OR(L114="",Q114=""),"",TEXT((Q114-L114)/L114,"+0.0%;-0.0%"))</f>
        <v/>
      </c>
      <c r="S114" s="10">
        <f>IF(N114="","fill prices →",IF(O114&gt;0.5,"✅ PROFITABLE — keep",IF(O114&gt;0.2,"🟡 OK — optimize",IF(O114&gt;0,"⚠️ THIN — raise price or drop","❌ LOSING MONEY — drop or renegotiate"))))</f>
        <v/>
      </c>
    </row>
    <row r="115">
      <c r="A115" t="n">
        <v>114</v>
      </c>
      <c r="B115" t="inlineStr">
        <is>
          <t>NG-SEC-004</t>
        </is>
      </c>
      <c r="C115" t="inlineStr">
        <is>
          <t>Ubiquiti UniFi Protect G4 Doorbell Pro - 5MP Smart Doorbell with Fingerprint Reader</t>
        </is>
      </c>
      <c r="D115" t="inlineStr">
        <is>
          <t>Security &amp;amp; Surveillance</t>
        </is>
      </c>
      <c r="E115" s="11" t="n">
        <v>2299</v>
      </c>
      <c r="F115" s="12" t="inlineStr">
        <is>
          <t>🔗 Search</t>
        </is>
      </c>
      <c r="G115" s="12" t="inlineStr">
        <is>
          <t>🔗 Amazon</t>
        </is>
      </c>
      <c r="H115" s="12" t="inlineStr">
        <is>
          <t>🔗 Noon</t>
        </is>
      </c>
      <c r="I115" s="12" t="inlineStr">
        <is>
          <t>🔗 Jarir</t>
        </is>
      </c>
      <c r="J115" s="5" t="n"/>
      <c r="K115" s="6" t="n"/>
      <c r="L115" s="6" t="n"/>
      <c r="M115" s="7">
        <f>IF(J115="","",J115*3.75)</f>
        <v/>
      </c>
      <c r="N115" s="7">
        <f>IFERROR(MIN(IF(M115&lt;&gt;"",M115,9E9),IF(K115&lt;&gt;"",K115,9E9),IF(L115&lt;&gt;"",L115,9E9)),"")</f>
        <v/>
      </c>
      <c r="O115" s="8">
        <f>IF(OR(N115="",E115=0),"",(E115-N115)/N115)</f>
        <v/>
      </c>
      <c r="P115" s="7">
        <f>IF(N115="","",E115-N115)</f>
        <v/>
      </c>
      <c r="Q115" s="7">
        <f>IF(N115="","",CEILING(MAX(N115*1.4,IF(L115="",N115*1.5,L115*0.95)),10)-1)</f>
        <v/>
      </c>
      <c r="R115" s="9">
        <f>IF(OR(L115="",Q115=""),"",TEXT((Q115-L115)/L115,"+0.0%;-0.0%"))</f>
        <v/>
      </c>
      <c r="S115" s="10">
        <f>IF(N115="","fill prices →",IF(O115&gt;0.5,"✅ PROFITABLE — keep",IF(O115&gt;0.2,"🟡 OK — optimize",IF(O115&gt;0,"⚠️ THIN — raise price or drop","❌ LOSING MONEY — drop or renegotiate"))))</f>
        <v/>
      </c>
    </row>
    <row r="116">
      <c r="A116" s="2" t="n">
        <v>115</v>
      </c>
      <c r="B116" s="2" t="inlineStr">
        <is>
          <t>NG-SEC-003</t>
        </is>
      </c>
      <c r="C116" s="2" t="inlineStr">
        <is>
          <t>Hikvision DS-2CD2143G2-I - 4MP AcuSense Dome Camera</t>
        </is>
      </c>
      <c r="D116" s="2" t="inlineStr">
        <is>
          <t>Security &amp;amp; Surveillance</t>
        </is>
      </c>
      <c r="E116" s="3" t="n">
        <v>749</v>
      </c>
      <c r="F116" s="4" t="inlineStr">
        <is>
          <t>🔗 Search</t>
        </is>
      </c>
      <c r="G116" s="4" t="inlineStr">
        <is>
          <t>🔗 Amazon</t>
        </is>
      </c>
      <c r="H116" s="4" t="inlineStr">
        <is>
          <t>🔗 Noon</t>
        </is>
      </c>
      <c r="I116" s="4" t="inlineStr">
        <is>
          <t>🔗 Jarir</t>
        </is>
      </c>
      <c r="J116" s="5" t="n"/>
      <c r="K116" s="6" t="n"/>
      <c r="L116" s="6" t="n"/>
      <c r="M116" s="7">
        <f>IF(J116="","",J116*3.75)</f>
        <v/>
      </c>
      <c r="N116" s="7">
        <f>IFERROR(MIN(IF(M116&lt;&gt;"",M116,9E9),IF(K116&lt;&gt;"",K116,9E9),IF(L116&lt;&gt;"",L116,9E9)),"")</f>
        <v/>
      </c>
      <c r="O116" s="8">
        <f>IF(OR(N116="",E116=0),"",(E116-N116)/N116)</f>
        <v/>
      </c>
      <c r="P116" s="7">
        <f>IF(N116="","",E116-N116)</f>
        <v/>
      </c>
      <c r="Q116" s="7">
        <f>IF(N116="","",CEILING(MAX(N116*1.4,IF(L116="",N116*1.5,L116*0.95)),10)-1)</f>
        <v/>
      </c>
      <c r="R116" s="9">
        <f>IF(OR(L116="",Q116=""),"",TEXT((Q116-L116)/L116,"+0.0%;-0.0%"))</f>
        <v/>
      </c>
      <c r="S116" s="10">
        <f>IF(N116="","fill prices →",IF(O116&gt;0.5,"✅ PROFITABLE — keep",IF(O116&gt;0.2,"🟡 OK — optimize",IF(O116&gt;0,"⚠️ THIN — raise price or drop","❌ LOSING MONEY — drop or renegotiate"))))</f>
        <v/>
      </c>
    </row>
    <row r="117">
      <c r="A117" t="n">
        <v>116</v>
      </c>
      <c r="B117" t="inlineStr">
        <is>
          <t>NG-SEC-002</t>
        </is>
      </c>
      <c r="C117" t="inlineStr">
        <is>
          <t>Reolink Argus 4 Pro - Solar-Powered Wireless 4K Security Camera</t>
        </is>
      </c>
      <c r="D117" t="inlineStr">
        <is>
          <t>Security &amp;amp; Surveillance</t>
        </is>
      </c>
      <c r="E117" s="11" t="n">
        <v>1199</v>
      </c>
      <c r="F117" s="12" t="inlineStr">
        <is>
          <t>🔗 Search</t>
        </is>
      </c>
      <c r="G117" s="12" t="inlineStr">
        <is>
          <t>🔗 Amazon</t>
        </is>
      </c>
      <c r="H117" s="12" t="inlineStr">
        <is>
          <t>🔗 Noon</t>
        </is>
      </c>
      <c r="I117" s="12" t="inlineStr">
        <is>
          <t>🔗 Jarir</t>
        </is>
      </c>
      <c r="J117" s="5" t="n"/>
      <c r="K117" s="6" t="n"/>
      <c r="L117" s="6" t="n"/>
      <c r="M117" s="7">
        <f>IF(J117="","",J117*3.75)</f>
        <v/>
      </c>
      <c r="N117" s="7">
        <f>IFERROR(MIN(IF(M117&lt;&gt;"",M117,9E9),IF(K117&lt;&gt;"",K117,9E9),IF(L117&lt;&gt;"",L117,9E9)),"")</f>
        <v/>
      </c>
      <c r="O117" s="8">
        <f>IF(OR(N117="",E117=0),"",(E117-N117)/N117)</f>
        <v/>
      </c>
      <c r="P117" s="7">
        <f>IF(N117="","",E117-N117)</f>
        <v/>
      </c>
      <c r="Q117" s="7">
        <f>IF(N117="","",CEILING(MAX(N117*1.4,IF(L117="",N117*1.5,L117*0.95)),10)-1)</f>
        <v/>
      </c>
      <c r="R117" s="9">
        <f>IF(OR(L117="",Q117=""),"",TEXT((Q117-L117)/L117,"+0.0%;-0.0%"))</f>
        <v/>
      </c>
      <c r="S117" s="10">
        <f>IF(N117="","fill prices →",IF(O117&gt;0.5,"✅ PROFITABLE — keep",IF(O117&gt;0.2,"🟡 OK — optimize",IF(O117&gt;0,"⚠️ THIN — raise price or drop","❌ LOSING MONEY — drop or renegotiate"))))</f>
        <v/>
      </c>
    </row>
    <row r="118">
      <c r="A118" s="2" t="n">
        <v>117</v>
      </c>
      <c r="B118" s="2" t="inlineStr">
        <is>
          <t>NG-SEC-001</t>
        </is>
      </c>
      <c r="C118" s="2" t="inlineStr">
        <is>
          <t>Reolink RLC-810A - 4K PoE AI Security Camera</t>
        </is>
      </c>
      <c r="D118" s="2" t="inlineStr">
        <is>
          <t>Security &amp;amp; Surveillance</t>
        </is>
      </c>
      <c r="E118" s="3" t="n">
        <v>549</v>
      </c>
      <c r="F118" s="4" t="inlineStr">
        <is>
          <t>🔗 Search</t>
        </is>
      </c>
      <c r="G118" s="4" t="inlineStr">
        <is>
          <t>🔗 Amazon</t>
        </is>
      </c>
      <c r="H118" s="4" t="inlineStr">
        <is>
          <t>🔗 Noon</t>
        </is>
      </c>
      <c r="I118" s="4" t="inlineStr">
        <is>
          <t>🔗 Jarir</t>
        </is>
      </c>
      <c r="J118" s="5" t="n"/>
      <c r="K118" s="6" t="n"/>
      <c r="L118" s="6" t="n"/>
      <c r="M118" s="7">
        <f>IF(J118="","",J118*3.75)</f>
        <v/>
      </c>
      <c r="N118" s="7">
        <f>IFERROR(MIN(IF(M118&lt;&gt;"",M118,9E9),IF(K118&lt;&gt;"",K118,9E9),IF(L118&lt;&gt;"",L118,9E9)),"")</f>
        <v/>
      </c>
      <c r="O118" s="8">
        <f>IF(OR(N118="",E118=0),"",(E118-N118)/N118)</f>
        <v/>
      </c>
      <c r="P118" s="7">
        <f>IF(N118="","",E118-N118)</f>
        <v/>
      </c>
      <c r="Q118" s="7">
        <f>IF(N118="","",CEILING(MAX(N118*1.4,IF(L118="",N118*1.5,L118*0.95)),10)-1)</f>
        <v/>
      </c>
      <c r="R118" s="9">
        <f>IF(OR(L118="",Q118=""),"",TEXT((Q118-L118)/L118,"+0.0%;-0.0%"))</f>
        <v/>
      </c>
      <c r="S118" s="10">
        <f>IF(N118="","fill prices →",IF(O118&gt;0.5,"✅ PROFITABLE — keep",IF(O118&gt;0.2,"🟡 OK — optimize",IF(O118&gt;0,"⚠️ THIN — raise price or drop","❌ LOSING MONEY — drop or renegotiate"))))</f>
        <v/>
      </c>
    </row>
    <row r="119">
      <c r="A119" t="n">
        <v>118</v>
      </c>
      <c r="B119" t="inlineStr">
        <is>
          <t>NG-DRN-008</t>
        </is>
      </c>
      <c r="C119" t="inlineStr">
        <is>
          <t>DJI Pocket 3 - Pocket-Sized Gimbal Camera with 1-Inch Sensor</t>
        </is>
      </c>
      <c r="D119" t="inlineStr">
        <is>
          <t>Drones &amp;amp; Robotics</t>
        </is>
      </c>
      <c r="E119" s="11" t="n">
        <v>2999</v>
      </c>
      <c r="F119" s="12" t="inlineStr">
        <is>
          <t>🔗 Search</t>
        </is>
      </c>
      <c r="G119" s="12" t="inlineStr">
        <is>
          <t>🔗 Amazon</t>
        </is>
      </c>
      <c r="H119" s="12" t="inlineStr">
        <is>
          <t>🔗 Noon</t>
        </is>
      </c>
      <c r="I119" s="12" t="inlineStr">
        <is>
          <t>🔗 Jarir</t>
        </is>
      </c>
      <c r="J119" s="5" t="n"/>
      <c r="K119" s="6" t="n"/>
      <c r="L119" s="6" t="n"/>
      <c r="M119" s="7">
        <f>IF(J119="","",J119*3.75)</f>
        <v/>
      </c>
      <c r="N119" s="7">
        <f>IFERROR(MIN(IF(M119&lt;&gt;"",M119,9E9),IF(K119&lt;&gt;"",K119,9E9),IF(L119&lt;&gt;"",L119,9E9)),"")</f>
        <v/>
      </c>
      <c r="O119" s="8">
        <f>IF(OR(N119="",E119=0),"",(E119-N119)/N119)</f>
        <v/>
      </c>
      <c r="P119" s="7">
        <f>IF(N119="","",E119-N119)</f>
        <v/>
      </c>
      <c r="Q119" s="7">
        <f>IF(N119="","",CEILING(MAX(N119*1.4,IF(L119="",N119*1.5,L119*0.95)),10)-1)</f>
        <v/>
      </c>
      <c r="R119" s="9">
        <f>IF(OR(L119="",Q119=""),"",TEXT((Q119-L119)/L119,"+0.0%;-0.0%"))</f>
        <v/>
      </c>
      <c r="S119" s="10">
        <f>IF(N119="","fill prices →",IF(O119&gt;0.5,"✅ PROFITABLE — keep",IF(O119&gt;0.2,"🟡 OK — optimize",IF(O119&gt;0,"⚠️ THIN — raise price or drop","❌ LOSING MONEY — drop or renegotiate"))))</f>
        <v/>
      </c>
    </row>
    <row r="120">
      <c r="A120" s="2" t="n">
        <v>119</v>
      </c>
      <c r="B120" s="2" t="inlineStr">
        <is>
          <t>NG-DRN-007</t>
        </is>
      </c>
      <c r="C120" s="2" t="inlineStr">
        <is>
          <t>Roborock S8 MaxV Ultra - Smart Robot Vacuum with 10,000Pa Suction</t>
        </is>
      </c>
      <c r="D120" s="2" t="inlineStr">
        <is>
          <t>Drones &amp;amp; Robotics</t>
        </is>
      </c>
      <c r="E120" s="3" t="n">
        <v>7699</v>
      </c>
      <c r="F120" s="4" t="inlineStr">
        <is>
          <t>🔗 Search</t>
        </is>
      </c>
      <c r="G120" s="4" t="inlineStr">
        <is>
          <t>🔗 Amazon</t>
        </is>
      </c>
      <c r="H120" s="4" t="inlineStr">
        <is>
          <t>🔗 Noon</t>
        </is>
      </c>
      <c r="I120" s="4" t="inlineStr">
        <is>
          <t>🔗 Jarir</t>
        </is>
      </c>
      <c r="J120" s="5" t="n"/>
      <c r="K120" s="6" t="n"/>
      <c r="L120" s="6" t="n"/>
      <c r="M120" s="7">
        <f>IF(J120="","",J120*3.75)</f>
        <v/>
      </c>
      <c r="N120" s="7">
        <f>IFERROR(MIN(IF(M120&lt;&gt;"",M120,9E9),IF(K120&lt;&gt;"",K120,9E9),IF(L120&lt;&gt;"",L120,9E9)),"")</f>
        <v/>
      </c>
      <c r="O120" s="8">
        <f>IF(OR(N120="",E120=0),"",(E120-N120)/N120)</f>
        <v/>
      </c>
      <c r="P120" s="7">
        <f>IF(N120="","",E120-N120)</f>
        <v/>
      </c>
      <c r="Q120" s="7">
        <f>IF(N120="","",CEILING(MAX(N120*1.4,IF(L120="",N120*1.5,L120*0.95)),10)-1)</f>
        <v/>
      </c>
      <c r="R120" s="9">
        <f>IF(OR(L120="",Q120=""),"",TEXT((Q120-L120)/L120,"+0.0%;-0.0%"))</f>
        <v/>
      </c>
      <c r="S120" s="10">
        <f>IF(N120="","fill prices →",IF(O120&gt;0.5,"✅ PROFITABLE — keep",IF(O120&gt;0.2,"🟡 OK — optimize",IF(O120&gt;0,"⚠️ THIN — raise price or drop","❌ LOSING MONEY — drop or renegotiate"))))</f>
        <v/>
      </c>
    </row>
    <row r="121">
      <c r="A121" t="n">
        <v>120</v>
      </c>
      <c r="B121" t="inlineStr">
        <is>
          <t>NG-DRN-006</t>
        </is>
      </c>
      <c r="C121" t="inlineStr">
        <is>
          <t>FIMI X8 Mini V2 - 4K Drone at 245g with Competitive Pricing</t>
        </is>
      </c>
      <c r="D121" t="inlineStr">
        <is>
          <t>Drones &amp;amp; Robotics</t>
        </is>
      </c>
      <c r="E121" s="11" t="n">
        <v>2399</v>
      </c>
      <c r="F121" s="12" t="inlineStr">
        <is>
          <t>🔗 Search</t>
        </is>
      </c>
      <c r="G121" s="12" t="inlineStr">
        <is>
          <t>🔗 Amazon</t>
        </is>
      </c>
      <c r="H121" s="12" t="inlineStr">
        <is>
          <t>🔗 Noon</t>
        </is>
      </c>
      <c r="I121" s="12" t="inlineStr">
        <is>
          <t>🔗 Jarir</t>
        </is>
      </c>
      <c r="J121" s="5" t="n"/>
      <c r="K121" s="6" t="n"/>
      <c r="L121" s="6" t="n"/>
      <c r="M121" s="7">
        <f>IF(J121="","",J121*3.75)</f>
        <v/>
      </c>
      <c r="N121" s="7">
        <f>IFERROR(MIN(IF(M121&lt;&gt;"",M121,9E9),IF(K121&lt;&gt;"",K121,9E9),IF(L121&lt;&gt;"",L121,9E9)),"")</f>
        <v/>
      </c>
      <c r="O121" s="8">
        <f>IF(OR(N121="",E121=0),"",(E121-N121)/N121)</f>
        <v/>
      </c>
      <c r="P121" s="7">
        <f>IF(N121="","",E121-N121)</f>
        <v/>
      </c>
      <c r="Q121" s="7">
        <f>IF(N121="","",CEILING(MAX(N121*1.4,IF(L121="",N121*1.5,L121*0.95)),10)-1)</f>
        <v/>
      </c>
      <c r="R121" s="9">
        <f>IF(OR(L121="",Q121=""),"",TEXT((Q121-L121)/L121,"+0.0%;-0.0%"))</f>
        <v/>
      </c>
      <c r="S121" s="10">
        <f>IF(N121="","fill prices →",IF(O121&gt;0.5,"✅ PROFITABLE — keep",IF(O121&gt;0.2,"🟡 OK — optimize",IF(O121&gt;0,"⚠️ THIN — raise price or drop","❌ LOSING MONEY — drop or renegotiate"))))</f>
        <v/>
      </c>
    </row>
    <row r="122">
      <c r="A122" s="2" t="n">
        <v>121</v>
      </c>
      <c r="B122" s="2" t="inlineStr">
        <is>
          <t>NG-DRN-005</t>
        </is>
      </c>
      <c r="C122" s="2" t="inlineStr">
        <is>
          <t>Insta360 X4 - 8K 360-Degree Camera</t>
        </is>
      </c>
      <c r="D122" s="2" t="inlineStr">
        <is>
          <t>Drones &amp;amp; Robotics</t>
        </is>
      </c>
      <c r="E122" s="3" t="n">
        <v>3499</v>
      </c>
      <c r="F122" s="4" t="inlineStr">
        <is>
          <t>🔗 Search</t>
        </is>
      </c>
      <c r="G122" s="4" t="inlineStr">
        <is>
          <t>🔗 Amazon</t>
        </is>
      </c>
      <c r="H122" s="4" t="inlineStr">
        <is>
          <t>🔗 Noon</t>
        </is>
      </c>
      <c r="I122" s="4" t="inlineStr">
        <is>
          <t>🔗 Jarir</t>
        </is>
      </c>
      <c r="J122" s="5" t="n"/>
      <c r="K122" s="6" t="n"/>
      <c r="L122" s="6" t="n"/>
      <c r="M122" s="7">
        <f>IF(J122="","",J122*3.75)</f>
        <v/>
      </c>
      <c r="N122" s="7">
        <f>IFERROR(MIN(IF(M122&lt;&gt;"",M122,9E9),IF(K122&lt;&gt;"",K122,9E9),IF(L122&lt;&gt;"",L122,9E9)),"")</f>
        <v/>
      </c>
      <c r="O122" s="8">
        <f>IF(OR(N122="",E122=0),"",(E122-N122)/N122)</f>
        <v/>
      </c>
      <c r="P122" s="7">
        <f>IF(N122="","",E122-N122)</f>
        <v/>
      </c>
      <c r="Q122" s="7">
        <f>IF(N122="","",CEILING(MAX(N122*1.4,IF(L122="",N122*1.5,L122*0.95)),10)-1)</f>
        <v/>
      </c>
      <c r="R122" s="9">
        <f>IF(OR(L122="",Q122=""),"",TEXT((Q122-L122)/L122,"+0.0%;-0.0%"))</f>
        <v/>
      </c>
      <c r="S122" s="10">
        <f>IF(N122="","fill prices →",IF(O122&gt;0.5,"✅ PROFITABLE — keep",IF(O122&gt;0.2,"🟡 OK — optimize",IF(O122&gt;0,"⚠️ THIN — raise price or drop","❌ LOSING MONEY — drop or renegotiate"))))</f>
        <v/>
      </c>
    </row>
    <row r="123">
      <c r="A123" t="n">
        <v>122</v>
      </c>
      <c r="B123" t="inlineStr">
        <is>
          <t>NG-DRN-004</t>
        </is>
      </c>
      <c r="C123" t="inlineStr">
        <is>
          <t>DJI RS 4 - 3-Axis Gimbal Stabilizer for Professional Cameras</t>
        </is>
      </c>
      <c r="D123" t="inlineStr">
        <is>
          <t>Drones &amp;amp; Robotics</t>
        </is>
      </c>
      <c r="E123" s="11" t="n">
        <v>3099</v>
      </c>
      <c r="F123" s="12" t="inlineStr">
        <is>
          <t>🔗 Search</t>
        </is>
      </c>
      <c r="G123" s="12" t="inlineStr">
        <is>
          <t>🔗 Amazon</t>
        </is>
      </c>
      <c r="H123" s="12" t="inlineStr">
        <is>
          <t>🔗 Noon</t>
        </is>
      </c>
      <c r="I123" s="12" t="inlineStr">
        <is>
          <t>🔗 Jarir</t>
        </is>
      </c>
      <c r="J123" s="5" t="n"/>
      <c r="K123" s="6" t="n"/>
      <c r="L123" s="6" t="n"/>
      <c r="M123" s="7">
        <f>IF(J123="","",J123*3.75)</f>
        <v/>
      </c>
      <c r="N123" s="7">
        <f>IFERROR(MIN(IF(M123&lt;&gt;"",M123,9E9),IF(K123&lt;&gt;"",K123,9E9),IF(L123&lt;&gt;"",L123,9E9)),"")</f>
        <v/>
      </c>
      <c r="O123" s="8">
        <f>IF(OR(N123="",E123=0),"",(E123-N123)/N123)</f>
        <v/>
      </c>
      <c r="P123" s="7">
        <f>IF(N123="","",E123-N123)</f>
        <v/>
      </c>
      <c r="Q123" s="7">
        <f>IF(N123="","",CEILING(MAX(N123*1.4,IF(L123="",N123*1.5,L123*0.95)),10)-1)</f>
        <v/>
      </c>
      <c r="R123" s="9">
        <f>IF(OR(L123="",Q123=""),"",TEXT((Q123-L123)/L123,"+0.0%;-0.0%"))</f>
        <v/>
      </c>
      <c r="S123" s="10">
        <f>IF(N123="","fill prices →",IF(O123&gt;0.5,"✅ PROFITABLE — keep",IF(O123&gt;0.2,"🟡 OK — optimize",IF(O123&gt;0,"⚠️ THIN — raise price or drop","❌ LOSING MONEY — drop or renegotiate"))))</f>
        <v/>
      </c>
    </row>
    <row r="124">
      <c r="A124" s="2" t="n">
        <v>123</v>
      </c>
      <c r="B124" s="2" t="inlineStr">
        <is>
          <t>NG-DRN-003</t>
        </is>
      </c>
      <c r="C124" s="2" t="inlineStr">
        <is>
          <t>DJI Osmo Action 5 Pro - 4K/120fps Waterproof Action Camera</t>
        </is>
      </c>
      <c r="D124" s="2" t="inlineStr">
        <is>
          <t>Drones &amp;amp; Robotics</t>
        </is>
      </c>
      <c r="E124" s="3" t="n">
        <v>2499</v>
      </c>
      <c r="F124" s="4" t="inlineStr">
        <is>
          <t>🔗 Search</t>
        </is>
      </c>
      <c r="G124" s="4" t="inlineStr">
        <is>
          <t>🔗 Amazon</t>
        </is>
      </c>
      <c r="H124" s="4" t="inlineStr">
        <is>
          <t>🔗 Noon</t>
        </is>
      </c>
      <c r="I124" s="4" t="inlineStr">
        <is>
          <t>🔗 Jarir</t>
        </is>
      </c>
      <c r="J124" s="5" t="n"/>
      <c r="K124" s="6" t="n"/>
      <c r="L124" s="6" t="n"/>
      <c r="M124" s="7">
        <f>IF(J124="","",J124*3.75)</f>
        <v/>
      </c>
      <c r="N124" s="7">
        <f>IFERROR(MIN(IF(M124&lt;&gt;"",M124,9E9),IF(K124&lt;&gt;"",K124,9E9),IF(L124&lt;&gt;"",L124,9E9)),"")</f>
        <v/>
      </c>
      <c r="O124" s="8">
        <f>IF(OR(N124="",E124=0),"",(E124-N124)/N124)</f>
        <v/>
      </c>
      <c r="P124" s="7">
        <f>IF(N124="","",E124-N124)</f>
        <v/>
      </c>
      <c r="Q124" s="7">
        <f>IF(N124="","",CEILING(MAX(N124*1.4,IF(L124="",N124*1.5,L124*0.95)),10)-1)</f>
        <v/>
      </c>
      <c r="R124" s="9">
        <f>IF(OR(L124="",Q124=""),"",TEXT((Q124-L124)/L124,"+0.0%;-0.0%"))</f>
        <v/>
      </c>
      <c r="S124" s="10">
        <f>IF(N124="","fill prices →",IF(O124&gt;0.5,"✅ PROFITABLE — keep",IF(O124&gt;0.2,"🟡 OK — optimize",IF(O124&gt;0,"⚠️ THIN — raise price or drop","❌ LOSING MONEY — drop or renegotiate"))))</f>
        <v/>
      </c>
    </row>
    <row r="125">
      <c r="A125" t="n">
        <v>124</v>
      </c>
      <c r="B125" t="inlineStr">
        <is>
          <t>NG-DRN-002</t>
        </is>
      </c>
      <c r="C125" t="inlineStr">
        <is>
          <t>DJI Avata 2 - Immersive FPV Drone with Goggles</t>
        </is>
      </c>
      <c r="D125" t="inlineStr">
        <is>
          <t>Drones &amp;amp; Robotics</t>
        </is>
      </c>
      <c r="E125" s="11" t="n">
        <v>4099</v>
      </c>
      <c r="F125" s="12" t="inlineStr">
        <is>
          <t>🔗 Search</t>
        </is>
      </c>
      <c r="G125" s="12" t="inlineStr">
        <is>
          <t>🔗 Amazon</t>
        </is>
      </c>
      <c r="H125" s="12" t="inlineStr">
        <is>
          <t>🔗 Noon</t>
        </is>
      </c>
      <c r="I125" s="12" t="inlineStr">
        <is>
          <t>🔗 Jarir</t>
        </is>
      </c>
      <c r="J125" s="5" t="n"/>
      <c r="K125" s="6" t="n"/>
      <c r="L125" s="6" t="n"/>
      <c r="M125" s="7">
        <f>IF(J125="","",J125*3.75)</f>
        <v/>
      </c>
      <c r="N125" s="7">
        <f>IFERROR(MIN(IF(M125&lt;&gt;"",M125,9E9),IF(K125&lt;&gt;"",K125,9E9),IF(L125&lt;&gt;"",L125,9E9)),"")</f>
        <v/>
      </c>
      <c r="O125" s="8">
        <f>IF(OR(N125="",E125=0),"",(E125-N125)/N125)</f>
        <v/>
      </c>
      <c r="P125" s="7">
        <f>IF(N125="","",E125-N125)</f>
        <v/>
      </c>
      <c r="Q125" s="7">
        <f>IF(N125="","",CEILING(MAX(N125*1.4,IF(L125="",N125*1.5,L125*0.95)),10)-1)</f>
        <v/>
      </c>
      <c r="R125" s="9">
        <f>IF(OR(L125="",Q125=""),"",TEXT((Q125-L125)/L125,"+0.0%;-0.0%"))</f>
        <v/>
      </c>
      <c r="S125" s="10">
        <f>IF(N125="","fill prices →",IF(O125&gt;0.5,"✅ PROFITABLE — keep",IF(O125&gt;0.2,"🟡 OK — optimize",IF(O125&gt;0,"⚠️ THIN — raise price or drop","❌ LOSING MONEY — drop or renegotiate"))))</f>
        <v/>
      </c>
    </row>
    <row r="126">
      <c r="A126" s="2" t="n">
        <v>125</v>
      </c>
      <c r="B126" s="2" t="inlineStr">
        <is>
          <t>NG-DRN-001</t>
        </is>
      </c>
      <c r="C126" s="2" t="inlineStr">
        <is>
          <t>DJI Mini 4 Pro - Sub-249g Drone with 4K/60fps Camera</t>
        </is>
      </c>
      <c r="D126" s="2" t="inlineStr">
        <is>
          <t>Drones &amp;amp; Robotics</t>
        </is>
      </c>
      <c r="E126" s="3" t="n">
        <v>6099</v>
      </c>
      <c r="F126" s="4" t="inlineStr">
        <is>
          <t>🔗 Search</t>
        </is>
      </c>
      <c r="G126" s="4" t="inlineStr">
        <is>
          <t>🔗 Amazon</t>
        </is>
      </c>
      <c r="H126" s="4" t="inlineStr">
        <is>
          <t>🔗 Noon</t>
        </is>
      </c>
      <c r="I126" s="4" t="inlineStr">
        <is>
          <t>🔗 Jarir</t>
        </is>
      </c>
      <c r="J126" s="5" t="n"/>
      <c r="K126" s="6" t="n"/>
      <c r="L126" s="6" t="n"/>
      <c r="M126" s="7">
        <f>IF(J126="","",J126*3.75)</f>
        <v/>
      </c>
      <c r="N126" s="7">
        <f>IFERROR(MIN(IF(M126&lt;&gt;"",M126,9E9),IF(K126&lt;&gt;"",K126,9E9),IF(L126&lt;&gt;"",L126,9E9)),"")</f>
        <v/>
      </c>
      <c r="O126" s="8">
        <f>IF(OR(N126="",E126=0),"",(E126-N126)/N126)</f>
        <v/>
      </c>
      <c r="P126" s="7">
        <f>IF(N126="","",E126-N126)</f>
        <v/>
      </c>
      <c r="Q126" s="7">
        <f>IF(N126="","",CEILING(MAX(N126*1.4,IF(L126="",N126*1.5,L126*0.95)),10)-1)</f>
        <v/>
      </c>
      <c r="R126" s="9">
        <f>IF(OR(L126="",Q126=""),"",TEXT((Q126-L126)/L126,"+0.0%;-0.0%"))</f>
        <v/>
      </c>
      <c r="S126" s="10">
        <f>IF(N126="","fill prices →",IF(O126&gt;0.5,"✅ PROFITABLE — keep",IF(O126&gt;0.2,"🟡 OK — optimize",IF(O126&gt;0,"⚠️ THIN — raise price or drop","❌ LOSING MONEY — drop or renegotiate"))))</f>
        <v/>
      </c>
    </row>
    <row r="127">
      <c r="A127" t="n">
        <v>126</v>
      </c>
      <c r="B127" t="inlineStr">
        <is>
          <t>NG-CBL-008</t>
        </is>
      </c>
      <c r="C127" t="inlineStr">
        <is>
          <t>HDMI 2.1 8K Fiber Optic Cable (10m) - Zero Signal Loss</t>
        </is>
      </c>
      <c r="D127" t="inlineStr">
        <is>
          <t>Cables &amp;amp; Adapters</t>
        </is>
      </c>
      <c r="E127" s="11" t="n">
        <v>359</v>
      </c>
      <c r="F127" s="12" t="inlineStr">
        <is>
          <t>🔗 Search</t>
        </is>
      </c>
      <c r="G127" s="12" t="inlineStr">
        <is>
          <t>🔗 Amazon</t>
        </is>
      </c>
      <c r="H127" s="12" t="inlineStr">
        <is>
          <t>🔗 Noon</t>
        </is>
      </c>
      <c r="I127" s="12" t="inlineStr">
        <is>
          <t>🔗 Jarir</t>
        </is>
      </c>
      <c r="J127" s="5" t="n"/>
      <c r="K127" s="6" t="n"/>
      <c r="L127" s="6" t="n"/>
      <c r="M127" s="7">
        <f>IF(J127="","",J127*3.75)</f>
        <v/>
      </c>
      <c r="N127" s="7">
        <f>IFERROR(MIN(IF(M127&lt;&gt;"",M127,9E9),IF(K127&lt;&gt;"",K127,9E9),IF(L127&lt;&gt;"",L127,9E9)),"")</f>
        <v/>
      </c>
      <c r="O127" s="8">
        <f>IF(OR(N127="",E127=0),"",(E127-N127)/N127)</f>
        <v/>
      </c>
      <c r="P127" s="7">
        <f>IF(N127="","",E127-N127)</f>
        <v/>
      </c>
      <c r="Q127" s="7">
        <f>IF(N127="","",CEILING(MAX(N127*1.4,IF(L127="",N127*1.5,L127*0.95)),10)-1)</f>
        <v/>
      </c>
      <c r="R127" s="9">
        <f>IF(OR(L127="",Q127=""),"",TEXT((Q127-L127)/L127,"+0.0%;-0.0%"))</f>
        <v/>
      </c>
      <c r="S127" s="10">
        <f>IF(N127="","fill prices →",IF(O127&gt;0.5,"✅ PROFITABLE — keep",IF(O127&gt;0.2,"🟡 OK — optimize",IF(O127&gt;0,"⚠️ THIN — raise price or drop","❌ LOSING MONEY — drop or renegotiate"))))</f>
        <v/>
      </c>
    </row>
    <row r="128">
      <c r="A128" s="2" t="n">
        <v>127</v>
      </c>
      <c r="B128" s="2" t="inlineStr">
        <is>
          <t>NG-CBL-007</t>
        </is>
      </c>
      <c r="C128" s="2" t="inlineStr">
        <is>
          <t>DAC SFP+ 10G Direct Attach Cable (3m) - Direct Switch-to-Switch Connection</t>
        </is>
      </c>
      <c r="D128" s="2" t="inlineStr">
        <is>
          <t>Cables &amp;amp; Adapters</t>
        </is>
      </c>
      <c r="E128" s="3" t="n">
        <v>229</v>
      </c>
      <c r="F128" s="4" t="inlineStr">
        <is>
          <t>🔗 Search</t>
        </is>
      </c>
      <c r="G128" s="4" t="inlineStr">
        <is>
          <t>🔗 Amazon</t>
        </is>
      </c>
      <c r="H128" s="4" t="inlineStr">
        <is>
          <t>🔗 Noon</t>
        </is>
      </c>
      <c r="I128" s="4" t="inlineStr">
        <is>
          <t>🔗 Jarir</t>
        </is>
      </c>
      <c r="J128" s="5" t="n"/>
      <c r="K128" s="6" t="n"/>
      <c r="L128" s="6" t="n"/>
      <c r="M128" s="7">
        <f>IF(J128="","",J128*3.75)</f>
        <v/>
      </c>
      <c r="N128" s="7">
        <f>IFERROR(MIN(IF(M128&lt;&gt;"",M128,9E9),IF(K128&lt;&gt;"",K128,9E9),IF(L128&lt;&gt;"",L128,9E9)),"")</f>
        <v/>
      </c>
      <c r="O128" s="8">
        <f>IF(OR(N128="",E128=0),"",(E128-N128)/N128)</f>
        <v/>
      </c>
      <c r="P128" s="7">
        <f>IF(N128="","",E128-N128)</f>
        <v/>
      </c>
      <c r="Q128" s="7">
        <f>IF(N128="","",CEILING(MAX(N128*1.4,IF(L128="",N128*1.5,L128*0.95)),10)-1)</f>
        <v/>
      </c>
      <c r="R128" s="9">
        <f>IF(OR(L128="",Q128=""),"",TEXT((Q128-L128)/L128,"+0.0%;-0.0%"))</f>
        <v/>
      </c>
      <c r="S128" s="10">
        <f>IF(N128="","fill prices →",IF(O128&gt;0.5,"✅ PROFITABLE — keep",IF(O128&gt;0.2,"🟡 OK — optimize",IF(O128&gt;0,"⚠️ THIN — raise price or drop","❌ LOSING MONEY — drop or renegotiate"))))</f>
        <v/>
      </c>
    </row>
    <row r="129">
      <c r="A129" t="n">
        <v>128</v>
      </c>
      <c r="B129" t="inlineStr">
        <is>
          <t>NG-CBL-006</t>
        </is>
      </c>
      <c r="C129" t="inlineStr">
        <is>
          <t>Ugreen 5-in-1 USB-C Dock - HDMI 4K + Ethernet + USB 3.0</t>
        </is>
      </c>
      <c r="D129" t="inlineStr">
        <is>
          <t>Cables &amp;amp; Adapters</t>
        </is>
      </c>
      <c r="E129" s="11" t="n">
        <v>249</v>
      </c>
      <c r="F129" s="12" t="inlineStr">
        <is>
          <t>🔗 Search</t>
        </is>
      </c>
      <c r="G129" s="12" t="inlineStr">
        <is>
          <t>🔗 Amazon</t>
        </is>
      </c>
      <c r="H129" s="12" t="inlineStr">
        <is>
          <t>🔗 Noon</t>
        </is>
      </c>
      <c r="I129" s="12" t="inlineStr">
        <is>
          <t>🔗 Jarir</t>
        </is>
      </c>
      <c r="J129" s="5" t="n"/>
      <c r="K129" s="6" t="n"/>
      <c r="L129" s="6" t="n"/>
      <c r="M129" s="7">
        <f>IF(J129="","",J129*3.75)</f>
        <v/>
      </c>
      <c r="N129" s="7">
        <f>IFERROR(MIN(IF(M129&lt;&gt;"",M129,9E9),IF(K129&lt;&gt;"",K129,9E9),IF(L129&lt;&gt;"",L129,9E9)),"")</f>
        <v/>
      </c>
      <c r="O129" s="8">
        <f>IF(OR(N129="",E129=0),"",(E129-N129)/N129)</f>
        <v/>
      </c>
      <c r="P129" s="7">
        <f>IF(N129="","",E129-N129)</f>
        <v/>
      </c>
      <c r="Q129" s="7">
        <f>IF(N129="","",CEILING(MAX(N129*1.4,IF(L129="",N129*1.5,L129*0.95)),10)-1)</f>
        <v/>
      </c>
      <c r="R129" s="9">
        <f>IF(OR(L129="",Q129=""),"",TEXT((Q129-L129)/L129,"+0.0%;-0.0%"))</f>
        <v/>
      </c>
      <c r="S129" s="10">
        <f>IF(N129="","fill prices →",IF(O129&gt;0.5,"✅ PROFITABLE — keep",IF(O129&gt;0.2,"🟡 OK — optimize",IF(O129&gt;0,"⚠️ THIN — raise price or drop","❌ LOSING MONEY — drop or renegotiate"))))</f>
        <v/>
      </c>
    </row>
    <row r="130">
      <c r="A130" s="2" t="n">
        <v>129</v>
      </c>
      <c r="B130" s="2" t="inlineStr">
        <is>
          <t>NG-CBL-005</t>
        </is>
      </c>
      <c r="C130" s="2" t="inlineStr">
        <is>
          <t>Baseus USB-C 100W Charging Cable (2m) - Fast Charge for Laptops and Phones</t>
        </is>
      </c>
      <c r="D130" s="2" t="inlineStr">
        <is>
          <t>Cables &amp;amp; Adapters</t>
        </is>
      </c>
      <c r="E130" s="3" t="n">
        <v>109</v>
      </c>
      <c r="F130" s="4" t="inlineStr">
        <is>
          <t>🔗 Search</t>
        </is>
      </c>
      <c r="G130" s="4" t="inlineStr">
        <is>
          <t>🔗 Amazon</t>
        </is>
      </c>
      <c r="H130" s="4" t="inlineStr">
        <is>
          <t>🔗 Noon</t>
        </is>
      </c>
      <c r="I130" s="4" t="inlineStr">
        <is>
          <t>🔗 Jarir</t>
        </is>
      </c>
      <c r="J130" s="5" t="n"/>
      <c r="K130" s="6" t="n"/>
      <c r="L130" s="6" t="n"/>
      <c r="M130" s="7">
        <f>IF(J130="","",J130*3.75)</f>
        <v/>
      </c>
      <c r="N130" s="7">
        <f>IFERROR(MIN(IF(M130&lt;&gt;"",M130,9E9),IF(K130&lt;&gt;"",K130,9E9),IF(L130&lt;&gt;"",L130,9E9)),"")</f>
        <v/>
      </c>
      <c r="O130" s="8">
        <f>IF(OR(N130="",E130=0),"",(E130-N130)/N130)</f>
        <v/>
      </c>
      <c r="P130" s="7">
        <f>IF(N130="","",E130-N130)</f>
        <v/>
      </c>
      <c r="Q130" s="7">
        <f>IF(N130="","",CEILING(MAX(N130*1.4,IF(L130="",N130*1.5,L130*0.95)),10)-1)</f>
        <v/>
      </c>
      <c r="R130" s="9">
        <f>IF(OR(L130="",Q130=""),"",TEXT((Q130-L130)/L130,"+0.0%;-0.0%"))</f>
        <v/>
      </c>
      <c r="S130" s="10">
        <f>IF(N130="","fill prices →",IF(O130&gt;0.5,"✅ PROFITABLE — keep",IF(O130&gt;0.2,"🟡 OK — optimize",IF(O130&gt;0,"⚠️ THIN — raise price or drop","❌ LOSING MONEY — drop or renegotiate"))))</f>
        <v/>
      </c>
    </row>
    <row r="131">
      <c r="A131" t="n">
        <v>130</v>
      </c>
      <c r="B131" t="inlineStr">
        <is>
          <t>NG-CBL-004</t>
        </is>
      </c>
      <c r="C131" t="inlineStr">
        <is>
          <t>Ugreen Cat 8 Ethernet Cable (5m) - 40Gbps Network Cable</t>
        </is>
      </c>
      <c r="D131" t="inlineStr">
        <is>
          <t>Cables &amp;amp; Adapters</t>
        </is>
      </c>
      <c r="E131" s="11" t="n">
        <v>149</v>
      </c>
      <c r="F131" s="12" t="inlineStr">
        <is>
          <t>🔗 Search</t>
        </is>
      </c>
      <c r="G131" s="12" t="inlineStr">
        <is>
          <t>🔗 Amazon</t>
        </is>
      </c>
      <c r="H131" s="12" t="inlineStr">
        <is>
          <t>🔗 Noon</t>
        </is>
      </c>
      <c r="I131" s="12" t="inlineStr">
        <is>
          <t>🔗 Jarir</t>
        </is>
      </c>
      <c r="J131" s="5" t="n"/>
      <c r="K131" s="6" t="n"/>
      <c r="L131" s="6" t="n"/>
      <c r="M131" s="7">
        <f>IF(J131="","",J131*3.75)</f>
        <v/>
      </c>
      <c r="N131" s="7">
        <f>IFERROR(MIN(IF(M131&lt;&gt;"",M131,9E9),IF(K131&lt;&gt;"",K131,9E9),IF(L131&lt;&gt;"",L131,9E9)),"")</f>
        <v/>
      </c>
      <c r="O131" s="8">
        <f>IF(OR(N131="",E131=0),"",(E131-N131)/N131)</f>
        <v/>
      </c>
      <c r="P131" s="7">
        <f>IF(N131="","",E131-N131)</f>
        <v/>
      </c>
      <c r="Q131" s="7">
        <f>IF(N131="","",CEILING(MAX(N131*1.4,IF(L131="",N131*1.5,L131*0.95)),10)-1)</f>
        <v/>
      </c>
      <c r="R131" s="9">
        <f>IF(OR(L131="",Q131=""),"",TEXT((Q131-L131)/L131,"+0.0%;-0.0%"))</f>
        <v/>
      </c>
      <c r="S131" s="10">
        <f>IF(N131="","fill prices →",IF(O131&gt;0.5,"✅ PROFITABLE — keep",IF(O131&gt;0.2,"🟡 OK — optimize",IF(O131&gt;0,"⚠️ THIN — raise price or drop","❌ LOSING MONEY — drop or renegotiate"))))</f>
        <v/>
      </c>
    </row>
    <row r="132">
      <c r="A132" s="2" t="n">
        <v>131</v>
      </c>
      <c r="B132" s="2" t="inlineStr">
        <is>
          <t>NG-CBL-003</t>
        </is>
      </c>
      <c r="C132" s="2" t="inlineStr">
        <is>
          <t>Cable Matters Thunderbolt 4 Cable (2m) - 40Gbps with 100W Charging</t>
        </is>
      </c>
      <c r="D132" s="2" t="inlineStr">
        <is>
          <t>Cables &amp;amp; Adapters</t>
        </is>
      </c>
      <c r="E132" s="3" t="n">
        <v>419</v>
      </c>
      <c r="F132" s="4" t="inlineStr">
        <is>
          <t>🔗 Search</t>
        </is>
      </c>
      <c r="G132" s="4" t="inlineStr">
        <is>
          <t>🔗 Amazon</t>
        </is>
      </c>
      <c r="H132" s="4" t="inlineStr">
        <is>
          <t>🔗 Noon</t>
        </is>
      </c>
      <c r="I132" s="4" t="inlineStr">
        <is>
          <t>🔗 Jarir</t>
        </is>
      </c>
      <c r="J132" s="5" t="n"/>
      <c r="K132" s="6" t="n"/>
      <c r="L132" s="6" t="n"/>
      <c r="M132" s="7">
        <f>IF(J132="","",J132*3.75)</f>
        <v/>
      </c>
      <c r="N132" s="7">
        <f>IFERROR(MIN(IF(M132&lt;&gt;"",M132,9E9),IF(K132&lt;&gt;"",K132,9E9),IF(L132&lt;&gt;"",L132,9E9)),"")</f>
        <v/>
      </c>
      <c r="O132" s="8">
        <f>IF(OR(N132="",E132=0),"",(E132-N132)/N132)</f>
        <v/>
      </c>
      <c r="P132" s="7">
        <f>IF(N132="","",E132-N132)</f>
        <v/>
      </c>
      <c r="Q132" s="7">
        <f>IF(N132="","",CEILING(MAX(N132*1.4,IF(L132="",N132*1.5,L132*0.95)),10)-1)</f>
        <v/>
      </c>
      <c r="R132" s="9">
        <f>IF(OR(L132="",Q132=""),"",TEXT((Q132-L132)/L132,"+0.0%;-0.0%"))</f>
        <v/>
      </c>
      <c r="S132" s="10">
        <f>IF(N132="","fill prices →",IF(O132&gt;0.5,"✅ PROFITABLE — keep",IF(O132&gt;0.2,"🟡 OK — optimize",IF(O132&gt;0,"⚠️ THIN — raise price or drop","❌ LOSING MONEY — drop or renegotiate"))))</f>
        <v/>
      </c>
    </row>
    <row r="133">
      <c r="A133" t="n">
        <v>132</v>
      </c>
      <c r="B133" t="inlineStr">
        <is>
          <t>NG-CBL-002</t>
        </is>
      </c>
      <c r="C133" t="inlineStr">
        <is>
          <t>Anker USB-C Hub 7-in-1 - Multi-Port Adapter for Laptops</t>
        </is>
      </c>
      <c r="D133" t="inlineStr">
        <is>
          <t>Cables &amp;amp; Adapters</t>
        </is>
      </c>
      <c r="E133" s="11" t="n">
        <v>349</v>
      </c>
      <c r="F133" s="12" t="inlineStr">
        <is>
          <t>🔗 Search</t>
        </is>
      </c>
      <c r="G133" s="12" t="inlineStr">
        <is>
          <t>🔗 Amazon</t>
        </is>
      </c>
      <c r="H133" s="12" t="inlineStr">
        <is>
          <t>🔗 Noon</t>
        </is>
      </c>
      <c r="I133" s="12" t="inlineStr">
        <is>
          <t>🔗 Jarir</t>
        </is>
      </c>
      <c r="J133" s="5" t="n"/>
      <c r="K133" s="6" t="n"/>
      <c r="L133" s="6" t="n"/>
      <c r="M133" s="7">
        <f>IF(J133="","",J133*3.75)</f>
        <v/>
      </c>
      <c r="N133" s="7">
        <f>IFERROR(MIN(IF(M133&lt;&gt;"",M133,9E9),IF(K133&lt;&gt;"",K133,9E9),IF(L133&lt;&gt;"",L133,9E9)),"")</f>
        <v/>
      </c>
      <c r="O133" s="8">
        <f>IF(OR(N133="",E133=0),"",(E133-N133)/N133)</f>
        <v/>
      </c>
      <c r="P133" s="7">
        <f>IF(N133="","",E133-N133)</f>
        <v/>
      </c>
      <c r="Q133" s="7">
        <f>IF(N133="","",CEILING(MAX(N133*1.4,IF(L133="",N133*1.5,L133*0.95)),10)-1)</f>
        <v/>
      </c>
      <c r="R133" s="9">
        <f>IF(OR(L133="",Q133=""),"",TEXT((Q133-L133)/L133,"+0.0%;-0.0%"))</f>
        <v/>
      </c>
      <c r="S133" s="10">
        <f>IF(N133="","fill prices →",IF(O133&gt;0.5,"✅ PROFITABLE — keep",IF(O133&gt;0.2,"🟡 OK — optimize",IF(O133&gt;0,"⚠️ THIN — raise price or drop","❌ LOSING MONEY — drop or renegotiate"))))</f>
        <v/>
      </c>
    </row>
    <row r="134">
      <c r="A134" s="2" t="n">
        <v>133</v>
      </c>
      <c r="B134" s="2" t="inlineStr">
        <is>
          <t>NG-CBL-001</t>
        </is>
      </c>
      <c r="C134" s="2" t="inlineStr">
        <is>
          <t>Ugreen USB-C to HDMI 2.1 Cable (2m) - 8K@60Hz Output</t>
        </is>
      </c>
      <c r="D134" s="2" t="inlineStr">
        <is>
          <t>Cables &amp;amp; Adapters</t>
        </is>
      </c>
      <c r="E134" s="3" t="n">
        <v>219</v>
      </c>
      <c r="F134" s="4" t="inlineStr">
        <is>
          <t>🔗 Search</t>
        </is>
      </c>
      <c r="G134" s="4" t="inlineStr">
        <is>
          <t>🔗 Amazon</t>
        </is>
      </c>
      <c r="H134" s="4" t="inlineStr">
        <is>
          <t>🔗 Noon</t>
        </is>
      </c>
      <c r="I134" s="4" t="inlineStr">
        <is>
          <t>🔗 Jarir</t>
        </is>
      </c>
      <c r="J134" s="5" t="n"/>
      <c r="K134" s="6" t="n"/>
      <c r="L134" s="6" t="n"/>
      <c r="M134" s="7">
        <f>IF(J134="","",J134*3.75)</f>
        <v/>
      </c>
      <c r="N134" s="7">
        <f>IFERROR(MIN(IF(M134&lt;&gt;"",M134,9E9),IF(K134&lt;&gt;"",K134,9E9),IF(L134&lt;&gt;"",L134,9E9)),"")</f>
        <v/>
      </c>
      <c r="O134" s="8">
        <f>IF(OR(N134="",E134=0),"",(E134-N134)/N134)</f>
        <v/>
      </c>
      <c r="P134" s="7">
        <f>IF(N134="","",E134-N134)</f>
        <v/>
      </c>
      <c r="Q134" s="7">
        <f>IF(N134="","",CEILING(MAX(N134*1.4,IF(L134="",N134*1.5,L134*0.95)),10)-1)</f>
        <v/>
      </c>
      <c r="R134" s="9">
        <f>IF(OR(L134="",Q134=""),"",TEXT((Q134-L134)/L134,"+0.0%;-0.0%"))</f>
        <v/>
      </c>
      <c r="S134" s="10">
        <f>IF(N134="","fill prices →",IF(O134&gt;0.5,"✅ PROFITABLE — keep",IF(O134&gt;0.2,"🟡 OK — optimize",IF(O134&gt;0,"⚠️ THIN — raise price or drop","❌ LOSING MONEY — drop or renegotiate"))))</f>
        <v/>
      </c>
    </row>
    <row r="135">
      <c r="A135" t="n">
        <v>134</v>
      </c>
      <c r="B135" t="inlineStr">
        <is>
          <t>NG-3DP-008</t>
        </is>
      </c>
      <c r="C135" t="inlineStr">
        <is>
          <t>Phrozen Sonic Mini 8K S - 22-Micron Pixel Resin 3D Printer</t>
        </is>
      </c>
      <c r="D135" t="inlineStr">
        <is>
          <t>3D Printing &amp;amp; CNC</t>
        </is>
      </c>
      <c r="E135" s="11" t="n">
        <v>2899</v>
      </c>
      <c r="F135" s="12" t="inlineStr">
        <is>
          <t>🔗 Search</t>
        </is>
      </c>
      <c r="G135" s="12" t="inlineStr">
        <is>
          <t>🔗 Amazon</t>
        </is>
      </c>
      <c r="H135" s="12" t="inlineStr">
        <is>
          <t>🔗 Noon</t>
        </is>
      </c>
      <c r="I135" s="12" t="inlineStr">
        <is>
          <t>🔗 Jarir</t>
        </is>
      </c>
      <c r="J135" s="5" t="n"/>
      <c r="K135" s="6" t="n"/>
      <c r="L135" s="6" t="n"/>
      <c r="M135" s="7">
        <f>IF(J135="","",J135*3.75)</f>
        <v/>
      </c>
      <c r="N135" s="7">
        <f>IFERROR(MIN(IF(M135&lt;&gt;"",M135,9E9),IF(K135&lt;&gt;"",K135,9E9),IF(L135&lt;&gt;"",L135,9E9)),"")</f>
        <v/>
      </c>
      <c r="O135" s="8">
        <f>IF(OR(N135="",E135=0),"",(E135-N135)/N135)</f>
        <v/>
      </c>
      <c r="P135" s="7">
        <f>IF(N135="","",E135-N135)</f>
        <v/>
      </c>
      <c r="Q135" s="7">
        <f>IF(N135="","",CEILING(MAX(N135*1.4,IF(L135="",N135*1.5,L135*0.95)),10)-1)</f>
        <v/>
      </c>
      <c r="R135" s="9">
        <f>IF(OR(L135="",Q135=""),"",TEXT((Q135-L135)/L135,"+0.0%;-0.0%"))</f>
        <v/>
      </c>
      <c r="S135" s="10">
        <f>IF(N135="","fill prices →",IF(O135&gt;0.5,"✅ PROFITABLE — keep",IF(O135&gt;0.2,"🟡 OK — optimize",IF(O135&gt;0,"⚠️ THIN — raise price or drop","❌ LOSING MONEY — drop or renegotiate"))))</f>
        <v/>
      </c>
    </row>
    <row r="136">
      <c r="A136" s="2" t="n">
        <v>135</v>
      </c>
      <c r="B136" s="2" t="inlineStr">
        <is>
          <t>NG-3DP-007</t>
        </is>
      </c>
      <c r="C136" s="2" t="inlineStr">
        <is>
          <t>Creality Sonic Pad - Klipper Tablet to Supercharge Your 3D Printer</t>
        </is>
      </c>
      <c r="D136" s="2" t="inlineStr">
        <is>
          <t>3D Printing &amp;amp; CNC</t>
        </is>
      </c>
      <c r="E136" s="3" t="n">
        <v>1049</v>
      </c>
      <c r="F136" s="4" t="inlineStr">
        <is>
          <t>🔗 Search</t>
        </is>
      </c>
      <c r="G136" s="4" t="inlineStr">
        <is>
          <t>🔗 Amazon</t>
        </is>
      </c>
      <c r="H136" s="4" t="inlineStr">
        <is>
          <t>🔗 Noon</t>
        </is>
      </c>
      <c r="I136" s="4" t="inlineStr">
        <is>
          <t>🔗 Jarir</t>
        </is>
      </c>
      <c r="J136" s="5" t="n"/>
      <c r="K136" s="6" t="n"/>
      <c r="L136" s="6" t="n"/>
      <c r="M136" s="7">
        <f>IF(J136="","",J136*3.75)</f>
        <v/>
      </c>
      <c r="N136" s="7">
        <f>IFERROR(MIN(IF(M136&lt;&gt;"",M136,9E9),IF(K136&lt;&gt;"",K136,9E9),IF(L136&lt;&gt;"",L136,9E9)),"")</f>
        <v/>
      </c>
      <c r="O136" s="8">
        <f>IF(OR(N136="",E136=0),"",(E136-N136)/N136)</f>
        <v/>
      </c>
      <c r="P136" s="7">
        <f>IF(N136="","",E136-N136)</f>
        <v/>
      </c>
      <c r="Q136" s="7">
        <f>IF(N136="","",CEILING(MAX(N136*1.4,IF(L136="",N136*1.5,L136*0.95)),10)-1)</f>
        <v/>
      </c>
      <c r="R136" s="9">
        <f>IF(OR(L136="",Q136=""),"",TEXT((Q136-L136)/L136,"+0.0%;-0.0%"))</f>
        <v/>
      </c>
      <c r="S136" s="10">
        <f>IF(N136="","fill prices →",IF(O136&gt;0.5,"✅ PROFITABLE — keep",IF(O136&gt;0.2,"🟡 OK — optimize",IF(O136&gt;0,"⚠️ THIN — raise price or drop","❌ LOSING MONEY — drop or renegotiate"))))</f>
        <v/>
      </c>
    </row>
    <row r="137">
      <c r="A137" t="n">
        <v>136</v>
      </c>
      <c r="B137" t="inlineStr">
        <is>
          <t>NG-3DP-006</t>
        </is>
      </c>
      <c r="C137" t="inlineStr">
        <is>
          <t>BIQU H2 V2S Direct Drive Extruder - Lightweight Upgrade for Your 3D Printer</t>
        </is>
      </c>
      <c r="D137" t="inlineStr">
        <is>
          <t>3D Printing &amp;amp; CNC</t>
        </is>
      </c>
      <c r="E137" s="11" t="n">
        <v>599</v>
      </c>
      <c r="F137" s="12" t="inlineStr">
        <is>
          <t>🔗 Search</t>
        </is>
      </c>
      <c r="G137" s="12" t="inlineStr">
        <is>
          <t>🔗 Amazon</t>
        </is>
      </c>
      <c r="H137" s="12" t="inlineStr">
        <is>
          <t>🔗 Noon</t>
        </is>
      </c>
      <c r="I137" s="12" t="inlineStr">
        <is>
          <t>🔗 Jarir</t>
        </is>
      </c>
      <c r="J137" s="5" t="n"/>
      <c r="K137" s="6" t="n"/>
      <c r="L137" s="6" t="n"/>
      <c r="M137" s="7">
        <f>IF(J137="","",J137*3.75)</f>
        <v/>
      </c>
      <c r="N137" s="7">
        <f>IFERROR(MIN(IF(M137&lt;&gt;"",M137,9E9),IF(K137&lt;&gt;"",K137,9E9),IF(L137&lt;&gt;"",L137,9E9)),"")</f>
        <v/>
      </c>
      <c r="O137" s="8">
        <f>IF(OR(N137="",E137=0),"",(E137-N137)/N137)</f>
        <v/>
      </c>
      <c r="P137" s="7">
        <f>IF(N137="","",E137-N137)</f>
        <v/>
      </c>
      <c r="Q137" s="7">
        <f>IF(N137="","",CEILING(MAX(N137*1.4,IF(L137="",N137*1.5,L137*0.95)),10)-1)</f>
        <v/>
      </c>
      <c r="R137" s="9">
        <f>IF(OR(L137="",Q137=""),"",TEXT((Q137-L137)/L137,"+0.0%;-0.0%"))</f>
        <v/>
      </c>
      <c r="S137" s="10">
        <f>IF(N137="","fill prices →",IF(O137&gt;0.5,"✅ PROFITABLE — keep",IF(O137&gt;0.2,"🟡 OK — optimize",IF(O137&gt;0,"⚠️ THIN — raise price or drop","❌ LOSING MONEY — drop or renegotiate"))))</f>
        <v/>
      </c>
    </row>
    <row r="138">
      <c r="A138" s="2" t="n">
        <v>137</v>
      </c>
      <c r="B138" s="2" t="inlineStr">
        <is>
          <t>NG-3DP-005</t>
        </is>
      </c>
      <c r="C138" s="2" t="inlineStr">
        <is>
          <t>Elegoo Saturn 3 Ultra - 12K Resin 3D Printer with 10-inch Screen</t>
        </is>
      </c>
      <c r="D138" s="2" t="inlineStr">
        <is>
          <t>3D Printing &amp;amp; CNC</t>
        </is>
      </c>
      <c r="E138" s="3" t="n">
        <v>3499</v>
      </c>
      <c r="F138" s="4" t="inlineStr">
        <is>
          <t>🔗 Search</t>
        </is>
      </c>
      <c r="G138" s="4" t="inlineStr">
        <is>
          <t>🔗 Amazon</t>
        </is>
      </c>
      <c r="H138" s="4" t="inlineStr">
        <is>
          <t>🔗 Noon</t>
        </is>
      </c>
      <c r="I138" s="4" t="inlineStr">
        <is>
          <t>🔗 Jarir</t>
        </is>
      </c>
      <c r="J138" s="5" t="n"/>
      <c r="K138" s="6" t="n"/>
      <c r="L138" s="6" t="n"/>
      <c r="M138" s="7">
        <f>IF(J138="","",J138*3.75)</f>
        <v/>
      </c>
      <c r="N138" s="7">
        <f>IFERROR(MIN(IF(M138&lt;&gt;"",M138,9E9),IF(K138&lt;&gt;"",K138,9E9),IF(L138&lt;&gt;"",L138,9E9)),"")</f>
        <v/>
      </c>
      <c r="O138" s="8">
        <f>IF(OR(N138="",E138=0),"",(E138-N138)/N138)</f>
        <v/>
      </c>
      <c r="P138" s="7">
        <f>IF(N138="","",E138-N138)</f>
        <v/>
      </c>
      <c r="Q138" s="7">
        <f>IF(N138="","",CEILING(MAX(N138*1.4,IF(L138="",N138*1.5,L138*0.95)),10)-1)</f>
        <v/>
      </c>
      <c r="R138" s="9">
        <f>IF(OR(L138="",Q138=""),"",TEXT((Q138-L138)/L138,"+0.0%;-0.0%"))</f>
        <v/>
      </c>
      <c r="S138" s="10">
        <f>IF(N138="","fill prices →",IF(O138&gt;0.5,"✅ PROFITABLE — keep",IF(O138&gt;0.2,"🟡 OK — optimize",IF(O138&gt;0,"⚠️ THIN — raise price or drop","❌ LOSING MONEY — drop or renegotiate"))))</f>
        <v/>
      </c>
    </row>
    <row r="139">
      <c r="A139" t="n">
        <v>138</v>
      </c>
      <c r="B139" t="inlineStr">
        <is>
          <t>NG-3DP-004</t>
        </is>
      </c>
      <c r="C139" t="inlineStr">
        <is>
          <t>eSUN PLA+ Filament 10-Color Pack - 10kg Total for 3D Printing</t>
        </is>
      </c>
      <c r="D139" t="inlineStr">
        <is>
          <t>3D Printing &amp;amp; CNC</t>
        </is>
      </c>
      <c r="E139" s="11" t="n">
        <v>1299</v>
      </c>
      <c r="F139" s="12" t="inlineStr">
        <is>
          <t>🔗 Search</t>
        </is>
      </c>
      <c r="G139" s="12" t="inlineStr">
        <is>
          <t>🔗 Amazon</t>
        </is>
      </c>
      <c r="H139" s="12" t="inlineStr">
        <is>
          <t>🔗 Noon</t>
        </is>
      </c>
      <c r="I139" s="12" t="inlineStr">
        <is>
          <t>🔗 Jarir</t>
        </is>
      </c>
      <c r="J139" s="5" t="n"/>
      <c r="K139" s="6" t="n"/>
      <c r="L139" s="6" t="n"/>
      <c r="M139" s="7">
        <f>IF(J139="","",J139*3.75)</f>
        <v/>
      </c>
      <c r="N139" s="7">
        <f>IFERROR(MIN(IF(M139&lt;&gt;"",M139,9E9),IF(K139&lt;&gt;"",K139,9E9),IF(L139&lt;&gt;"",L139,9E9)),"")</f>
        <v/>
      </c>
      <c r="O139" s="8">
        <f>IF(OR(N139="",E139=0),"",(E139-N139)/N139)</f>
        <v/>
      </c>
      <c r="P139" s="7">
        <f>IF(N139="","",E139-N139)</f>
        <v/>
      </c>
      <c r="Q139" s="7">
        <f>IF(N139="","",CEILING(MAX(N139*1.4,IF(L139="",N139*1.5,L139*0.95)),10)-1)</f>
        <v/>
      </c>
      <c r="R139" s="9">
        <f>IF(OR(L139="",Q139=""),"",TEXT((Q139-L139)/L139,"+0.0%;-0.0%"))</f>
        <v/>
      </c>
      <c r="S139" s="10">
        <f>IF(N139="","fill prices →",IF(O139&gt;0.5,"✅ PROFITABLE — keep",IF(O139&gt;0.2,"🟡 OK — optimize",IF(O139&gt;0,"⚠️ THIN — raise price or drop","❌ LOSING MONEY — drop or renegotiate"))))</f>
        <v/>
      </c>
    </row>
    <row r="140">
      <c r="A140" s="2" t="n">
        <v>139</v>
      </c>
      <c r="B140" s="2" t="inlineStr">
        <is>
          <t>NG-3DP-003</t>
        </is>
      </c>
      <c r="C140" s="2" t="inlineStr">
        <is>
          <t>Creality K1 Max - Large Format 3D Printer at 600mm/s</t>
        </is>
      </c>
      <c r="D140" s="2" t="inlineStr">
        <is>
          <t>3D Printing &amp;amp; CNC</t>
        </is>
      </c>
      <c r="E140" s="3" t="n">
        <v>4199</v>
      </c>
      <c r="F140" s="4" t="inlineStr">
        <is>
          <t>🔗 Search</t>
        </is>
      </c>
      <c r="G140" s="4" t="inlineStr">
        <is>
          <t>🔗 Amazon</t>
        </is>
      </c>
      <c r="H140" s="4" t="inlineStr">
        <is>
          <t>🔗 Noon</t>
        </is>
      </c>
      <c r="I140" s="4" t="inlineStr">
        <is>
          <t>🔗 Jarir</t>
        </is>
      </c>
      <c r="J140" s="5" t="n"/>
      <c r="K140" s="6" t="n"/>
      <c r="L140" s="6" t="n"/>
      <c r="M140" s="7">
        <f>IF(J140="","",J140*3.75)</f>
        <v/>
      </c>
      <c r="N140" s="7">
        <f>IFERROR(MIN(IF(M140&lt;&gt;"",M140,9E9),IF(K140&lt;&gt;"",K140,9E9),IF(L140&lt;&gt;"",L140,9E9)),"")</f>
        <v/>
      </c>
      <c r="O140" s="8">
        <f>IF(OR(N140="",E140=0),"",(E140-N140)/N140)</f>
        <v/>
      </c>
      <c r="P140" s="7">
        <f>IF(N140="","",E140-N140)</f>
        <v/>
      </c>
      <c r="Q140" s="7">
        <f>IF(N140="","",CEILING(MAX(N140*1.4,IF(L140="",N140*1.5,L140*0.95)),10)-1)</f>
        <v/>
      </c>
      <c r="R140" s="9">
        <f>IF(OR(L140="",Q140=""),"",TEXT((Q140-L140)/L140,"+0.0%;-0.0%"))</f>
        <v/>
      </c>
      <c r="S140" s="10">
        <f>IF(N140="","fill prices →",IF(O140&gt;0.5,"✅ PROFITABLE — keep",IF(O140&gt;0.2,"🟡 OK — optimize",IF(O140&gt;0,"⚠️ THIN — raise price or drop","❌ LOSING MONEY — drop or renegotiate"))))</f>
        <v/>
      </c>
    </row>
    <row r="141">
      <c r="A141" t="n">
        <v>140</v>
      </c>
      <c r="B141" t="inlineStr">
        <is>
          <t>NG-3DP-002</t>
        </is>
      </c>
      <c r="C141" t="inlineStr">
        <is>
          <t>Bambu Lab AMS - Automatic Material System for Multi-Color 3D Printing</t>
        </is>
      </c>
      <c r="D141" t="inlineStr">
        <is>
          <t>3D Printing &amp;amp; CNC</t>
        </is>
      </c>
      <c r="E141" s="11" t="n">
        <v>1949</v>
      </c>
      <c r="F141" s="12" t="inlineStr">
        <is>
          <t>🔗 Search</t>
        </is>
      </c>
      <c r="G141" s="12" t="inlineStr">
        <is>
          <t>🔗 Amazon</t>
        </is>
      </c>
      <c r="H141" s="12" t="inlineStr">
        <is>
          <t>🔗 Noon</t>
        </is>
      </c>
      <c r="I141" s="12" t="inlineStr">
        <is>
          <t>🔗 Jarir</t>
        </is>
      </c>
      <c r="J141" s="5" t="n"/>
      <c r="K141" s="6" t="n"/>
      <c r="L141" s="6" t="n"/>
      <c r="M141" s="7">
        <f>IF(J141="","",J141*3.75)</f>
        <v/>
      </c>
      <c r="N141" s="7">
        <f>IFERROR(MIN(IF(M141&lt;&gt;"",M141,9E9),IF(K141&lt;&gt;"",K141,9E9),IF(L141&lt;&gt;"",L141,9E9)),"")</f>
        <v/>
      </c>
      <c r="O141" s="8">
        <f>IF(OR(N141="",E141=0),"",(E141-N141)/N141)</f>
        <v/>
      </c>
      <c r="P141" s="7">
        <f>IF(N141="","",E141-N141)</f>
        <v/>
      </c>
      <c r="Q141" s="7">
        <f>IF(N141="","",CEILING(MAX(N141*1.4,IF(L141="",N141*1.5,L141*0.95)),10)-1)</f>
        <v/>
      </c>
      <c r="R141" s="9">
        <f>IF(OR(L141="",Q141=""),"",TEXT((Q141-L141)/L141,"+0.0%;-0.0%"))</f>
        <v/>
      </c>
      <c r="S141" s="10">
        <f>IF(N141="","fill prices →",IF(O141&gt;0.5,"✅ PROFITABLE — keep",IF(O141&gt;0.2,"🟡 OK — optimize",IF(O141&gt;0,"⚠️ THIN — raise price or drop","❌ LOSING MONEY — drop or renegotiate"))))</f>
        <v/>
      </c>
    </row>
    <row r="142">
      <c r="A142" s="2" t="n">
        <v>141</v>
      </c>
      <c r="B142" s="2" t="inlineStr">
        <is>
          <t>NG-3DP-001</t>
        </is>
      </c>
      <c r="C142" s="2" t="inlineStr">
        <is>
          <t>Bambu Lab P1S 3D Printer - Blazing Speed and Pro Quality in an Enclosed Design</t>
        </is>
      </c>
      <c r="D142" s="2" t="inlineStr">
        <is>
          <t>3D Printing &amp;amp; CNC</t>
        </is>
      </c>
      <c r="E142" s="3" t="n">
        <v>5099</v>
      </c>
      <c r="F142" s="4" t="inlineStr">
        <is>
          <t>🔗 Search</t>
        </is>
      </c>
      <c r="G142" s="4" t="inlineStr">
        <is>
          <t>🔗 Amazon</t>
        </is>
      </c>
      <c r="H142" s="4" t="inlineStr">
        <is>
          <t>🔗 Noon</t>
        </is>
      </c>
      <c r="I142" s="4" t="inlineStr">
        <is>
          <t>🔗 Jarir</t>
        </is>
      </c>
      <c r="J142" s="5" t="n"/>
      <c r="K142" s="6" t="n"/>
      <c r="L142" s="6" t="n"/>
      <c r="M142" s="7">
        <f>IF(J142="","",J142*3.75)</f>
        <v/>
      </c>
      <c r="N142" s="7">
        <f>IFERROR(MIN(IF(M142&lt;&gt;"",M142,9E9),IF(K142&lt;&gt;"",K142,9E9),IF(L142&lt;&gt;"",L142,9E9)),"")</f>
        <v/>
      </c>
      <c r="O142" s="8">
        <f>IF(OR(N142="",E142=0),"",(E142-N142)/N142)</f>
        <v/>
      </c>
      <c r="P142" s="7">
        <f>IF(N142="","",E142-N142)</f>
        <v/>
      </c>
      <c r="Q142" s="7">
        <f>IF(N142="","",CEILING(MAX(N142*1.4,IF(L142="",N142*1.5,L142*0.95)),10)-1)</f>
        <v/>
      </c>
      <c r="R142" s="9">
        <f>IF(OR(L142="",Q142=""),"",TEXT((Q142-L142)/L142,"+0.0%;-0.0%"))</f>
        <v/>
      </c>
      <c r="S142" s="10">
        <f>IF(N142="","fill prices →",IF(O142&gt;0.5,"✅ PROFITABLE — keep",IF(O142&gt;0.2,"🟡 OK — optimize",IF(O142&gt;0,"⚠️ THIN — raise price or drop","❌ LOSING MONEY — drop or renegotiate"))))</f>
        <v/>
      </c>
    </row>
    <row r="143">
      <c r="A143" t="n">
        <v>142</v>
      </c>
      <c r="B143" t="inlineStr">
        <is>
          <t>NG-ACC-010</t>
        </is>
      </c>
      <c r="C143" t="inlineStr">
        <is>
          <t>WD Red Plus 8TB NAS Hard Drive - Built for Always-On NAS Systems</t>
        </is>
      </c>
      <c r="D143" t="inlineStr">
        <is>
          <t>Hardware</t>
        </is>
      </c>
      <c r="E143" s="11" t="n">
        <v>1449</v>
      </c>
      <c r="F143" s="12" t="inlineStr">
        <is>
          <t>🔗 Search</t>
        </is>
      </c>
      <c r="G143" s="12" t="inlineStr">
        <is>
          <t>🔗 Amazon</t>
        </is>
      </c>
      <c r="H143" s="12" t="inlineStr">
        <is>
          <t>🔗 Noon</t>
        </is>
      </c>
      <c r="I143" s="12" t="inlineStr">
        <is>
          <t>🔗 Jarir</t>
        </is>
      </c>
      <c r="J143" s="5" t="n"/>
      <c r="K143" s="6" t="n"/>
      <c r="L143" s="6" t="n"/>
      <c r="M143" s="7">
        <f>IF(J143="","",J143*3.75)</f>
        <v/>
      </c>
      <c r="N143" s="7">
        <f>IFERROR(MIN(IF(M143&lt;&gt;"",M143,9E9),IF(K143&lt;&gt;"",K143,9E9),IF(L143&lt;&gt;"",L143,9E9)),"")</f>
        <v/>
      </c>
      <c r="O143" s="8">
        <f>IF(OR(N143="",E143=0),"",(E143-N143)/N143)</f>
        <v/>
      </c>
      <c r="P143" s="7">
        <f>IF(N143="","",E143-N143)</f>
        <v/>
      </c>
      <c r="Q143" s="7">
        <f>IF(N143="","",CEILING(MAX(N143*1.4,IF(L143="",N143*1.5,L143*0.95)),10)-1)</f>
        <v/>
      </c>
      <c r="R143" s="9">
        <f>IF(OR(L143="",Q143=""),"",TEXT((Q143-L143)/L143,"+0.0%;-0.0%"))</f>
        <v/>
      </c>
      <c r="S143" s="10">
        <f>IF(N143="","fill prices →",IF(O143&gt;0.5,"✅ PROFITABLE — keep",IF(O143&gt;0.2,"🟡 OK — optimize",IF(O143&gt;0,"⚠️ THIN — raise price or drop","❌ LOSING MONEY — drop or renegotiate"))))</f>
        <v/>
      </c>
    </row>
    <row r="144">
      <c r="A144" s="2" t="n">
        <v>143</v>
      </c>
      <c r="B144" s="2" t="inlineStr">
        <is>
          <t>NG-ACC-009</t>
        </is>
      </c>
      <c r="C144" s="2" t="inlineStr">
        <is>
          <t>Ugreen Nexode 100W GaN Charger - 4-Port Gallium Nitride Fast Charger</t>
        </is>
      </c>
      <c r="D144" s="2" t="inlineStr">
        <is>
          <t>Accessories &amp;amp; Lifestyle</t>
        </is>
      </c>
      <c r="E144" s="3" t="n">
        <v>439</v>
      </c>
      <c r="F144" s="4" t="inlineStr">
        <is>
          <t>🔗 Search</t>
        </is>
      </c>
      <c r="G144" s="4" t="inlineStr">
        <is>
          <t>🔗 Amazon</t>
        </is>
      </c>
      <c r="H144" s="4" t="inlineStr">
        <is>
          <t>🔗 Noon</t>
        </is>
      </c>
      <c r="I144" s="4" t="inlineStr">
        <is>
          <t>🔗 Jarir</t>
        </is>
      </c>
      <c r="J144" s="5" t="n"/>
      <c r="K144" s="6" t="n"/>
      <c r="L144" s="6" t="n"/>
      <c r="M144" s="7">
        <f>IF(J144="","",J144*3.75)</f>
        <v/>
      </c>
      <c r="N144" s="7">
        <f>IFERROR(MIN(IF(M144&lt;&gt;"",M144,9E9),IF(K144&lt;&gt;"",K144,9E9),IF(L144&lt;&gt;"",L144,9E9)),"")</f>
        <v/>
      </c>
      <c r="O144" s="8">
        <f>IF(OR(N144="",E144=0),"",(E144-N144)/N144)</f>
        <v/>
      </c>
      <c r="P144" s="7">
        <f>IF(N144="","",E144-N144)</f>
        <v/>
      </c>
      <c r="Q144" s="7">
        <f>IF(N144="","",CEILING(MAX(N144*1.4,IF(L144="",N144*1.5,L144*0.95)),10)-1)</f>
        <v/>
      </c>
      <c r="R144" s="9">
        <f>IF(OR(L144="",Q144=""),"",TEXT((Q144-L144)/L144,"+0.0%;-0.0%"))</f>
        <v/>
      </c>
      <c r="S144" s="10">
        <f>IF(N144="","fill prices →",IF(O144&gt;0.5,"✅ PROFITABLE — keep",IF(O144&gt;0.2,"🟡 OK — optimize",IF(O144&gt;0,"⚠️ THIN — raise price or drop","❌ LOSING MONEY — drop or renegotiate"))))</f>
        <v/>
      </c>
    </row>
    <row r="145">
      <c r="A145" t="n">
        <v>144</v>
      </c>
      <c r="B145" t="inlineStr">
        <is>
          <t>NG-ACC-008</t>
        </is>
      </c>
      <c r="C145" t="inlineStr">
        <is>
          <t>CalDigit TS4 Thunderbolt 4 Dock - 18-Port Professional Docking Station</t>
        </is>
      </c>
      <c r="D145" t="inlineStr">
        <is>
          <t>Accessories &amp;amp; Lifestyle</t>
        </is>
      </c>
      <c r="E145" s="11" t="n">
        <v>2899</v>
      </c>
      <c r="F145" s="12" t="inlineStr">
        <is>
          <t>🔗 Search</t>
        </is>
      </c>
      <c r="G145" s="12" t="inlineStr">
        <is>
          <t>🔗 Amazon</t>
        </is>
      </c>
      <c r="H145" s="12" t="inlineStr">
        <is>
          <t>🔗 Noon</t>
        </is>
      </c>
      <c r="I145" s="12" t="inlineStr">
        <is>
          <t>🔗 Jarir</t>
        </is>
      </c>
      <c r="J145" s="5" t="n"/>
      <c r="K145" s="6" t="n"/>
      <c r="L145" s="6" t="n"/>
      <c r="M145" s="7">
        <f>IF(J145="","",J145*3.75)</f>
        <v/>
      </c>
      <c r="N145" s="7">
        <f>IFERROR(MIN(IF(M145&lt;&gt;"",M145,9E9),IF(K145&lt;&gt;"",K145,9E9),IF(L145&lt;&gt;"",L145,9E9)),"")</f>
        <v/>
      </c>
      <c r="O145" s="8">
        <f>IF(OR(N145="",E145=0),"",(E145-N145)/N145)</f>
        <v/>
      </c>
      <c r="P145" s="7">
        <f>IF(N145="","",E145-N145)</f>
        <v/>
      </c>
      <c r="Q145" s="7">
        <f>IF(N145="","",CEILING(MAX(N145*1.4,IF(L145="",N145*1.5,L145*0.95)),10)-1)</f>
        <v/>
      </c>
      <c r="R145" s="9">
        <f>IF(OR(L145="",Q145=""),"",TEXT((Q145-L145)/L145,"+0.0%;-0.0%"))</f>
        <v/>
      </c>
      <c r="S145" s="10">
        <f>IF(N145="","fill prices →",IF(O145&gt;0.5,"✅ PROFITABLE — keep",IF(O145&gt;0.2,"🟡 OK — optimize",IF(O145&gt;0,"⚠️ THIN — raise price or drop","❌ LOSING MONEY — drop or renegotiate"))))</f>
        <v/>
      </c>
    </row>
    <row r="146">
      <c r="A146" s="2" t="n">
        <v>145</v>
      </c>
      <c r="B146" s="2" t="inlineStr">
        <is>
          <t>NG-ACC-007</t>
        </is>
      </c>
      <c r="C146" s="2" t="inlineStr">
        <is>
          <t>Anker PowerConf S330 USB Speakerphone - Smart Noise-Canceling Conference Speaker</t>
        </is>
      </c>
      <c r="D146" s="2" t="inlineStr">
        <is>
          <t>Accessories &amp;amp; Lifestyle</t>
        </is>
      </c>
      <c r="E146" s="3" t="n">
        <v>599</v>
      </c>
      <c r="F146" s="4" t="inlineStr">
        <is>
          <t>🔗 Search</t>
        </is>
      </c>
      <c r="G146" s="4" t="inlineStr">
        <is>
          <t>🔗 Amazon</t>
        </is>
      </c>
      <c r="H146" s="4" t="inlineStr">
        <is>
          <t>🔗 Noon</t>
        </is>
      </c>
      <c r="I146" s="4" t="inlineStr">
        <is>
          <t>🔗 Jarir</t>
        </is>
      </c>
      <c r="J146" s="5" t="n"/>
      <c r="K146" s="6" t="n"/>
      <c r="L146" s="6" t="n"/>
      <c r="M146" s="7">
        <f>IF(J146="","",J146*3.75)</f>
        <v/>
      </c>
      <c r="N146" s="7">
        <f>IFERROR(MIN(IF(M146&lt;&gt;"",M146,9E9),IF(K146&lt;&gt;"",K146,9E9),IF(L146&lt;&gt;"",L146,9E9)),"")</f>
        <v/>
      </c>
      <c r="O146" s="8">
        <f>IF(OR(N146="",E146=0),"",(E146-N146)/N146)</f>
        <v/>
      </c>
      <c r="P146" s="7">
        <f>IF(N146="","",E146-N146)</f>
        <v/>
      </c>
      <c r="Q146" s="7">
        <f>IF(N146="","",CEILING(MAX(N146*1.4,IF(L146="",N146*1.5,L146*0.95)),10)-1)</f>
        <v/>
      </c>
      <c r="R146" s="9">
        <f>IF(OR(L146="",Q146=""),"",TEXT((Q146-L146)/L146,"+0.0%;-0.0%"))</f>
        <v/>
      </c>
      <c r="S146" s="10">
        <f>IF(N146="","fill prices →",IF(O146&gt;0.5,"✅ PROFITABLE — keep",IF(O146&gt;0.2,"🟡 OK — optimize",IF(O146&gt;0,"⚠️ THIN — raise price or drop","❌ LOSING MONEY — drop or renegotiate"))))</f>
        <v/>
      </c>
    </row>
    <row r="147">
      <c r="A147" t="n">
        <v>146</v>
      </c>
      <c r="B147" t="inlineStr">
        <is>
          <t>NG-ACC-006</t>
        </is>
      </c>
      <c r="C147" t="inlineStr">
        <is>
          <t>Samsung T7 Shield 2TB Portable SSD - Rugged, Fast, and Secure</t>
        </is>
      </c>
      <c r="D147" t="inlineStr">
        <is>
          <t>Hardware</t>
        </is>
      </c>
      <c r="E147" s="11" t="n">
        <v>1299</v>
      </c>
      <c r="F147" s="12" t="inlineStr">
        <is>
          <t>🔗 Search</t>
        </is>
      </c>
      <c r="G147" s="12" t="inlineStr">
        <is>
          <t>🔗 Amazon</t>
        </is>
      </c>
      <c r="H147" s="12" t="inlineStr">
        <is>
          <t>🔗 Noon</t>
        </is>
      </c>
      <c r="I147" s="12" t="inlineStr">
        <is>
          <t>🔗 Jarir</t>
        </is>
      </c>
      <c r="J147" s="5" t="n"/>
      <c r="K147" s="6" t="n"/>
      <c r="L147" s="6" t="n"/>
      <c r="M147" s="7">
        <f>IF(J147="","",J147*3.75)</f>
        <v/>
      </c>
      <c r="N147" s="7">
        <f>IFERROR(MIN(IF(M147&lt;&gt;"",M147,9E9),IF(K147&lt;&gt;"",K147,9E9),IF(L147&lt;&gt;"",L147,9E9)),"")</f>
        <v/>
      </c>
      <c r="O147" s="8">
        <f>IF(OR(N147="",E147=0),"",(E147-N147)/N147)</f>
        <v/>
      </c>
      <c r="P147" s="7">
        <f>IF(N147="","",E147-N147)</f>
        <v/>
      </c>
      <c r="Q147" s="7">
        <f>IF(N147="","",CEILING(MAX(N147*1.4,IF(L147="",N147*1.5,L147*0.95)),10)-1)</f>
        <v/>
      </c>
      <c r="R147" s="9">
        <f>IF(OR(L147="",Q147=""),"",TEXT((Q147-L147)/L147,"+0.0%;-0.0%"))</f>
        <v/>
      </c>
      <c r="S147" s="10">
        <f>IF(N147="","fill prices →",IF(O147&gt;0.5,"✅ PROFITABLE — keep",IF(O147&gt;0.2,"🟡 OK — optimize",IF(O147&gt;0,"⚠️ THIN — raise price or drop","❌ LOSING MONEY — drop or renegotiate"))))</f>
        <v/>
      </c>
    </row>
    <row r="148">
      <c r="A148" s="2" t="n">
        <v>147</v>
      </c>
      <c r="B148" s="2" t="inlineStr">
        <is>
          <t>NG-MKR-010</t>
        </is>
      </c>
      <c r="C148" s="2" t="inlineStr">
        <is>
          <t>Elegoo Mars 4 Ultra Resin 3D Printer - 9K Resolution for Stunning Detail</t>
        </is>
      </c>
      <c r="D148" s="2" t="inlineStr">
        <is>
          <t>Enthusiasts &amp;amp; Gamers</t>
        </is>
      </c>
      <c r="E148" s="3" t="n">
        <v>2399</v>
      </c>
      <c r="F148" s="4" t="inlineStr">
        <is>
          <t>🔗 Search</t>
        </is>
      </c>
      <c r="G148" s="4" t="inlineStr">
        <is>
          <t>🔗 Amazon</t>
        </is>
      </c>
      <c r="H148" s="4" t="inlineStr">
        <is>
          <t>🔗 Noon</t>
        </is>
      </c>
      <c r="I148" s="4" t="inlineStr">
        <is>
          <t>🔗 Jarir</t>
        </is>
      </c>
      <c r="J148" s="5" t="n"/>
      <c r="K148" s="6" t="n"/>
      <c r="L148" s="6" t="n"/>
      <c r="M148" s="7">
        <f>IF(J148="","",J148*3.75)</f>
        <v/>
      </c>
      <c r="N148" s="7">
        <f>IFERROR(MIN(IF(M148&lt;&gt;"",M148,9E9),IF(K148&lt;&gt;"",K148,9E9),IF(L148&lt;&gt;"",L148,9E9)),"")</f>
        <v/>
      </c>
      <c r="O148" s="8">
        <f>IF(OR(N148="",E148=0),"",(E148-N148)/N148)</f>
        <v/>
      </c>
      <c r="P148" s="7">
        <f>IF(N148="","",E148-N148)</f>
        <v/>
      </c>
      <c r="Q148" s="7">
        <f>IF(N148="","",CEILING(MAX(N148*1.4,IF(L148="",N148*1.5,L148*0.95)),10)-1)</f>
        <v/>
      </c>
      <c r="R148" s="9">
        <f>IF(OR(L148="",Q148=""),"",TEXT((Q148-L148)/L148,"+0.0%;-0.0%"))</f>
        <v/>
      </c>
      <c r="S148" s="10">
        <f>IF(N148="","fill prices →",IF(O148&gt;0.5,"✅ PROFITABLE — keep",IF(O148&gt;0.2,"🟡 OK — optimize",IF(O148&gt;0,"⚠️ THIN — raise price or drop","❌ LOSING MONEY — drop or renegotiate"))))</f>
        <v/>
      </c>
    </row>
    <row r="149">
      <c r="A149" t="n">
        <v>148</v>
      </c>
      <c r="B149" t="inlineStr">
        <is>
          <t>NG-MKR-009</t>
        </is>
      </c>
      <c r="C149" t="inlineStr">
        <is>
          <t>ESP32-S3 DevKit 10-Pack - Wi-Fi + Bluetooth 5 Microcontroller for Smart Projects</t>
        </is>
      </c>
      <c r="D149" t="inlineStr">
        <is>
          <t>Hardware</t>
        </is>
      </c>
      <c r="E149" s="11" t="n">
        <v>699</v>
      </c>
      <c r="F149" s="12" t="inlineStr">
        <is>
          <t>🔗 Search</t>
        </is>
      </c>
      <c r="G149" s="12" t="inlineStr">
        <is>
          <t>🔗 Amazon</t>
        </is>
      </c>
      <c r="H149" s="12" t="inlineStr">
        <is>
          <t>🔗 Noon</t>
        </is>
      </c>
      <c r="I149" s="12" t="inlineStr">
        <is>
          <t>🔗 Jarir</t>
        </is>
      </c>
      <c r="J149" s="5" t="n"/>
      <c r="K149" s="6" t="n"/>
      <c r="L149" s="6" t="n"/>
      <c r="M149" s="7">
        <f>IF(J149="","",J149*3.75)</f>
        <v/>
      </c>
      <c r="N149" s="7">
        <f>IFERROR(MIN(IF(M149&lt;&gt;"",M149,9E9),IF(K149&lt;&gt;"",K149,9E9),IF(L149&lt;&gt;"",L149,9E9)),"")</f>
        <v/>
      </c>
      <c r="O149" s="8">
        <f>IF(OR(N149="",E149=0),"",(E149-N149)/N149)</f>
        <v/>
      </c>
      <c r="P149" s="7">
        <f>IF(N149="","",E149-N149)</f>
        <v/>
      </c>
      <c r="Q149" s="7">
        <f>IF(N149="","",CEILING(MAX(N149*1.4,IF(L149="",N149*1.5,L149*0.95)),10)-1)</f>
        <v/>
      </c>
      <c r="R149" s="9">
        <f>IF(OR(L149="",Q149=""),"",TEXT((Q149-L149)/L149,"+0.0%;-0.0%"))</f>
        <v/>
      </c>
      <c r="S149" s="10">
        <f>IF(N149="","fill prices →",IF(O149&gt;0.5,"✅ PROFITABLE — keep",IF(O149&gt;0.2,"🟡 OK — optimize",IF(O149&gt;0,"⚠️ THIN — raise price or drop","❌ LOSING MONEY — drop or renegotiate"))))</f>
        <v/>
      </c>
    </row>
    <row r="150">
      <c r="A150" s="2" t="n">
        <v>149</v>
      </c>
      <c r="B150" s="2" t="inlineStr">
        <is>
          <t>NG-MKR-008</t>
        </is>
      </c>
      <c r="C150" s="2" t="inlineStr">
        <is>
          <t>Creality Ender-3 V3 SE - The Best Entry-Level 3D Printer</t>
        </is>
      </c>
      <c r="D150" s="2" t="inlineStr">
        <is>
          <t>Enthusiasts &amp;amp; Gamers</t>
        </is>
      </c>
      <c r="E150" s="3" t="n">
        <v>1199</v>
      </c>
      <c r="F150" s="4" t="inlineStr">
        <is>
          <t>🔗 Search</t>
        </is>
      </c>
      <c r="G150" s="4" t="inlineStr">
        <is>
          <t>🔗 Amazon</t>
        </is>
      </c>
      <c r="H150" s="4" t="inlineStr">
        <is>
          <t>🔗 Noon</t>
        </is>
      </c>
      <c r="I150" s="4" t="inlineStr">
        <is>
          <t>🔗 Jarir</t>
        </is>
      </c>
      <c r="J150" s="5" t="n"/>
      <c r="K150" s="6" t="n"/>
      <c r="L150" s="6" t="n"/>
      <c r="M150" s="7">
        <f>IF(J150="","",J150*3.75)</f>
        <v/>
      </c>
      <c r="N150" s="7">
        <f>IFERROR(MIN(IF(M150&lt;&gt;"",M150,9E9),IF(K150&lt;&gt;"",K150,9E9),IF(L150&lt;&gt;"",L150,9E9)),"")</f>
        <v/>
      </c>
      <c r="O150" s="8">
        <f>IF(OR(N150="",E150=0),"",(E150-N150)/N150)</f>
        <v/>
      </c>
      <c r="P150" s="7">
        <f>IF(N150="","",E150-N150)</f>
        <v/>
      </c>
      <c r="Q150" s="7">
        <f>IF(N150="","",CEILING(MAX(N150*1.4,IF(L150="",N150*1.5,L150*0.95)),10)-1)</f>
        <v/>
      </c>
      <c r="R150" s="9">
        <f>IF(OR(L150="",Q150=""),"",TEXT((Q150-L150)/L150,"+0.0%;-0.0%"))</f>
        <v/>
      </c>
      <c r="S150" s="10">
        <f>IF(N150="","fill prices →",IF(O150&gt;0.5,"✅ PROFITABLE — keep",IF(O150&gt;0.2,"🟡 OK — optimize",IF(O150&gt;0,"⚠️ THIN — raise price or drop","❌ LOSING MONEY — drop or renegotiate"))))</f>
        <v/>
      </c>
    </row>
    <row r="151">
      <c r="A151" t="n">
        <v>150</v>
      </c>
      <c r="B151" t="inlineStr">
        <is>
          <t>NG-MKR-007</t>
        </is>
      </c>
      <c r="C151" t="inlineStr">
        <is>
          <t>Prusa Mini+ 3D Printer - Professional Precision in a Compact Package</t>
        </is>
      </c>
      <c r="D151" t="inlineStr">
        <is>
          <t>Enthusiasts &amp;amp; Gamers</t>
        </is>
      </c>
      <c r="E151" s="11" t="n">
        <v>3299</v>
      </c>
      <c r="F151" s="12" t="inlineStr">
        <is>
          <t>🔗 Search</t>
        </is>
      </c>
      <c r="G151" s="12" t="inlineStr">
        <is>
          <t>🔗 Amazon</t>
        </is>
      </c>
      <c r="H151" s="12" t="inlineStr">
        <is>
          <t>🔗 Noon</t>
        </is>
      </c>
      <c r="I151" s="12" t="inlineStr">
        <is>
          <t>🔗 Jarir</t>
        </is>
      </c>
      <c r="J151" s="5" t="n"/>
      <c r="K151" s="6" t="n"/>
      <c r="L151" s="6" t="n"/>
      <c r="M151" s="7">
        <f>IF(J151="","",J151*3.75)</f>
        <v/>
      </c>
      <c r="N151" s="7">
        <f>IFERROR(MIN(IF(M151&lt;&gt;"",M151,9E9),IF(K151&lt;&gt;"",K151,9E9),IF(L151&lt;&gt;"",L151,9E9)),"")</f>
        <v/>
      </c>
      <c r="O151" s="8">
        <f>IF(OR(N151="",E151=0),"",(E151-N151)/N151)</f>
        <v/>
      </c>
      <c r="P151" s="7">
        <f>IF(N151="","",E151-N151)</f>
        <v/>
      </c>
      <c r="Q151" s="7">
        <f>IF(N151="","",CEILING(MAX(N151*1.4,IF(L151="",N151*1.5,L151*0.95)),10)-1)</f>
        <v/>
      </c>
      <c r="R151" s="9">
        <f>IF(OR(L151="",Q151=""),"",TEXT((Q151-L151)/L151,"+0.0%;-0.0%"))</f>
        <v/>
      </c>
      <c r="S151" s="10">
        <f>IF(N151="","fill prices →",IF(O151&gt;0.5,"✅ PROFITABLE — keep",IF(O151&gt;0.2,"🟡 OK — optimize",IF(O151&gt;0,"⚠️ THIN — raise price or drop","❌ LOSING MONEY — drop or renegotiate"))))</f>
        <v/>
      </c>
    </row>
    <row r="152">
      <c r="A152" s="2" t="n">
        <v>151</v>
      </c>
      <c r="B152" s="2" t="inlineStr">
        <is>
          <t>NG-MKR-006</t>
        </is>
      </c>
      <c r="C152" s="2" t="inlineStr">
        <is>
          <t>Arduino Mega 2560 Rev3 - The Ultimate Microcontroller Board for Advanced Projects</t>
        </is>
      </c>
      <c r="D152" s="2" t="inlineStr">
        <is>
          <t>Hardware</t>
        </is>
      </c>
      <c r="E152" s="3" t="n">
        <v>549</v>
      </c>
      <c r="F152" s="4" t="inlineStr">
        <is>
          <t>🔗 Search</t>
        </is>
      </c>
      <c r="G152" s="4" t="inlineStr">
        <is>
          <t>🔗 Amazon</t>
        </is>
      </c>
      <c r="H152" s="4" t="inlineStr">
        <is>
          <t>🔗 Noon</t>
        </is>
      </c>
      <c r="I152" s="4" t="inlineStr">
        <is>
          <t>🔗 Jarir</t>
        </is>
      </c>
      <c r="J152" s="5" t="n"/>
      <c r="K152" s="6" t="n"/>
      <c r="L152" s="6" t="n"/>
      <c r="M152" s="7">
        <f>IF(J152="","",J152*3.75)</f>
        <v/>
      </c>
      <c r="N152" s="7">
        <f>IFERROR(MIN(IF(M152&lt;&gt;"",M152,9E9),IF(K152&lt;&gt;"",K152,9E9),IF(L152&lt;&gt;"",L152,9E9)),"")</f>
        <v/>
      </c>
      <c r="O152" s="8">
        <f>IF(OR(N152="",E152=0),"",(E152-N152)/N152)</f>
        <v/>
      </c>
      <c r="P152" s="7">
        <f>IF(N152="","",E152-N152)</f>
        <v/>
      </c>
      <c r="Q152" s="7">
        <f>IF(N152="","",CEILING(MAX(N152*1.4,IF(L152="",N152*1.5,L152*0.95)),10)-1)</f>
        <v/>
      </c>
      <c r="R152" s="9">
        <f>IF(OR(L152="",Q152=""),"",TEXT((Q152-L152)/L152,"+0.0%;-0.0%"))</f>
        <v/>
      </c>
      <c r="S152" s="10">
        <f>IF(N152="","fill prices →",IF(O152&gt;0.5,"✅ PROFITABLE — keep",IF(O152&gt;0.2,"🟡 OK — optimize",IF(O152&gt;0,"⚠️ THIN — raise price or drop","❌ LOSING MONEY — drop or renegotiate"))))</f>
        <v/>
      </c>
    </row>
    <row r="153">
      <c r="A153" t="n">
        <v>152</v>
      </c>
      <c r="B153" t="inlineStr">
        <is>
          <t>NG-GAM-012</t>
        </is>
      </c>
      <c r="C153" t="inlineStr">
        <is>
          <t>Elgato Wave:3 - Premium USB Condenser Microphone for Streaming</t>
        </is>
      </c>
      <c r="D153" t="inlineStr">
        <is>
          <t>Gaming</t>
        </is>
      </c>
      <c r="E153" s="11" t="n">
        <v>1149</v>
      </c>
      <c r="F153" s="12" t="inlineStr">
        <is>
          <t>🔗 Search</t>
        </is>
      </c>
      <c r="G153" s="12" t="inlineStr">
        <is>
          <t>🔗 Amazon</t>
        </is>
      </c>
      <c r="H153" s="12" t="inlineStr">
        <is>
          <t>🔗 Noon</t>
        </is>
      </c>
      <c r="I153" s="12" t="inlineStr">
        <is>
          <t>🔗 Jarir</t>
        </is>
      </c>
      <c r="J153" s="5" t="n"/>
      <c r="K153" s="6" t="n"/>
      <c r="L153" s="6" t="n"/>
      <c r="M153" s="7">
        <f>IF(J153="","",J153*3.75)</f>
        <v/>
      </c>
      <c r="N153" s="7">
        <f>IFERROR(MIN(IF(M153&lt;&gt;"",M153,9E9),IF(K153&lt;&gt;"",K153,9E9),IF(L153&lt;&gt;"",L153,9E9)),"")</f>
        <v/>
      </c>
      <c r="O153" s="8">
        <f>IF(OR(N153="",E153=0),"",(E153-N153)/N153)</f>
        <v/>
      </c>
      <c r="P153" s="7">
        <f>IF(N153="","",E153-N153)</f>
        <v/>
      </c>
      <c r="Q153" s="7">
        <f>IF(N153="","",CEILING(MAX(N153*1.4,IF(L153="",N153*1.5,L153*0.95)),10)-1)</f>
        <v/>
      </c>
      <c r="R153" s="9">
        <f>IF(OR(L153="",Q153=""),"",TEXT((Q153-L153)/L153,"+0.0%;-0.0%"))</f>
        <v/>
      </c>
      <c r="S153" s="10">
        <f>IF(N153="","fill prices →",IF(O153&gt;0.5,"✅ PROFITABLE — keep",IF(O153&gt;0.2,"🟡 OK — optimize",IF(O153&gt;0,"⚠️ THIN — raise price or drop","❌ LOSING MONEY — drop or renegotiate"))))</f>
        <v/>
      </c>
    </row>
    <row r="154">
      <c r="A154" s="2" t="n">
        <v>153</v>
      </c>
      <c r="B154" s="2" t="inlineStr">
        <is>
          <t>NG-GAM-011</t>
        </is>
      </c>
      <c r="C154" s="2" t="inlineStr">
        <is>
          <t>SteelSeries QcK Heavy XXL - Extra-Large Gaming Mouse Pad</t>
        </is>
      </c>
      <c r="D154" s="2" t="inlineStr">
        <is>
          <t>Gaming</t>
        </is>
      </c>
      <c r="E154" s="3" t="n">
        <v>289</v>
      </c>
      <c r="F154" s="4" t="inlineStr">
        <is>
          <t>🔗 Search</t>
        </is>
      </c>
      <c r="G154" s="4" t="inlineStr">
        <is>
          <t>🔗 Amazon</t>
        </is>
      </c>
      <c r="H154" s="4" t="inlineStr">
        <is>
          <t>🔗 Noon</t>
        </is>
      </c>
      <c r="I154" s="4" t="inlineStr">
        <is>
          <t>🔗 Jarir</t>
        </is>
      </c>
      <c r="J154" s="5" t="n"/>
      <c r="K154" s="6" t="n"/>
      <c r="L154" s="6" t="n"/>
      <c r="M154" s="7">
        <f>IF(J154="","",J154*3.75)</f>
        <v/>
      </c>
      <c r="N154" s="7">
        <f>IFERROR(MIN(IF(M154&lt;&gt;"",M154,9E9),IF(K154&lt;&gt;"",K154,9E9),IF(L154&lt;&gt;"",L154,9E9)),"")</f>
        <v/>
      </c>
      <c r="O154" s="8">
        <f>IF(OR(N154="",E154=0),"",(E154-N154)/N154)</f>
        <v/>
      </c>
      <c r="P154" s="7">
        <f>IF(N154="","",E154-N154)</f>
        <v/>
      </c>
      <c r="Q154" s="7">
        <f>IF(N154="","",CEILING(MAX(N154*1.4,IF(L154="",N154*1.5,L154*0.95)),10)-1)</f>
        <v/>
      </c>
      <c r="R154" s="9">
        <f>IF(OR(L154="",Q154=""),"",TEXT((Q154-L154)/L154,"+0.0%;-0.0%"))</f>
        <v/>
      </c>
      <c r="S154" s="10">
        <f>IF(N154="","fill prices →",IF(O154&gt;0.5,"✅ PROFITABLE — keep",IF(O154&gt;0.2,"🟡 OK — optimize",IF(O154&gt;0,"⚠️ THIN — raise price or drop","❌ LOSING MONEY — drop or renegotiate"))))</f>
        <v/>
      </c>
    </row>
    <row r="155">
      <c r="A155" t="n">
        <v>154</v>
      </c>
      <c r="B155" t="inlineStr">
        <is>
          <t>NG-GAM-010</t>
        </is>
      </c>
      <c r="C155" t="inlineStr">
        <is>
          <t>BenQ Zowie XL2546K - 240Hz Esports Gaming Monitor</t>
        </is>
      </c>
      <c r="D155" t="inlineStr">
        <is>
          <t>Gaming</t>
        </is>
      </c>
      <c r="E155" s="11" t="n">
        <v>2999</v>
      </c>
      <c r="F155" s="12" t="inlineStr">
        <is>
          <t>🔗 Search</t>
        </is>
      </c>
      <c r="G155" s="12" t="inlineStr">
        <is>
          <t>🔗 Amazon</t>
        </is>
      </c>
      <c r="H155" s="12" t="inlineStr">
        <is>
          <t>🔗 Noon</t>
        </is>
      </c>
      <c r="I155" s="12" t="inlineStr">
        <is>
          <t>🔗 Jarir</t>
        </is>
      </c>
      <c r="J155" s="5" t="n"/>
      <c r="K155" s="6" t="n"/>
      <c r="L155" s="6" t="n"/>
      <c r="M155" s="7">
        <f>IF(J155="","",J155*3.75)</f>
        <v/>
      </c>
      <c r="N155" s="7">
        <f>IFERROR(MIN(IF(M155&lt;&gt;"",M155,9E9),IF(K155&lt;&gt;"",K155,9E9),IF(L155&lt;&gt;"",L155,9E9)),"")</f>
        <v/>
      </c>
      <c r="O155" s="8">
        <f>IF(OR(N155="",E155=0),"",(E155-N155)/N155)</f>
        <v/>
      </c>
      <c r="P155" s="7">
        <f>IF(N155="","",E155-N155)</f>
        <v/>
      </c>
      <c r="Q155" s="7">
        <f>IF(N155="","",CEILING(MAX(N155*1.4,IF(L155="",N155*1.5,L155*0.95)),10)-1)</f>
        <v/>
      </c>
      <c r="R155" s="9">
        <f>IF(OR(L155="",Q155=""),"",TEXT((Q155-L155)/L155,"+0.0%;-0.0%"))</f>
        <v/>
      </c>
      <c r="S155" s="10">
        <f>IF(N155="","fill prices →",IF(O155&gt;0.5,"✅ PROFITABLE — keep",IF(O155&gt;0.2,"🟡 OK — optimize",IF(O155&gt;0,"⚠️ THIN — raise price or drop","❌ LOSING MONEY — drop or renegotiate"))))</f>
        <v/>
      </c>
    </row>
    <row r="156">
      <c r="A156" s="2" t="n">
        <v>155</v>
      </c>
      <c r="B156" s="2" t="inlineStr">
        <is>
          <t>NG-GAM-009</t>
        </is>
      </c>
      <c r="C156" s="2" t="inlineStr">
        <is>
          <t>Corsair K70 RGB Pro - Legendary Mechanical Gaming Keyboard</t>
        </is>
      </c>
      <c r="D156" s="2" t="inlineStr">
        <is>
          <t>Gaming</t>
        </is>
      </c>
      <c r="E156" s="3" t="n">
        <v>999</v>
      </c>
      <c r="F156" s="4" t="inlineStr">
        <is>
          <t>🔗 Search</t>
        </is>
      </c>
      <c r="G156" s="4" t="inlineStr">
        <is>
          <t>🔗 Amazon</t>
        </is>
      </c>
      <c r="H156" s="4" t="inlineStr">
        <is>
          <t>🔗 Noon</t>
        </is>
      </c>
      <c r="I156" s="4" t="inlineStr">
        <is>
          <t>🔗 Jarir</t>
        </is>
      </c>
      <c r="J156" s="5" t="n"/>
      <c r="K156" s="6" t="n"/>
      <c r="L156" s="6" t="n"/>
      <c r="M156" s="7">
        <f>IF(J156="","",J156*3.75)</f>
        <v/>
      </c>
      <c r="N156" s="7">
        <f>IFERROR(MIN(IF(M156&lt;&gt;"",M156,9E9),IF(K156&lt;&gt;"",K156,9E9),IF(L156&lt;&gt;"",L156,9E9)),"")</f>
        <v/>
      </c>
      <c r="O156" s="8">
        <f>IF(OR(N156="",E156=0),"",(E156-N156)/N156)</f>
        <v/>
      </c>
      <c r="P156" s="7">
        <f>IF(N156="","",E156-N156)</f>
        <v/>
      </c>
      <c r="Q156" s="7">
        <f>IF(N156="","",CEILING(MAX(N156*1.4,IF(L156="",N156*1.5,L156*0.95)),10)-1)</f>
        <v/>
      </c>
      <c r="R156" s="9">
        <f>IF(OR(L156="",Q156=""),"",TEXT((Q156-L156)/L156,"+0.0%;-0.0%"))</f>
        <v/>
      </c>
      <c r="S156" s="10">
        <f>IF(N156="","fill prices →",IF(O156&gt;0.5,"✅ PROFITABLE — keep",IF(O156&gt;0.2,"🟡 OK — optimize",IF(O156&gt;0,"⚠️ THIN — raise price or drop","❌ LOSING MONEY — drop or renegotiate"))))</f>
        <v/>
      </c>
    </row>
    <row r="157">
      <c r="A157" t="n">
        <v>156</v>
      </c>
      <c r="B157" t="inlineStr">
        <is>
          <t>NG-GAM-008</t>
        </is>
      </c>
      <c r="C157" t="inlineStr">
        <is>
          <t>Razer Basilisk V3 X HyperSpeed - Versatile Wireless Gaming Mouse</t>
        </is>
      </c>
      <c r="D157" t="inlineStr">
        <is>
          <t>Gaming</t>
        </is>
      </c>
      <c r="E157" s="11" t="n">
        <v>649</v>
      </c>
      <c r="F157" s="12" t="inlineStr">
        <is>
          <t>🔗 Search</t>
        </is>
      </c>
      <c r="G157" s="12" t="inlineStr">
        <is>
          <t>🔗 Amazon</t>
        </is>
      </c>
      <c r="H157" s="12" t="inlineStr">
        <is>
          <t>🔗 Noon</t>
        </is>
      </c>
      <c r="I157" s="12" t="inlineStr">
        <is>
          <t>🔗 Jarir</t>
        </is>
      </c>
      <c r="J157" s="5" t="n"/>
      <c r="K157" s="6" t="n"/>
      <c r="L157" s="6" t="n"/>
      <c r="M157" s="7">
        <f>IF(J157="","",J157*3.75)</f>
        <v/>
      </c>
      <c r="N157" s="7">
        <f>IFERROR(MIN(IF(M157&lt;&gt;"",M157,9E9),IF(K157&lt;&gt;"",K157,9E9),IF(L157&lt;&gt;"",L157,9E9)),"")</f>
        <v/>
      </c>
      <c r="O157" s="8">
        <f>IF(OR(N157="",E157=0),"",(E157-N157)/N157)</f>
        <v/>
      </c>
      <c r="P157" s="7">
        <f>IF(N157="","",E157-N157)</f>
        <v/>
      </c>
      <c r="Q157" s="7">
        <f>IF(N157="","",CEILING(MAX(N157*1.4,IF(L157="",N157*1.5,L157*0.95)),10)-1)</f>
        <v/>
      </c>
      <c r="R157" s="9">
        <f>IF(OR(L157="",Q157=""),"",TEXT((Q157-L157)/L157,"+0.0%;-0.0%"))</f>
        <v/>
      </c>
      <c r="S157" s="10">
        <f>IF(N157="","fill prices →",IF(O157&gt;0.5,"✅ PROFITABLE — keep",IF(O157&gt;0.2,"🟡 OK — optimize",IF(O157&gt;0,"⚠️ THIN — raise price or drop","❌ LOSING MONEY — drop or renegotiate"))))</f>
        <v/>
      </c>
    </row>
    <row r="158">
      <c r="A158" s="2" t="n">
        <v>157</v>
      </c>
      <c r="B158" s="2" t="inlineStr">
        <is>
          <t>NG-GAM-007</t>
        </is>
      </c>
      <c r="C158" s="2" t="inlineStr">
        <is>
          <t>8BitDo Arcade Stick - Authentic Arcade Experience at Home</t>
        </is>
      </c>
      <c r="D158" s="2" t="inlineStr">
        <is>
          <t>Gaming</t>
        </is>
      </c>
      <c r="E158" s="3" t="n">
        <v>799</v>
      </c>
      <c r="F158" s="4" t="inlineStr">
        <is>
          <t>🔗 Search</t>
        </is>
      </c>
      <c r="G158" s="4" t="inlineStr">
        <is>
          <t>🔗 Amazon</t>
        </is>
      </c>
      <c r="H158" s="4" t="inlineStr">
        <is>
          <t>🔗 Noon</t>
        </is>
      </c>
      <c r="I158" s="4" t="inlineStr">
        <is>
          <t>🔗 Jarir</t>
        </is>
      </c>
      <c r="J158" s="5" t="n"/>
      <c r="K158" s="6" t="n"/>
      <c r="L158" s="6" t="n"/>
      <c r="M158" s="7">
        <f>IF(J158="","",J158*3.75)</f>
        <v/>
      </c>
      <c r="N158" s="7">
        <f>IFERROR(MIN(IF(M158&lt;&gt;"",M158,9E9),IF(K158&lt;&gt;"",K158,9E9),IF(L158&lt;&gt;"",L158,9E9)),"")</f>
        <v/>
      </c>
      <c r="O158" s="8">
        <f>IF(OR(N158="",E158=0),"",(E158-N158)/N158)</f>
        <v/>
      </c>
      <c r="P158" s="7">
        <f>IF(N158="","",E158-N158)</f>
        <v/>
      </c>
      <c r="Q158" s="7">
        <f>IF(N158="","",CEILING(MAX(N158*1.4,IF(L158="",N158*1.5,L158*0.95)),10)-1)</f>
        <v/>
      </c>
      <c r="R158" s="9">
        <f>IF(OR(L158="",Q158=""),"",TEXT((Q158-L158)/L158,"+0.0%;-0.0%"))</f>
        <v/>
      </c>
      <c r="S158" s="10">
        <f>IF(N158="","fill prices →",IF(O158&gt;0.5,"✅ PROFITABLE — keep",IF(O158&gt;0.2,"🟡 OK — optimize",IF(O158&gt;0,"⚠️ THIN — raise price or drop","❌ LOSING MONEY — drop or renegotiate"))))</f>
        <v/>
      </c>
    </row>
    <row r="159">
      <c r="A159" t="n">
        <v>158</v>
      </c>
      <c r="B159" t="inlineStr">
        <is>
          <t>NG-GAM-006</t>
        </is>
      </c>
      <c r="C159" t="inlineStr">
        <is>
          <t>SteelSeries Arctis Nova 7 - Multi-Platform Wireless Gaming Headset</t>
        </is>
      </c>
      <c r="D159" t="inlineStr">
        <is>
          <t>Gaming</t>
        </is>
      </c>
      <c r="E159" s="11" t="n">
        <v>1199</v>
      </c>
      <c r="F159" s="12" t="inlineStr">
        <is>
          <t>🔗 Search</t>
        </is>
      </c>
      <c r="G159" s="12" t="inlineStr">
        <is>
          <t>🔗 Amazon</t>
        </is>
      </c>
      <c r="H159" s="12" t="inlineStr">
        <is>
          <t>🔗 Noon</t>
        </is>
      </c>
      <c r="I159" s="12" t="inlineStr">
        <is>
          <t>🔗 Jarir</t>
        </is>
      </c>
      <c r="J159" s="5" t="n"/>
      <c r="K159" s="6" t="n"/>
      <c r="L159" s="6" t="n"/>
      <c r="M159" s="7">
        <f>IF(J159="","",J159*3.75)</f>
        <v/>
      </c>
      <c r="N159" s="7">
        <f>IFERROR(MIN(IF(M159&lt;&gt;"",M159,9E9),IF(K159&lt;&gt;"",K159,9E9),IF(L159&lt;&gt;"",L159,9E9)),"")</f>
        <v/>
      </c>
      <c r="O159" s="8">
        <f>IF(OR(N159="",E159=0),"",(E159-N159)/N159)</f>
        <v/>
      </c>
      <c r="P159" s="7">
        <f>IF(N159="","",E159-N159)</f>
        <v/>
      </c>
      <c r="Q159" s="7">
        <f>IF(N159="","",CEILING(MAX(N159*1.4,IF(L159="",N159*1.5,L159*0.95)),10)-1)</f>
        <v/>
      </c>
      <c r="R159" s="9">
        <f>IF(OR(L159="",Q159=""),"",TEXT((Q159-L159)/L159,"+0.0%;-0.0%"))</f>
        <v/>
      </c>
      <c r="S159" s="10">
        <f>IF(N159="","fill prices →",IF(O159&gt;0.5,"✅ PROFITABLE — keep",IF(O159&gt;0.2,"🟡 OK — optimize",IF(O159&gt;0,"⚠️ THIN — raise price or drop","❌ LOSING MONEY — drop or renegotiate"))))</f>
        <v/>
      </c>
    </row>
    <row r="160">
      <c r="A160" s="2" t="n">
        <v>159</v>
      </c>
      <c r="B160" s="2" t="inlineStr">
        <is>
          <t>NG-GAM-005</t>
        </is>
      </c>
      <c r="C160" s="2" t="inlineStr">
        <is>
          <t>Elgato HD60 X - External Capture Card for Streaming and Recording</t>
        </is>
      </c>
      <c r="D160" s="2" t="inlineStr">
        <is>
          <t>Gaming</t>
        </is>
      </c>
      <c r="E160" s="3" t="n">
        <v>1249</v>
      </c>
      <c r="F160" s="4" t="inlineStr">
        <is>
          <t>🔗 Search</t>
        </is>
      </c>
      <c r="G160" s="4" t="inlineStr">
        <is>
          <t>🔗 Amazon</t>
        </is>
      </c>
      <c r="H160" s="4" t="inlineStr">
        <is>
          <t>🔗 Noon</t>
        </is>
      </c>
      <c r="I160" s="4" t="inlineStr">
        <is>
          <t>🔗 Jarir</t>
        </is>
      </c>
      <c r="J160" s="5" t="n"/>
      <c r="K160" s="6" t="n"/>
      <c r="L160" s="6" t="n"/>
      <c r="M160" s="7">
        <f>IF(J160="","",J160*3.75)</f>
        <v/>
      </c>
      <c r="N160" s="7">
        <f>IFERROR(MIN(IF(M160&lt;&gt;"",M160,9E9),IF(K160&lt;&gt;"",K160,9E9),IF(L160&lt;&gt;"",L160,9E9)),"")</f>
        <v/>
      </c>
      <c r="O160" s="8">
        <f>IF(OR(N160="",E160=0),"",(E160-N160)/N160)</f>
        <v/>
      </c>
      <c r="P160" s="7">
        <f>IF(N160="","",E160-N160)</f>
        <v/>
      </c>
      <c r="Q160" s="7">
        <f>IF(N160="","",CEILING(MAX(N160*1.4,IF(L160="",N160*1.5,L160*0.95)),10)-1)</f>
        <v/>
      </c>
      <c r="R160" s="9">
        <f>IF(OR(L160="",Q160=""),"",TEXT((Q160-L160)/L160,"+0.0%;-0.0%"))</f>
        <v/>
      </c>
      <c r="S160" s="10">
        <f>IF(N160="","fill prices →",IF(O160&gt;0.5,"✅ PROFITABLE — keep",IF(O160&gt;0.2,"🟡 OK — optimize",IF(O160&gt;0,"⚠️ THIN — raise price or drop","❌ LOSING MONEY — drop or renegotiate"))))</f>
        <v/>
      </c>
    </row>
    <row r="161">
      <c r="A161" t="n">
        <v>160</v>
      </c>
      <c r="B161" t="inlineStr">
        <is>
          <t>NG-GAM-004</t>
        </is>
      </c>
      <c r="C161" t="inlineStr">
        <is>
          <t>Razer BlackWidow V4 75% - Compact Mechanical Gaming Keyboard</t>
        </is>
      </c>
      <c r="D161" t="inlineStr">
        <is>
          <t>Gaming</t>
        </is>
      </c>
      <c r="E161" s="11" t="n">
        <v>1199</v>
      </c>
      <c r="F161" s="12" t="inlineStr">
        <is>
          <t>🔗 Search</t>
        </is>
      </c>
      <c r="G161" s="12" t="inlineStr">
        <is>
          <t>🔗 Amazon</t>
        </is>
      </c>
      <c r="H161" s="12" t="inlineStr">
        <is>
          <t>🔗 Noon</t>
        </is>
      </c>
      <c r="I161" s="12" t="inlineStr">
        <is>
          <t>🔗 Jarir</t>
        </is>
      </c>
      <c r="J161" s="5" t="n"/>
      <c r="K161" s="6" t="n"/>
      <c r="L161" s="6" t="n"/>
      <c r="M161" s="7">
        <f>IF(J161="","",J161*3.75)</f>
        <v/>
      </c>
      <c r="N161" s="7">
        <f>IFERROR(MIN(IF(M161&lt;&gt;"",M161,9E9),IF(K161&lt;&gt;"",K161,9E9),IF(L161&lt;&gt;"",L161,9E9)),"")</f>
        <v/>
      </c>
      <c r="O161" s="8">
        <f>IF(OR(N161="",E161=0),"",(E161-N161)/N161)</f>
        <v/>
      </c>
      <c r="P161" s="7">
        <f>IF(N161="","",E161-N161)</f>
        <v/>
      </c>
      <c r="Q161" s="7">
        <f>IF(N161="","",CEILING(MAX(N161*1.4,IF(L161="",N161*1.5,L161*0.95)),10)-1)</f>
        <v/>
      </c>
      <c r="R161" s="9">
        <f>IF(OR(L161="",Q161=""),"",TEXT((Q161-L161)/L161,"+0.0%;-0.0%"))</f>
        <v/>
      </c>
      <c r="S161" s="10">
        <f>IF(N161="","fill prices →",IF(O161&gt;0.5,"✅ PROFITABLE — keep",IF(O161&gt;0.2,"🟡 OK — optimize",IF(O161&gt;0,"⚠️ THIN — raise price or drop","❌ LOSING MONEY — drop or renegotiate"))))</f>
        <v/>
      </c>
    </row>
    <row r="162">
      <c r="A162" s="2" t="n">
        <v>161</v>
      </c>
      <c r="B162" s="2" t="inlineStr">
        <is>
          <t>NG-GAM-003</t>
        </is>
      </c>
      <c r="C162" s="2" t="inlineStr">
        <is>
          <t>HyperX Cloud III Wireless - Premium Wireless Gaming Headset</t>
        </is>
      </c>
      <c r="D162" s="2" t="inlineStr">
        <is>
          <t>Gaming</t>
        </is>
      </c>
      <c r="E162" s="3" t="n">
        <v>999</v>
      </c>
      <c r="F162" s="4" t="inlineStr">
        <is>
          <t>🔗 Search</t>
        </is>
      </c>
      <c r="G162" s="4" t="inlineStr">
        <is>
          <t>🔗 Amazon</t>
        </is>
      </c>
      <c r="H162" s="4" t="inlineStr">
        <is>
          <t>🔗 Noon</t>
        </is>
      </c>
      <c r="I162" s="4" t="inlineStr">
        <is>
          <t>🔗 Jarir</t>
        </is>
      </c>
      <c r="J162" s="5" t="n"/>
      <c r="K162" s="6" t="n"/>
      <c r="L162" s="6" t="n"/>
      <c r="M162" s="7">
        <f>IF(J162="","",J162*3.75)</f>
        <v/>
      </c>
      <c r="N162" s="7">
        <f>IFERROR(MIN(IF(M162&lt;&gt;"",M162,9E9),IF(K162&lt;&gt;"",K162,9E9),IF(L162&lt;&gt;"",L162,9E9)),"")</f>
        <v/>
      </c>
      <c r="O162" s="8">
        <f>IF(OR(N162="",E162=0),"",(E162-N162)/N162)</f>
        <v/>
      </c>
      <c r="P162" s="7">
        <f>IF(N162="","",E162-N162)</f>
        <v/>
      </c>
      <c r="Q162" s="7">
        <f>IF(N162="","",CEILING(MAX(N162*1.4,IF(L162="",N162*1.5,L162*0.95)),10)-1)</f>
        <v/>
      </c>
      <c r="R162" s="9">
        <f>IF(OR(L162="",Q162=""),"",TEXT((Q162-L162)/L162,"+0.0%;-0.0%"))</f>
        <v/>
      </c>
      <c r="S162" s="10">
        <f>IF(N162="","fill prices →",IF(O162&gt;0.5,"✅ PROFITABLE — keep",IF(O162&gt;0.2,"🟡 OK — optimize",IF(O162&gt;0,"⚠️ THIN — raise price or drop","❌ LOSING MONEY — drop or renegotiate"))))</f>
        <v/>
      </c>
    </row>
    <row r="163">
      <c r="A163" t="n">
        <v>162</v>
      </c>
      <c r="B163" t="inlineStr">
        <is>
          <t>NG-GAM-002</t>
        </is>
      </c>
      <c r="C163" t="inlineStr">
        <is>
          <t>Razer DeathAdder V3 HyperSpeed - Ultra-Light Wireless Gaming Mouse</t>
        </is>
      </c>
      <c r="D163" t="inlineStr">
        <is>
          <t>Gaming</t>
        </is>
      </c>
      <c r="E163" s="11" t="n">
        <v>849</v>
      </c>
      <c r="F163" s="12" t="inlineStr">
        <is>
          <t>🔗 Search</t>
        </is>
      </c>
      <c r="G163" s="12" t="inlineStr">
        <is>
          <t>🔗 Amazon</t>
        </is>
      </c>
      <c r="H163" s="12" t="inlineStr">
        <is>
          <t>🔗 Noon</t>
        </is>
      </c>
      <c r="I163" s="12" t="inlineStr">
        <is>
          <t>🔗 Jarir</t>
        </is>
      </c>
      <c r="J163" s="5" t="n"/>
      <c r="K163" s="6" t="n"/>
      <c r="L163" s="6" t="n"/>
      <c r="M163" s="7">
        <f>IF(J163="","",J163*3.75)</f>
        <v/>
      </c>
      <c r="N163" s="7">
        <f>IFERROR(MIN(IF(M163&lt;&gt;"",M163,9E9),IF(K163&lt;&gt;"",K163,9E9),IF(L163&lt;&gt;"",L163,9E9)),"")</f>
        <v/>
      </c>
      <c r="O163" s="8">
        <f>IF(OR(N163="",E163=0),"",(E163-N163)/N163)</f>
        <v/>
      </c>
      <c r="P163" s="7">
        <f>IF(N163="","",E163-N163)</f>
        <v/>
      </c>
      <c r="Q163" s="7">
        <f>IF(N163="","",CEILING(MAX(N163*1.4,IF(L163="",N163*1.5,L163*0.95)),10)-1)</f>
        <v/>
      </c>
      <c r="R163" s="9">
        <f>IF(OR(L163="",Q163=""),"",TEXT((Q163-L163)/L163,"+0.0%;-0.0%"))</f>
        <v/>
      </c>
      <c r="S163" s="10">
        <f>IF(N163="","fill prices →",IF(O163&gt;0.5,"✅ PROFITABLE — keep",IF(O163&gt;0.2,"🟡 OK — optimize",IF(O163&gt;0,"⚠️ THIN — raise price or drop","❌ LOSING MONEY — drop or renegotiate"))))</f>
        <v/>
      </c>
    </row>
    <row r="164">
      <c r="A164" s="2" t="n">
        <v>163</v>
      </c>
      <c r="B164" s="2" t="inlineStr">
        <is>
          <t>NG-GAM-001</t>
        </is>
      </c>
      <c r="C164" s="2" t="inlineStr">
        <is>
          <t>8BitDo Ultimate C Bluetooth Controller - Multi-Platform Gaming</t>
        </is>
      </c>
      <c r="D164" s="2" t="inlineStr">
        <is>
          <t>Gaming</t>
        </is>
      </c>
      <c r="E164" s="3" t="n">
        <v>309</v>
      </c>
      <c r="F164" s="4" t="inlineStr">
        <is>
          <t>🔗 Search</t>
        </is>
      </c>
      <c r="G164" s="4" t="inlineStr">
        <is>
          <t>🔗 Amazon</t>
        </is>
      </c>
      <c r="H164" s="4" t="inlineStr">
        <is>
          <t>🔗 Noon</t>
        </is>
      </c>
      <c r="I164" s="4" t="inlineStr">
        <is>
          <t>🔗 Jarir</t>
        </is>
      </c>
      <c r="J164" s="5" t="n"/>
      <c r="K164" s="6" t="n"/>
      <c r="L164" s="6" t="n"/>
      <c r="M164" s="7">
        <f>IF(J164="","",J164*3.75)</f>
        <v/>
      </c>
      <c r="N164" s="7">
        <f>IFERROR(MIN(IF(M164&lt;&gt;"",M164,9E9),IF(K164&lt;&gt;"",K164,9E9),IF(L164&lt;&gt;"",L164,9E9)),"")</f>
        <v/>
      </c>
      <c r="O164" s="8">
        <f>IF(OR(N164="",E164=0),"",(E164-N164)/N164)</f>
        <v/>
      </c>
      <c r="P164" s="7">
        <f>IF(N164="","",E164-N164)</f>
        <v/>
      </c>
      <c r="Q164" s="7">
        <f>IF(N164="","",CEILING(MAX(N164*1.4,IF(L164="",N164*1.5,L164*0.95)),10)-1)</f>
        <v/>
      </c>
      <c r="R164" s="9">
        <f>IF(OR(L164="",Q164=""),"",TEXT((Q164-L164)/L164,"+0.0%;-0.0%"))</f>
        <v/>
      </c>
      <c r="S164" s="10">
        <f>IF(N164="","fill prices →",IF(O164&gt;0.5,"✅ PROFITABLE — keep",IF(O164&gt;0.2,"🟡 OK — optimize",IF(O164&gt;0,"⚠️ THIN — raise price or drop","❌ LOSING MONEY — drop or renegotiate"))))</f>
        <v/>
      </c>
    </row>
    <row r="165">
      <c r="A165" t="n">
        <v>164</v>
      </c>
      <c r="B165" t="inlineStr">
        <is>
          <t>NG-NET-012</t>
        </is>
      </c>
      <c r="C165" t="inlineStr">
        <is>
          <t>Ubiquiti UniFi Cloud Gateway Ultra - All-in-One UniFi Gateway</t>
        </is>
      </c>
      <c r="D165" t="inlineStr">
        <is>
          <t>Networking</t>
        </is>
      </c>
      <c r="E165" s="11" t="n">
        <v>899</v>
      </c>
      <c r="F165" s="12" t="inlineStr">
        <is>
          <t>🔗 Search</t>
        </is>
      </c>
      <c r="G165" s="12" t="inlineStr">
        <is>
          <t>🔗 Amazon</t>
        </is>
      </c>
      <c r="H165" s="12" t="inlineStr">
        <is>
          <t>🔗 Noon</t>
        </is>
      </c>
      <c r="I165" s="12" t="inlineStr">
        <is>
          <t>🔗 Jarir</t>
        </is>
      </c>
      <c r="J165" s="5" t="n"/>
      <c r="K165" s="6" t="n"/>
      <c r="L165" s="6" t="n"/>
      <c r="M165" s="7">
        <f>IF(J165="","",J165*3.75)</f>
        <v/>
      </c>
      <c r="N165" s="7">
        <f>IFERROR(MIN(IF(M165&lt;&gt;"",M165,9E9),IF(K165&lt;&gt;"",K165,9E9),IF(L165&lt;&gt;"",L165,9E9)),"")</f>
        <v/>
      </c>
      <c r="O165" s="8">
        <f>IF(OR(N165="",E165=0),"",(E165-N165)/N165)</f>
        <v/>
      </c>
      <c r="P165" s="7">
        <f>IF(N165="","",E165-N165)</f>
        <v/>
      </c>
      <c r="Q165" s="7">
        <f>IF(N165="","",CEILING(MAX(N165*1.4,IF(L165="",N165*1.5,L165*0.95)),10)-1)</f>
        <v/>
      </c>
      <c r="R165" s="9">
        <f>IF(OR(L165="",Q165=""),"",TEXT((Q165-L165)/L165,"+0.0%;-0.0%"))</f>
        <v/>
      </c>
      <c r="S165" s="10">
        <f>IF(N165="","fill prices →",IF(O165&gt;0.5,"✅ PROFITABLE — keep",IF(O165&gt;0.2,"🟡 OK — optimize",IF(O165&gt;0,"⚠️ THIN — raise price or drop","❌ LOSING MONEY — drop or renegotiate"))))</f>
        <v/>
      </c>
    </row>
    <row r="166">
      <c r="A166" s="2" t="n">
        <v>165</v>
      </c>
      <c r="B166" s="2" t="inlineStr">
        <is>
          <t>NG-NET-011</t>
        </is>
      </c>
      <c r="C166" s="2" t="inlineStr">
        <is>
          <t>TP-Link Archer AXE75 - AXE5400 Tri-Band WiFi 6E Router</t>
        </is>
      </c>
      <c r="D166" s="2" t="inlineStr">
        <is>
          <t>Networking</t>
        </is>
      </c>
      <c r="E166" s="3" t="n">
        <v>1299</v>
      </c>
      <c r="F166" s="4" t="inlineStr">
        <is>
          <t>🔗 Search</t>
        </is>
      </c>
      <c r="G166" s="4" t="inlineStr">
        <is>
          <t>🔗 Amazon</t>
        </is>
      </c>
      <c r="H166" s="4" t="inlineStr">
        <is>
          <t>🔗 Noon</t>
        </is>
      </c>
      <c r="I166" s="4" t="inlineStr">
        <is>
          <t>🔗 Jarir</t>
        </is>
      </c>
      <c r="J166" s="5" t="n"/>
      <c r="K166" s="6" t="n"/>
      <c r="L166" s="6" t="n"/>
      <c r="M166" s="7">
        <f>IF(J166="","",J166*3.75)</f>
        <v/>
      </c>
      <c r="N166" s="7">
        <f>IFERROR(MIN(IF(M166&lt;&gt;"",M166,9E9),IF(K166&lt;&gt;"",K166,9E9),IF(L166&lt;&gt;"",L166,9E9)),"")</f>
        <v/>
      </c>
      <c r="O166" s="8">
        <f>IF(OR(N166="",E166=0),"",(E166-N166)/N166)</f>
        <v/>
      </c>
      <c r="P166" s="7">
        <f>IF(N166="","",E166-N166)</f>
        <v/>
      </c>
      <c r="Q166" s="7">
        <f>IF(N166="","",CEILING(MAX(N166*1.4,IF(L166="",N166*1.5,L166*0.95)),10)-1)</f>
        <v/>
      </c>
      <c r="R166" s="9">
        <f>IF(OR(L166="",Q166=""),"",TEXT((Q166-L166)/L166,"+0.0%;-0.0%"))</f>
        <v/>
      </c>
      <c r="S166" s="10">
        <f>IF(N166="","fill prices →",IF(O166&gt;0.5,"✅ PROFITABLE — keep",IF(O166&gt;0.2,"🟡 OK — optimize",IF(O166&gt;0,"⚠️ THIN — raise price or drop","❌ LOSING MONEY — drop or renegotiate"))))</f>
        <v/>
      </c>
    </row>
    <row r="167">
      <c r="A167" t="n">
        <v>166</v>
      </c>
      <c r="B167" t="inlineStr">
        <is>
          <t>NG-NET-010</t>
        </is>
      </c>
      <c r="C167" t="inlineStr">
        <is>
          <t>Ubiquiti UniFi USW-Flex-Mini - Ultra-Compact 5-Port Managed Switch</t>
        </is>
      </c>
      <c r="D167" t="inlineStr">
        <is>
          <t>Networking</t>
        </is>
      </c>
      <c r="E167" s="11" t="n">
        <v>219</v>
      </c>
      <c r="F167" s="12" t="inlineStr">
        <is>
          <t>🔗 Search</t>
        </is>
      </c>
      <c r="G167" s="12" t="inlineStr">
        <is>
          <t>🔗 Amazon</t>
        </is>
      </c>
      <c r="H167" s="12" t="inlineStr">
        <is>
          <t>🔗 Noon</t>
        </is>
      </c>
      <c r="I167" s="12" t="inlineStr">
        <is>
          <t>🔗 Jarir</t>
        </is>
      </c>
      <c r="J167" s="5" t="n"/>
      <c r="K167" s="6" t="n"/>
      <c r="L167" s="6" t="n"/>
      <c r="M167" s="7">
        <f>IF(J167="","",J167*3.75)</f>
        <v/>
      </c>
      <c r="N167" s="7">
        <f>IFERROR(MIN(IF(M167&lt;&gt;"",M167,9E9),IF(K167&lt;&gt;"",K167,9E9),IF(L167&lt;&gt;"",L167,9E9)),"")</f>
        <v/>
      </c>
      <c r="O167" s="8">
        <f>IF(OR(N167="",E167=0),"",(E167-N167)/N167)</f>
        <v/>
      </c>
      <c r="P167" s="7">
        <f>IF(N167="","",E167-N167)</f>
        <v/>
      </c>
      <c r="Q167" s="7">
        <f>IF(N167="","",CEILING(MAX(N167*1.4,IF(L167="",N167*1.5,L167*0.95)),10)-1)</f>
        <v/>
      </c>
      <c r="R167" s="9">
        <f>IF(OR(L167="",Q167=""),"",TEXT((Q167-L167)/L167,"+0.0%;-0.0%"))</f>
        <v/>
      </c>
      <c r="S167" s="10">
        <f>IF(N167="","fill prices →",IF(O167&gt;0.5,"✅ PROFITABLE — keep",IF(O167&gt;0.2,"🟡 OK — optimize",IF(O167&gt;0,"⚠️ THIN — raise price or drop","❌ LOSING MONEY — drop or renegotiate"))))</f>
        <v/>
      </c>
    </row>
    <row r="168">
      <c r="A168" s="2" t="n">
        <v>167</v>
      </c>
      <c r="B168" s="2" t="inlineStr">
        <is>
          <t>NG-NET-009</t>
        </is>
      </c>
      <c r="C168" s="2" t="inlineStr">
        <is>
          <t>Netgear GS308E - 8-Port Gigabit Plus Smart Managed Switch</t>
        </is>
      </c>
      <c r="D168" s="2" t="inlineStr">
        <is>
          <t>Networking</t>
        </is>
      </c>
      <c r="E168" s="3" t="n">
        <v>209</v>
      </c>
      <c r="F168" s="4" t="inlineStr">
        <is>
          <t>🔗 Search</t>
        </is>
      </c>
      <c r="G168" s="4" t="inlineStr">
        <is>
          <t>🔗 Amazon</t>
        </is>
      </c>
      <c r="H168" s="4" t="inlineStr">
        <is>
          <t>🔗 Noon</t>
        </is>
      </c>
      <c r="I168" s="4" t="inlineStr">
        <is>
          <t>🔗 Jarir</t>
        </is>
      </c>
      <c r="J168" s="5" t="n"/>
      <c r="K168" s="6" t="n"/>
      <c r="L168" s="6" t="n"/>
      <c r="M168" s="7">
        <f>IF(J168="","",J168*3.75)</f>
        <v/>
      </c>
      <c r="N168" s="7">
        <f>IFERROR(MIN(IF(M168&lt;&gt;"",M168,9E9),IF(K168&lt;&gt;"",K168,9E9),IF(L168&lt;&gt;"",L168,9E9)),"")</f>
        <v/>
      </c>
      <c r="O168" s="8">
        <f>IF(OR(N168="",E168=0),"",(E168-N168)/N168)</f>
        <v/>
      </c>
      <c r="P168" s="7">
        <f>IF(N168="","",E168-N168)</f>
        <v/>
      </c>
      <c r="Q168" s="7">
        <f>IF(N168="","",CEILING(MAX(N168*1.4,IF(L168="",N168*1.5,L168*0.95)),10)-1)</f>
        <v/>
      </c>
      <c r="R168" s="9">
        <f>IF(OR(L168="",Q168=""),"",TEXT((Q168-L168)/L168,"+0.0%;-0.0%"))</f>
        <v/>
      </c>
      <c r="S168" s="10">
        <f>IF(N168="","fill prices →",IF(O168&gt;0.5,"✅ PROFITABLE — keep",IF(O168&gt;0.2,"🟡 OK — optimize",IF(O168&gt;0,"⚠️ THIN — raise price or drop","❌ LOSING MONEY — drop or renegotiate"))))</f>
        <v/>
      </c>
    </row>
    <row r="169">
      <c r="A169" t="n">
        <v>168</v>
      </c>
      <c r="B169" t="inlineStr">
        <is>
          <t>NG-NET-008</t>
        </is>
      </c>
      <c r="C169" t="inlineStr">
        <is>
          <t>MikroTik hEX S (RB760iGS) - 5-Port Gigabit Router with SFP and USB</t>
        </is>
      </c>
      <c r="D169" t="inlineStr">
        <is>
          <t>Networking</t>
        </is>
      </c>
      <c r="E169" s="11" t="n">
        <v>649</v>
      </c>
      <c r="F169" s="12" t="inlineStr">
        <is>
          <t>🔗 Search</t>
        </is>
      </c>
      <c r="G169" s="12" t="inlineStr">
        <is>
          <t>🔗 Amazon</t>
        </is>
      </c>
      <c r="H169" s="12" t="inlineStr">
        <is>
          <t>🔗 Noon</t>
        </is>
      </c>
      <c r="I169" s="12" t="inlineStr">
        <is>
          <t>🔗 Jarir</t>
        </is>
      </c>
      <c r="J169" s="5" t="n"/>
      <c r="K169" s="6" t="n"/>
      <c r="L169" s="6" t="n"/>
      <c r="M169" s="7">
        <f>IF(J169="","",J169*3.75)</f>
        <v/>
      </c>
      <c r="N169" s="7">
        <f>IFERROR(MIN(IF(M169&lt;&gt;"",M169,9E9),IF(K169&lt;&gt;"",K169,9E9),IF(L169&lt;&gt;"",L169,9E9)),"")</f>
        <v/>
      </c>
      <c r="O169" s="8">
        <f>IF(OR(N169="",E169=0),"",(E169-N169)/N169)</f>
        <v/>
      </c>
      <c r="P169" s="7">
        <f>IF(N169="","",E169-N169)</f>
        <v/>
      </c>
      <c r="Q169" s="7">
        <f>IF(N169="","",CEILING(MAX(N169*1.4,IF(L169="",N169*1.5,L169*0.95)),10)-1)</f>
        <v/>
      </c>
      <c r="R169" s="9">
        <f>IF(OR(L169="",Q169=""),"",TEXT((Q169-L169)/L169,"+0.0%;-0.0%"))</f>
        <v/>
      </c>
      <c r="S169" s="10">
        <f>IF(N169="","fill prices →",IF(O169&gt;0.5,"✅ PROFITABLE — keep",IF(O169&gt;0.2,"🟡 OK — optimize",IF(O169&gt;0,"⚠️ THIN — raise price or drop","❌ LOSING MONEY — drop or renegotiate"))))</f>
        <v/>
      </c>
    </row>
    <row r="170">
      <c r="A170" s="2" t="n">
        <v>169</v>
      </c>
      <c r="B170" s="2" t="inlineStr">
        <is>
          <t>NG-NET-007</t>
        </is>
      </c>
      <c r="C170" s="2" t="inlineStr">
        <is>
          <t>Ubiquiti EdgeRouter X - Advanced Gigabit Router in a Pocket-Sized Form</t>
        </is>
      </c>
      <c r="D170" s="2" t="inlineStr">
        <is>
          <t>Networking</t>
        </is>
      </c>
      <c r="E170" s="3" t="n">
        <v>549</v>
      </c>
      <c r="F170" s="4" t="inlineStr">
        <is>
          <t>🔗 Search</t>
        </is>
      </c>
      <c r="G170" s="4" t="inlineStr">
        <is>
          <t>🔗 Amazon</t>
        </is>
      </c>
      <c r="H170" s="4" t="inlineStr">
        <is>
          <t>🔗 Noon</t>
        </is>
      </c>
      <c r="I170" s="4" t="inlineStr">
        <is>
          <t>🔗 Jarir</t>
        </is>
      </c>
      <c r="J170" s="5" t="n"/>
      <c r="K170" s="6" t="n"/>
      <c r="L170" s="6" t="n"/>
      <c r="M170" s="7">
        <f>IF(J170="","",J170*3.75)</f>
        <v/>
      </c>
      <c r="N170" s="7">
        <f>IFERROR(MIN(IF(M170&lt;&gt;"",M170,9E9),IF(K170&lt;&gt;"",K170,9E9),IF(L170&lt;&gt;"",L170,9E9)),"")</f>
        <v/>
      </c>
      <c r="O170" s="8">
        <f>IF(OR(N170="",E170=0),"",(E170-N170)/N170)</f>
        <v/>
      </c>
      <c r="P170" s="7">
        <f>IF(N170="","",E170-N170)</f>
        <v/>
      </c>
      <c r="Q170" s="7">
        <f>IF(N170="","",CEILING(MAX(N170*1.4,IF(L170="",N170*1.5,L170*0.95)),10)-1)</f>
        <v/>
      </c>
      <c r="R170" s="9">
        <f>IF(OR(L170="",Q170=""),"",TEXT((Q170-L170)/L170,"+0.0%;-0.0%"))</f>
        <v/>
      </c>
      <c r="S170" s="10">
        <f>IF(N170="","fill prices →",IF(O170&gt;0.5,"✅ PROFITABLE — keep",IF(O170&gt;0.2,"🟡 OK — optimize",IF(O170&gt;0,"⚠️ THIN — raise price or drop","❌ LOSING MONEY — drop or renegotiate"))))</f>
        <v/>
      </c>
    </row>
    <row r="171">
      <c r="A171" t="n">
        <v>170</v>
      </c>
      <c r="B171" t="inlineStr">
        <is>
          <t>NG-NET-006</t>
        </is>
      </c>
      <c r="C171" t="inlineStr">
        <is>
          <t>TP-Link TL-SG108E - 8-Port Gigabit Easy Smart Managed Switch</t>
        </is>
      </c>
      <c r="D171" t="inlineStr">
        <is>
          <t>Networking</t>
        </is>
      </c>
      <c r="E171" s="11" t="n">
        <v>229</v>
      </c>
      <c r="F171" s="12" t="inlineStr">
        <is>
          <t>🔗 Search</t>
        </is>
      </c>
      <c r="G171" s="12" t="inlineStr">
        <is>
          <t>🔗 Amazon</t>
        </is>
      </c>
      <c r="H171" s="12" t="inlineStr">
        <is>
          <t>🔗 Noon</t>
        </is>
      </c>
      <c r="I171" s="12" t="inlineStr">
        <is>
          <t>🔗 Jarir</t>
        </is>
      </c>
      <c r="J171" s="5" t="n"/>
      <c r="K171" s="6" t="n"/>
      <c r="L171" s="6" t="n"/>
      <c r="M171" s="7">
        <f>IF(J171="","",J171*3.75)</f>
        <v/>
      </c>
      <c r="N171" s="7">
        <f>IFERROR(MIN(IF(M171&lt;&gt;"",M171,9E9),IF(K171&lt;&gt;"",K171,9E9),IF(L171&lt;&gt;"",L171,9E9)),"")</f>
        <v/>
      </c>
      <c r="O171" s="8">
        <f>IF(OR(N171="",E171=0),"",(E171-N171)/N171)</f>
        <v/>
      </c>
      <c r="P171" s="7">
        <f>IF(N171="","",E171-N171)</f>
        <v/>
      </c>
      <c r="Q171" s="7">
        <f>IF(N171="","",CEILING(MAX(N171*1.4,IF(L171="",N171*1.5,L171*0.95)),10)-1)</f>
        <v/>
      </c>
      <c r="R171" s="9">
        <f>IF(OR(L171="",Q171=""),"",TEXT((Q171-L171)/L171,"+0.0%;-0.0%"))</f>
        <v/>
      </c>
      <c r="S171" s="10">
        <f>IF(N171="","fill prices →",IF(O171&gt;0.5,"✅ PROFITABLE — keep",IF(O171&gt;0.2,"🟡 OK — optimize",IF(O171&gt;0,"⚠️ THIN — raise price or drop","❌ LOSING MONEY — drop or renegotiate"))))</f>
        <v/>
      </c>
    </row>
    <row r="172">
      <c r="A172" s="2" t="n">
        <v>171</v>
      </c>
      <c r="B172" s="2" t="inlineStr">
        <is>
          <t>NG-NET-005</t>
        </is>
      </c>
      <c r="C172" s="2" t="inlineStr">
        <is>
          <t>Ubiquiti UniFi 6 Lite - WiFi 6 Access Point (AX1500)</t>
        </is>
      </c>
      <c r="D172" s="2" t="inlineStr">
        <is>
          <t>Networking</t>
        </is>
      </c>
      <c r="E172" s="3" t="n">
        <v>849</v>
      </c>
      <c r="F172" s="4" t="inlineStr">
        <is>
          <t>🔗 Search</t>
        </is>
      </c>
      <c r="G172" s="4" t="inlineStr">
        <is>
          <t>🔗 Amazon</t>
        </is>
      </c>
      <c r="H172" s="4" t="inlineStr">
        <is>
          <t>🔗 Noon</t>
        </is>
      </c>
      <c r="I172" s="4" t="inlineStr">
        <is>
          <t>🔗 Jarir</t>
        </is>
      </c>
      <c r="J172" s="5" t="n"/>
      <c r="K172" s="6" t="n"/>
      <c r="L172" s="6" t="n"/>
      <c r="M172" s="7">
        <f>IF(J172="","",J172*3.75)</f>
        <v/>
      </c>
      <c r="N172" s="7">
        <f>IFERROR(MIN(IF(M172&lt;&gt;"",M172,9E9),IF(K172&lt;&gt;"",K172,9E9),IF(L172&lt;&gt;"",L172,9E9)),"")</f>
        <v/>
      </c>
      <c r="O172" s="8">
        <f>IF(OR(N172="",E172=0),"",(E172-N172)/N172)</f>
        <v/>
      </c>
      <c r="P172" s="7">
        <f>IF(N172="","",E172-N172)</f>
        <v/>
      </c>
      <c r="Q172" s="7">
        <f>IF(N172="","",CEILING(MAX(N172*1.4,IF(L172="",N172*1.5,L172*0.95)),10)-1)</f>
        <v/>
      </c>
      <c r="R172" s="9">
        <f>IF(OR(L172="",Q172=""),"",TEXT((Q172-L172)/L172,"+0.0%;-0.0%"))</f>
        <v/>
      </c>
      <c r="S172" s="10">
        <f>IF(N172="","fill prices →",IF(O172&gt;0.5,"✅ PROFITABLE — keep",IF(O172&gt;0.2,"🟡 OK — optimize",IF(O172&gt;0,"⚠️ THIN — raise price or drop","❌ LOSING MONEY — drop or renegotiate"))))</f>
        <v/>
      </c>
    </row>
    <row r="173">
      <c r="A173" t="n">
        <v>172</v>
      </c>
      <c r="B173" t="inlineStr">
        <is>
          <t>NG-NET-004</t>
        </is>
      </c>
      <c r="C173" t="inlineStr">
        <is>
          <t>MikroTik CRS305-1G-4S+IN - 4-Port 10G SFP+ Desktop Switch</t>
        </is>
      </c>
      <c r="D173" t="inlineStr">
        <is>
          <t>Networking</t>
        </is>
      </c>
      <c r="E173" s="11" t="n">
        <v>1149</v>
      </c>
      <c r="F173" s="12" t="inlineStr">
        <is>
          <t>🔗 Search</t>
        </is>
      </c>
      <c r="G173" s="12" t="inlineStr">
        <is>
          <t>🔗 Amazon</t>
        </is>
      </c>
      <c r="H173" s="12" t="inlineStr">
        <is>
          <t>🔗 Noon</t>
        </is>
      </c>
      <c r="I173" s="12" t="inlineStr">
        <is>
          <t>🔗 Jarir</t>
        </is>
      </c>
      <c r="J173" s="5" t="n"/>
      <c r="K173" s="6" t="n"/>
      <c r="L173" s="6" t="n"/>
      <c r="M173" s="7">
        <f>IF(J173="","",J173*3.75)</f>
        <v/>
      </c>
      <c r="N173" s="7">
        <f>IFERROR(MIN(IF(M173&lt;&gt;"",M173,9E9),IF(K173&lt;&gt;"",K173,9E9),IF(L173&lt;&gt;"",L173,9E9)),"")</f>
        <v/>
      </c>
      <c r="O173" s="8">
        <f>IF(OR(N173="",E173=0),"",(E173-N173)/N173)</f>
        <v/>
      </c>
      <c r="P173" s="7">
        <f>IF(N173="","",E173-N173)</f>
        <v/>
      </c>
      <c r="Q173" s="7">
        <f>IF(N173="","",CEILING(MAX(N173*1.4,IF(L173="",N173*1.5,L173*0.95)),10)-1)</f>
        <v/>
      </c>
      <c r="R173" s="9">
        <f>IF(OR(L173="",Q173=""),"",TEXT((Q173-L173)/L173,"+0.0%;-0.0%"))</f>
        <v/>
      </c>
      <c r="S173" s="10">
        <f>IF(N173="","fill prices →",IF(O173&gt;0.5,"✅ PROFITABLE — keep",IF(O173&gt;0.2,"🟡 OK — optimize",IF(O173&gt;0,"⚠️ THIN — raise price or drop","❌ LOSING MONEY — drop or renegotiate"))))</f>
        <v/>
      </c>
    </row>
    <row r="174">
      <c r="A174" s="2" t="n">
        <v>173</v>
      </c>
      <c r="B174" s="2" t="inlineStr">
        <is>
          <t>NG-NET-003</t>
        </is>
      </c>
      <c r="C174" s="2" t="inlineStr">
        <is>
          <t>Ubiquiti UniFi Switch Lite 16 PoE - 16-Port Managed Gigabit PoE+ Switch</t>
        </is>
      </c>
      <c r="D174" s="2" t="inlineStr">
        <is>
          <t>Networking</t>
        </is>
      </c>
      <c r="E174" s="3" t="n">
        <v>1399</v>
      </c>
      <c r="F174" s="4" t="inlineStr">
        <is>
          <t>🔗 Search</t>
        </is>
      </c>
      <c r="G174" s="4" t="inlineStr">
        <is>
          <t>🔗 Amazon</t>
        </is>
      </c>
      <c r="H174" s="4" t="inlineStr">
        <is>
          <t>🔗 Noon</t>
        </is>
      </c>
      <c r="I174" s="4" t="inlineStr">
        <is>
          <t>🔗 Jarir</t>
        </is>
      </c>
      <c r="J174" s="5" t="n"/>
      <c r="K174" s="6" t="n"/>
      <c r="L174" s="6" t="n"/>
      <c r="M174" s="7">
        <f>IF(J174="","",J174*3.75)</f>
        <v/>
      </c>
      <c r="N174" s="7">
        <f>IFERROR(MIN(IF(M174&lt;&gt;"",M174,9E9),IF(K174&lt;&gt;"",K174,9E9),IF(L174&lt;&gt;"",L174,9E9)),"")</f>
        <v/>
      </c>
      <c r="O174" s="8">
        <f>IF(OR(N174="",E174=0),"",(E174-N174)/N174)</f>
        <v/>
      </c>
      <c r="P174" s="7">
        <f>IF(N174="","",E174-N174)</f>
        <v/>
      </c>
      <c r="Q174" s="7">
        <f>IF(N174="","",CEILING(MAX(N174*1.4,IF(L174="",N174*1.5,L174*0.95)),10)-1)</f>
        <v/>
      </c>
      <c r="R174" s="9">
        <f>IF(OR(L174="",Q174=""),"",TEXT((Q174-L174)/L174,"+0.0%;-0.0%"))</f>
        <v/>
      </c>
      <c r="S174" s="10">
        <f>IF(N174="","fill prices →",IF(O174&gt;0.5,"✅ PROFITABLE — keep",IF(O174&gt;0.2,"🟡 OK — optimize",IF(O174&gt;0,"⚠️ THIN — raise price or drop","❌ LOSING MONEY — drop or renegotiate"))))</f>
        <v/>
      </c>
    </row>
    <row r="175">
      <c r="A175" t="n">
        <v>174</v>
      </c>
      <c r="B175" t="inlineStr">
        <is>
          <t>NG-NET-002</t>
        </is>
      </c>
      <c r="C175" t="inlineStr">
        <is>
          <t>TP-Link Deco XE75 (3-Pack) - AXE5400 WiFi 6E Whole-Home Mesh System</t>
        </is>
      </c>
      <c r="D175" t="inlineStr">
        <is>
          <t>Networking</t>
        </is>
      </c>
      <c r="E175" s="11" t="n">
        <v>2099</v>
      </c>
      <c r="F175" s="12" t="inlineStr">
        <is>
          <t>🔗 Search</t>
        </is>
      </c>
      <c r="G175" s="12" t="inlineStr">
        <is>
          <t>🔗 Amazon</t>
        </is>
      </c>
      <c r="H175" s="12" t="inlineStr">
        <is>
          <t>🔗 Noon</t>
        </is>
      </c>
      <c r="I175" s="12" t="inlineStr">
        <is>
          <t>🔗 Jarir</t>
        </is>
      </c>
      <c r="J175" s="5" t="n"/>
      <c r="K175" s="6" t="n"/>
      <c r="L175" s="6" t="n"/>
      <c r="M175" s="7">
        <f>IF(J175="","",J175*3.75)</f>
        <v/>
      </c>
      <c r="N175" s="7">
        <f>IFERROR(MIN(IF(M175&lt;&gt;"",M175,9E9),IF(K175&lt;&gt;"",K175,9E9),IF(L175&lt;&gt;"",L175,9E9)),"")</f>
        <v/>
      </c>
      <c r="O175" s="8">
        <f>IF(OR(N175="",E175=0),"",(E175-N175)/N175)</f>
        <v/>
      </c>
      <c r="P175" s="7">
        <f>IF(N175="","",E175-N175)</f>
        <v/>
      </c>
      <c r="Q175" s="7">
        <f>IF(N175="","",CEILING(MAX(N175*1.4,IF(L175="",N175*1.5,L175*0.95)),10)-1)</f>
        <v/>
      </c>
      <c r="R175" s="9">
        <f>IF(OR(L175="",Q175=""),"",TEXT((Q175-L175)/L175,"+0.0%;-0.0%"))</f>
        <v/>
      </c>
      <c r="S175" s="10">
        <f>IF(N175="","fill prices →",IF(O175&gt;0.5,"✅ PROFITABLE — keep",IF(O175&gt;0.2,"🟡 OK — optimize",IF(O175&gt;0,"⚠️ THIN — raise price or drop","❌ LOSING MONEY — drop or renegotiate"))))</f>
        <v/>
      </c>
    </row>
    <row r="176">
      <c r="A176" s="2" t="n">
        <v>175</v>
      </c>
      <c r="B176" s="2" t="inlineStr">
        <is>
          <t>NG-NET-001</t>
        </is>
      </c>
      <c r="C176" s="2" t="inlineStr">
        <is>
          <t>MikroTik hAP ax3 - WiFi 6 Router with RouterOS Power</t>
        </is>
      </c>
      <c r="D176" s="2" t="inlineStr">
        <is>
          <t>Networking</t>
        </is>
      </c>
      <c r="E176" s="3" t="n">
        <v>799</v>
      </c>
      <c r="F176" s="4" t="inlineStr">
        <is>
          <t>🔗 Search</t>
        </is>
      </c>
      <c r="G176" s="4" t="inlineStr">
        <is>
          <t>🔗 Amazon</t>
        </is>
      </c>
      <c r="H176" s="4" t="inlineStr">
        <is>
          <t>🔗 Noon</t>
        </is>
      </c>
      <c r="I176" s="4" t="inlineStr">
        <is>
          <t>🔗 Jarir</t>
        </is>
      </c>
      <c r="J176" s="5" t="n"/>
      <c r="K176" s="6" t="n"/>
      <c r="L176" s="6" t="n"/>
      <c r="M176" s="7">
        <f>IF(J176="","",J176*3.75)</f>
        <v/>
      </c>
      <c r="N176" s="7">
        <f>IFERROR(MIN(IF(M176&lt;&gt;"",M176,9E9),IF(K176&lt;&gt;"",K176,9E9),IF(L176&lt;&gt;"",L176,9E9)),"")</f>
        <v/>
      </c>
      <c r="O176" s="8">
        <f>IF(OR(N176="",E176=0),"",(E176-N176)/N176)</f>
        <v/>
      </c>
      <c r="P176" s="7">
        <f>IF(N176="","",E176-N176)</f>
        <v/>
      </c>
      <c r="Q176" s="7">
        <f>IF(N176="","",CEILING(MAX(N176*1.4,IF(L176="",N176*1.5,L176*0.95)),10)-1)</f>
        <v/>
      </c>
      <c r="R176" s="9">
        <f>IF(OR(L176="",Q176=""),"",TEXT((Q176-L176)/L176,"+0.0%;-0.0%"))</f>
        <v/>
      </c>
      <c r="S176" s="10">
        <f>IF(N176="","fill prices →",IF(O176&gt;0.5,"✅ PROFITABLE — keep",IF(O176&gt;0.2,"🟡 OK — optimize",IF(O176&gt;0,"⚠️ THIN — raise price or drop","❌ LOSING MONEY — drop or renegotiate"))))</f>
        <v/>
      </c>
    </row>
    <row r="177">
      <c r="A177" t="n">
        <v>176</v>
      </c>
      <c r="B177" t="inlineStr">
        <is>
          <t>NG-SH-015</t>
        </is>
      </c>
      <c r="C177" t="inlineStr">
        <is>
          <t>Sonoff SNZB-02D Zigbee Temperature &amp;amp; Humidity Sensor with LCD Display</t>
        </is>
      </c>
      <c r="D177" t="inlineStr">
        <is>
          <t>Smart Home &amp;amp; IoT</t>
        </is>
      </c>
      <c r="E177" s="11" t="n">
        <v>159</v>
      </c>
      <c r="F177" s="12" t="inlineStr">
        <is>
          <t>🔗 Search</t>
        </is>
      </c>
      <c r="G177" s="12" t="inlineStr">
        <is>
          <t>🔗 Amazon</t>
        </is>
      </c>
      <c r="H177" s="12" t="inlineStr">
        <is>
          <t>🔗 Noon</t>
        </is>
      </c>
      <c r="I177" s="12" t="inlineStr">
        <is>
          <t>🔗 Jarir</t>
        </is>
      </c>
      <c r="J177" s="5" t="n"/>
      <c r="K177" s="6" t="n"/>
      <c r="L177" s="6" t="n"/>
      <c r="M177" s="7">
        <f>IF(J177="","",J177*3.75)</f>
        <v/>
      </c>
      <c r="N177" s="7">
        <f>IFERROR(MIN(IF(M177&lt;&gt;"",M177,9E9),IF(K177&lt;&gt;"",K177,9E9),IF(L177&lt;&gt;"",L177,9E9)),"")</f>
        <v/>
      </c>
      <c r="O177" s="8">
        <f>IF(OR(N177="",E177=0),"",(E177-N177)/N177)</f>
        <v/>
      </c>
      <c r="P177" s="7">
        <f>IF(N177="","",E177-N177)</f>
        <v/>
      </c>
      <c r="Q177" s="7">
        <f>IF(N177="","",CEILING(MAX(N177*1.4,IF(L177="",N177*1.5,L177*0.95)),10)-1)</f>
        <v/>
      </c>
      <c r="R177" s="9">
        <f>IF(OR(L177="",Q177=""),"",TEXT((Q177-L177)/L177,"+0.0%;-0.0%"))</f>
        <v/>
      </c>
      <c r="S177" s="10">
        <f>IF(N177="","fill prices →",IF(O177&gt;0.5,"✅ PROFITABLE — keep",IF(O177&gt;0.2,"🟡 OK — optimize",IF(O177&gt;0,"⚠️ THIN — raise price or drop","❌ LOSING MONEY — drop or renegotiate"))))</f>
        <v/>
      </c>
    </row>
    <row r="178">
      <c r="A178" s="2" t="n">
        <v>177</v>
      </c>
      <c r="B178" s="2" t="inlineStr">
        <is>
          <t>NG-SH-014</t>
        </is>
      </c>
      <c r="C178" s="2" t="inlineStr">
        <is>
          <t>MOES Zigbee Smart Thermostat (BHT-002-GCLZB) - Programmable HVAC Control</t>
        </is>
      </c>
      <c r="D178" s="2" t="inlineStr">
        <is>
          <t>Smart Home &amp;amp; IoT</t>
        </is>
      </c>
      <c r="E178" s="3" t="n">
        <v>379</v>
      </c>
      <c r="F178" s="4" t="inlineStr">
        <is>
          <t>🔗 Search</t>
        </is>
      </c>
      <c r="G178" s="4" t="inlineStr">
        <is>
          <t>🔗 Amazon</t>
        </is>
      </c>
      <c r="H178" s="4" t="inlineStr">
        <is>
          <t>🔗 Noon</t>
        </is>
      </c>
      <c r="I178" s="4" t="inlineStr">
        <is>
          <t>🔗 Jarir</t>
        </is>
      </c>
      <c r="J178" s="5" t="n"/>
      <c r="K178" s="6" t="n"/>
      <c r="L178" s="6" t="n"/>
      <c r="M178" s="7">
        <f>IF(J178="","",J178*3.75)</f>
        <v/>
      </c>
      <c r="N178" s="7">
        <f>IFERROR(MIN(IF(M178&lt;&gt;"",M178,9E9),IF(K178&lt;&gt;"",K178,9E9),IF(L178&lt;&gt;"",L178,9E9)),"")</f>
        <v/>
      </c>
      <c r="O178" s="8">
        <f>IF(OR(N178="",E178=0),"",(E178-N178)/N178)</f>
        <v/>
      </c>
      <c r="P178" s="7">
        <f>IF(N178="","",E178-N178)</f>
        <v/>
      </c>
      <c r="Q178" s="7">
        <f>IF(N178="","",CEILING(MAX(N178*1.4,IF(L178="",N178*1.5,L178*0.95)),10)-1)</f>
        <v/>
      </c>
      <c r="R178" s="9">
        <f>IF(OR(L178="",Q178=""),"",TEXT((Q178-L178)/L178,"+0.0%;-0.0%"))</f>
        <v/>
      </c>
      <c r="S178" s="10">
        <f>IF(N178="","fill prices →",IF(O178&gt;0.5,"✅ PROFITABLE — keep",IF(O178&gt;0.2,"🟡 OK — optimize",IF(O178&gt;0,"⚠️ THIN — raise price or drop","❌ LOSING MONEY — drop or renegotiate"))))</f>
        <v/>
      </c>
    </row>
    <row r="179">
      <c r="A179" t="n">
        <v>178</v>
      </c>
      <c r="B179" t="inlineStr">
        <is>
          <t>NG-SH-013</t>
        </is>
      </c>
      <c r="C179" t="inlineStr">
        <is>
          <t>Zemismart Zigbee Smart Tubular Motor (ZM25TQ) - Heavy-Duty Roller Blind Motor</t>
        </is>
      </c>
      <c r="D179" t="inlineStr">
        <is>
          <t>Smart Home &amp;amp; IoT</t>
        </is>
      </c>
      <c r="E179" s="11" t="n">
        <v>699</v>
      </c>
      <c r="F179" s="12" t="inlineStr">
        <is>
          <t>🔗 Search</t>
        </is>
      </c>
      <c r="G179" s="12" t="inlineStr">
        <is>
          <t>🔗 Amazon</t>
        </is>
      </c>
      <c r="H179" s="12" t="inlineStr">
        <is>
          <t>🔗 Noon</t>
        </is>
      </c>
      <c r="I179" s="12" t="inlineStr">
        <is>
          <t>🔗 Jarir</t>
        </is>
      </c>
      <c r="J179" s="5" t="n"/>
      <c r="K179" s="6" t="n"/>
      <c r="L179" s="6" t="n"/>
      <c r="M179" s="7">
        <f>IF(J179="","",J179*3.75)</f>
        <v/>
      </c>
      <c r="N179" s="7">
        <f>IFERROR(MIN(IF(M179&lt;&gt;"",M179,9E9),IF(K179&lt;&gt;"",K179,9E9),IF(L179&lt;&gt;"",L179,9E9)),"")</f>
        <v/>
      </c>
      <c r="O179" s="8">
        <f>IF(OR(N179="",E179=0),"",(E179-N179)/N179)</f>
        <v/>
      </c>
      <c r="P179" s="7">
        <f>IF(N179="","",E179-N179)</f>
        <v/>
      </c>
      <c r="Q179" s="7">
        <f>IF(N179="","",CEILING(MAX(N179*1.4,IF(L179="",N179*1.5,L179*0.95)),10)-1)</f>
        <v/>
      </c>
      <c r="R179" s="9">
        <f>IF(OR(L179="",Q179=""),"",TEXT((Q179-L179)/L179,"+0.0%;-0.0%"))</f>
        <v/>
      </c>
      <c r="S179" s="10">
        <f>IF(N179="","fill prices →",IF(O179&gt;0.5,"✅ PROFITABLE — keep",IF(O179&gt;0.2,"🟡 OK — optimize",IF(O179&gt;0,"⚠️ THIN — raise price or drop","❌ LOSING MONEY — drop or renegotiate"))))</f>
        <v/>
      </c>
    </row>
    <row r="180">
      <c r="A180" s="2" t="n">
        <v>179</v>
      </c>
      <c r="B180" s="2" t="inlineStr">
        <is>
          <t>NG-SH-012</t>
        </is>
      </c>
      <c r="C180" s="2" t="inlineStr">
        <is>
          <t>Aqara Roller Shade Driver E1 (RSD-M01) - Smart Roller Blind Motor with HomeKit</t>
        </is>
      </c>
      <c r="D180" s="2" t="inlineStr">
        <is>
          <t>Smart Home &amp;amp; IoT</t>
        </is>
      </c>
      <c r="E180" s="3" t="n">
        <v>599</v>
      </c>
      <c r="F180" s="4" t="inlineStr">
        <is>
          <t>🔗 Search</t>
        </is>
      </c>
      <c r="G180" s="4" t="inlineStr">
        <is>
          <t>🔗 Amazon</t>
        </is>
      </c>
      <c r="H180" s="4" t="inlineStr">
        <is>
          <t>🔗 Noon</t>
        </is>
      </c>
      <c r="I180" s="4" t="inlineStr">
        <is>
          <t>🔗 Jarir</t>
        </is>
      </c>
      <c r="J180" s="5" t="n"/>
      <c r="K180" s="6" t="n"/>
      <c r="L180" s="6" t="n"/>
      <c r="M180" s="7">
        <f>IF(J180="","",J180*3.75)</f>
        <v/>
      </c>
      <c r="N180" s="7">
        <f>IFERROR(MIN(IF(M180&lt;&gt;"",M180,9E9),IF(K180&lt;&gt;"",K180,9E9),IF(L180&lt;&gt;"",L180,9E9)),"")</f>
        <v/>
      </c>
      <c r="O180" s="8">
        <f>IF(OR(N180="",E180=0),"",(E180-N180)/N180)</f>
        <v/>
      </c>
      <c r="P180" s="7">
        <f>IF(N180="","",E180-N180)</f>
        <v/>
      </c>
      <c r="Q180" s="7">
        <f>IF(N180="","",CEILING(MAX(N180*1.4,IF(L180="",N180*1.5,L180*0.95)),10)-1)</f>
        <v/>
      </c>
      <c r="R180" s="9">
        <f>IF(OR(L180="",Q180=""),"",TEXT((Q180-L180)/L180,"+0.0%;-0.0%"))</f>
        <v/>
      </c>
      <c r="S180" s="10">
        <f>IF(N180="","fill prices →",IF(O180&gt;0.5,"✅ PROFITABLE — keep",IF(O180&gt;0.2,"🟡 OK — optimize",IF(O180&gt;0,"⚠️ THIN — raise price or drop","❌ LOSING MONEY — drop or renegotiate"))))</f>
        <v/>
      </c>
    </row>
    <row r="181">
      <c r="A181" t="n">
        <v>180</v>
      </c>
      <c r="B181" t="inlineStr">
        <is>
          <t>NG-SH-011</t>
        </is>
      </c>
      <c r="C181" t="inlineStr">
        <is>
          <t>SwitchBot Bot (S1) - Robotic Finger That Makes Any Button Smart</t>
        </is>
      </c>
      <c r="D181" t="inlineStr">
        <is>
          <t>Smart Home &amp;amp; IoT</t>
        </is>
      </c>
      <c r="E181" s="11" t="n">
        <v>279</v>
      </c>
      <c r="F181" s="12" t="inlineStr">
        <is>
          <t>🔗 Search</t>
        </is>
      </c>
      <c r="G181" s="12" t="inlineStr">
        <is>
          <t>🔗 Amazon</t>
        </is>
      </c>
      <c r="H181" s="12" t="inlineStr">
        <is>
          <t>🔗 Noon</t>
        </is>
      </c>
      <c r="I181" s="12" t="inlineStr">
        <is>
          <t>🔗 Jarir</t>
        </is>
      </c>
      <c r="J181" s="5" t="n"/>
      <c r="K181" s="6" t="n"/>
      <c r="L181" s="6" t="n"/>
      <c r="M181" s="7">
        <f>IF(J181="","",J181*3.75)</f>
        <v/>
      </c>
      <c r="N181" s="7">
        <f>IFERROR(MIN(IF(M181&lt;&gt;"",M181,9E9),IF(K181&lt;&gt;"",K181,9E9),IF(L181&lt;&gt;"",L181,9E9)),"")</f>
        <v/>
      </c>
      <c r="O181" s="8">
        <f>IF(OR(N181="",E181=0),"",(E181-N181)/N181)</f>
        <v/>
      </c>
      <c r="P181" s="7">
        <f>IF(N181="","",E181-N181)</f>
        <v/>
      </c>
      <c r="Q181" s="7">
        <f>IF(N181="","",CEILING(MAX(N181*1.4,IF(L181="",N181*1.5,L181*0.95)),10)-1)</f>
        <v/>
      </c>
      <c r="R181" s="9">
        <f>IF(OR(L181="",Q181=""),"",TEXT((Q181-L181)/L181,"+0.0%;-0.0%"))</f>
        <v/>
      </c>
      <c r="S181" s="10">
        <f>IF(N181="","fill prices →",IF(O181&gt;0.5,"✅ PROFITABLE — keep",IF(O181&gt;0.2,"🟡 OK — optimize",IF(O181&gt;0,"⚠️ THIN — raise price or drop","❌ LOSING MONEY — drop or renegotiate"))))</f>
        <v/>
      </c>
    </row>
    <row r="182">
      <c r="A182" s="2" t="n">
        <v>181</v>
      </c>
      <c r="B182" s="2" t="inlineStr">
        <is>
          <t>NG-SH-010</t>
        </is>
      </c>
      <c r="C182" s="2" t="inlineStr">
        <is>
          <t>Eve Energy Smart Plug (Matter/Thread) - Next-Gen Smart Plug with Power Monitoring</t>
        </is>
      </c>
      <c r="D182" s="2" t="inlineStr">
        <is>
          <t>Smart Home &amp;amp; IoT</t>
        </is>
      </c>
      <c r="E182" s="3" t="n">
        <v>399</v>
      </c>
      <c r="F182" s="4" t="inlineStr">
        <is>
          <t>🔗 Search</t>
        </is>
      </c>
      <c r="G182" s="4" t="inlineStr">
        <is>
          <t>🔗 Amazon</t>
        </is>
      </c>
      <c r="H182" s="4" t="inlineStr">
        <is>
          <t>🔗 Noon</t>
        </is>
      </c>
      <c r="I182" s="4" t="inlineStr">
        <is>
          <t>🔗 Jarir</t>
        </is>
      </c>
      <c r="J182" s="5" t="n"/>
      <c r="K182" s="6" t="n"/>
      <c r="L182" s="6" t="n"/>
      <c r="M182" s="7">
        <f>IF(J182="","",J182*3.75)</f>
        <v/>
      </c>
      <c r="N182" s="7">
        <f>IFERROR(MIN(IF(M182&lt;&gt;"",M182,9E9),IF(K182&lt;&gt;"",K182,9E9),IF(L182&lt;&gt;"",L182,9E9)),"")</f>
        <v/>
      </c>
      <c r="O182" s="8">
        <f>IF(OR(N182="",E182=0),"",(E182-N182)/N182)</f>
        <v/>
      </c>
      <c r="P182" s="7">
        <f>IF(N182="","",E182-N182)</f>
        <v/>
      </c>
      <c r="Q182" s="7">
        <f>IF(N182="","",CEILING(MAX(N182*1.4,IF(L182="",N182*1.5,L182*0.95)),10)-1)</f>
        <v/>
      </c>
      <c r="R182" s="9">
        <f>IF(OR(L182="",Q182=""),"",TEXT((Q182-L182)/L182,"+0.0%;-0.0%"))</f>
        <v/>
      </c>
      <c r="S182" s="10">
        <f>IF(N182="","fill prices →",IF(O182&gt;0.5,"✅ PROFITABLE — keep",IF(O182&gt;0.2,"🟡 OK — optimize",IF(O182&gt;0,"⚠️ THIN — raise price or drop","❌ LOSING MONEY — drop or renegotiate"))))</f>
        <v/>
      </c>
    </row>
    <row r="183">
      <c r="A183" t="n">
        <v>182</v>
      </c>
      <c r="B183" t="inlineStr">
        <is>
          <t>NG-SH-009</t>
        </is>
      </c>
      <c r="C183" t="inlineStr">
        <is>
          <t>Aqara Motion Sensor P1 (MS-S02) - Wide-Angle 170° Smart PIR Sensor</t>
        </is>
      </c>
      <c r="D183" t="inlineStr">
        <is>
          <t>Smart Home &amp;amp; IoT</t>
        </is>
      </c>
      <c r="E183" s="11" t="n">
        <v>279</v>
      </c>
      <c r="F183" s="12" t="inlineStr">
        <is>
          <t>🔗 Search</t>
        </is>
      </c>
      <c r="G183" s="12" t="inlineStr">
        <is>
          <t>🔗 Amazon</t>
        </is>
      </c>
      <c r="H183" s="12" t="inlineStr">
        <is>
          <t>🔗 Noon</t>
        </is>
      </c>
      <c r="I183" s="12" t="inlineStr">
        <is>
          <t>🔗 Jarir</t>
        </is>
      </c>
      <c r="J183" s="5" t="n"/>
      <c r="K183" s="6" t="n"/>
      <c r="L183" s="6" t="n"/>
      <c r="M183" s="7">
        <f>IF(J183="","",J183*3.75)</f>
        <v/>
      </c>
      <c r="N183" s="7">
        <f>IFERROR(MIN(IF(M183&lt;&gt;"",M183,9E9),IF(K183&lt;&gt;"",K183,9E9),IF(L183&lt;&gt;"",L183,9E9)),"")</f>
        <v/>
      </c>
      <c r="O183" s="8">
        <f>IF(OR(N183="",E183=0),"",(E183-N183)/N183)</f>
        <v/>
      </c>
      <c r="P183" s="7">
        <f>IF(N183="","",E183-N183)</f>
        <v/>
      </c>
      <c r="Q183" s="7">
        <f>IF(N183="","",CEILING(MAX(N183*1.4,IF(L183="",N183*1.5,L183*0.95)),10)-1)</f>
        <v/>
      </c>
      <c r="R183" s="9">
        <f>IF(OR(L183="",Q183=""),"",TEXT((Q183-L183)/L183,"+0.0%;-0.0%"))</f>
        <v/>
      </c>
      <c r="S183" s="10">
        <f>IF(N183="","fill prices →",IF(O183&gt;0.5,"✅ PROFITABLE — keep",IF(O183&gt;0.2,"🟡 OK — optimize",IF(O183&gt;0,"⚠️ THIN — raise price or drop","❌ LOSING MONEY — drop or renegotiate"))))</f>
        <v/>
      </c>
    </row>
    <row r="184">
      <c r="A184" s="2" t="n">
        <v>183</v>
      </c>
      <c r="B184" s="2" t="inlineStr">
        <is>
          <t>NG-SH-008</t>
        </is>
      </c>
      <c r="C184" s="2" t="inlineStr">
        <is>
          <t>Shelly Plus 1PM - Smart Wi-Fi Relay with Power Monitoring</t>
        </is>
      </c>
      <c r="D184" s="2" t="inlineStr">
        <is>
          <t>Smart Home &amp;amp; IoT</t>
        </is>
      </c>
      <c r="E184" s="3" t="n">
        <v>189</v>
      </c>
      <c r="F184" s="4" t="inlineStr">
        <is>
          <t>🔗 Search</t>
        </is>
      </c>
      <c r="G184" s="4" t="inlineStr">
        <is>
          <t>🔗 Amazon</t>
        </is>
      </c>
      <c r="H184" s="4" t="inlineStr">
        <is>
          <t>🔗 Noon</t>
        </is>
      </c>
      <c r="I184" s="4" t="inlineStr">
        <is>
          <t>🔗 Jarir</t>
        </is>
      </c>
      <c r="J184" s="5" t="n"/>
      <c r="K184" s="6" t="n"/>
      <c r="L184" s="6" t="n"/>
      <c r="M184" s="7">
        <f>IF(J184="","",J184*3.75)</f>
        <v/>
      </c>
      <c r="N184" s="7">
        <f>IFERROR(MIN(IF(M184&lt;&gt;"",M184,9E9),IF(K184&lt;&gt;"",K184,9E9),IF(L184&lt;&gt;"",L184,9E9)),"")</f>
        <v/>
      </c>
      <c r="O184" s="8">
        <f>IF(OR(N184="",E184=0),"",(E184-N184)/N184)</f>
        <v/>
      </c>
      <c r="P184" s="7">
        <f>IF(N184="","",E184-N184)</f>
        <v/>
      </c>
      <c r="Q184" s="7">
        <f>IF(N184="","",CEILING(MAX(N184*1.4,IF(L184="",N184*1.5,L184*0.95)),10)-1)</f>
        <v/>
      </c>
      <c r="R184" s="9">
        <f>IF(OR(L184="",Q184=""),"",TEXT((Q184-L184)/L184,"+0.0%;-0.0%"))</f>
        <v/>
      </c>
      <c r="S184" s="10">
        <f>IF(N184="","fill prices →",IF(O184&gt;0.5,"✅ PROFITABLE — keep",IF(O184&gt;0.2,"🟡 OK — optimize",IF(O184&gt;0,"⚠️ THIN — raise price or drop","❌ LOSING MONEY — drop or renegotiate"))))</f>
        <v/>
      </c>
    </row>
    <row r="185">
      <c r="A185" t="n">
        <v>184</v>
      </c>
      <c r="B185" t="inlineStr">
        <is>
          <t>NG-SH-007</t>
        </is>
      </c>
      <c r="C185" t="inlineStr">
        <is>
          <t>SwitchBot Curtain 3 (W2400000) - Turn Any Curtain Smart in Minutes</t>
        </is>
      </c>
      <c r="D185" t="inlineStr">
        <is>
          <t>Smart Home &amp;amp; IoT</t>
        </is>
      </c>
      <c r="E185" s="11" t="n">
        <v>549</v>
      </c>
      <c r="F185" s="12" t="inlineStr">
        <is>
          <t>🔗 Search</t>
        </is>
      </c>
      <c r="G185" s="12" t="inlineStr">
        <is>
          <t>🔗 Amazon</t>
        </is>
      </c>
      <c r="H185" s="12" t="inlineStr">
        <is>
          <t>🔗 Noon</t>
        </is>
      </c>
      <c r="I185" s="12" t="inlineStr">
        <is>
          <t>🔗 Jarir</t>
        </is>
      </c>
      <c r="J185" s="5" t="n"/>
      <c r="K185" s="6" t="n"/>
      <c r="L185" s="6" t="n"/>
      <c r="M185" s="7">
        <f>IF(J185="","",J185*3.75)</f>
        <v/>
      </c>
      <c r="N185" s="7">
        <f>IFERROR(MIN(IF(M185&lt;&gt;"",M185,9E9),IF(K185&lt;&gt;"",K185,9E9),IF(L185&lt;&gt;"",L185,9E9)),"")</f>
        <v/>
      </c>
      <c r="O185" s="8">
        <f>IF(OR(N185="",E185=0),"",(E185-N185)/N185)</f>
        <v/>
      </c>
      <c r="P185" s="7">
        <f>IF(N185="","",E185-N185)</f>
        <v/>
      </c>
      <c r="Q185" s="7">
        <f>IF(N185="","",CEILING(MAX(N185*1.4,IF(L185="",N185*1.5,L185*0.95)),10)-1)</f>
        <v/>
      </c>
      <c r="R185" s="9">
        <f>IF(OR(L185="",Q185=""),"",TEXT((Q185-L185)/L185,"+0.0%;-0.0%"))</f>
        <v/>
      </c>
      <c r="S185" s="10">
        <f>IF(N185="","fill prices →",IF(O185&gt;0.5,"✅ PROFITABLE — keep",IF(O185&gt;0.2,"🟡 OK — optimize",IF(O185&gt;0,"⚠️ THIN — raise price or drop","❌ LOSING MONEY — drop or renegotiate"))))</f>
        <v/>
      </c>
    </row>
    <row r="186">
      <c r="A186" s="2" t="n">
        <v>185</v>
      </c>
      <c r="B186" s="2" t="inlineStr">
        <is>
          <t>NG-SH-006</t>
        </is>
      </c>
      <c r="C186" s="2" t="inlineStr">
        <is>
          <t>Aqara Hub M2 (HM2-G01) - Multi-Protocol Smart Home Gateway</t>
        </is>
      </c>
      <c r="D186" s="2" t="inlineStr">
        <is>
          <t>Smart Home &amp;amp; IoT</t>
        </is>
      </c>
      <c r="E186" s="3" t="n">
        <v>499</v>
      </c>
      <c r="F186" s="4" t="inlineStr">
        <is>
          <t>🔗 Search</t>
        </is>
      </c>
      <c r="G186" s="4" t="inlineStr">
        <is>
          <t>🔗 Amazon</t>
        </is>
      </c>
      <c r="H186" s="4" t="inlineStr">
        <is>
          <t>🔗 Noon</t>
        </is>
      </c>
      <c r="I186" s="4" t="inlineStr">
        <is>
          <t>🔗 Jarir</t>
        </is>
      </c>
      <c r="J186" s="5" t="n"/>
      <c r="K186" s="6" t="n"/>
      <c r="L186" s="6" t="n"/>
      <c r="M186" s="7">
        <f>IF(J186="","",J186*3.75)</f>
        <v/>
      </c>
      <c r="N186" s="7">
        <f>IFERROR(MIN(IF(M186&lt;&gt;"",M186,9E9),IF(K186&lt;&gt;"",K186,9E9),IF(L186&lt;&gt;"",L186,9E9)),"")</f>
        <v/>
      </c>
      <c r="O186" s="8">
        <f>IF(OR(N186="",E186=0),"",(E186-N186)/N186)</f>
        <v/>
      </c>
      <c r="P186" s="7">
        <f>IF(N186="","",E186-N186)</f>
        <v/>
      </c>
      <c r="Q186" s="7">
        <f>IF(N186="","",CEILING(MAX(N186*1.4,IF(L186="",N186*1.5,L186*0.95)),10)-1)</f>
        <v/>
      </c>
      <c r="R186" s="9">
        <f>IF(OR(L186="",Q186=""),"",TEXT((Q186-L186)/L186,"+0.0%;-0.0%"))</f>
        <v/>
      </c>
      <c r="S186" s="10">
        <f>IF(N186="","fill prices →",IF(O186&gt;0.5,"✅ PROFITABLE — keep",IF(O186&gt;0.2,"🟡 OK — optimize",IF(O186&gt;0,"⚠️ THIN — raise price or drop","❌ LOSING MONEY — drop or renegotiate"))))</f>
        <v/>
      </c>
    </row>
    <row r="187">
      <c r="A187" t="n">
        <v>186</v>
      </c>
      <c r="B187" t="inlineStr">
        <is>
          <t>NG-ENT-010</t>
        </is>
      </c>
      <c r="C187" t="inlineStr">
        <is>
          <t>Ubiquiti UniFi Switch Pro 24 PoE (USW-Pro-24-PoE) - Smart Managed PoE+ Switch</t>
        </is>
      </c>
      <c r="D187" t="inlineStr">
        <is>
          <t>Homelab</t>
        </is>
      </c>
      <c r="E187" s="11" t="n">
        <v>4199</v>
      </c>
      <c r="F187" s="12" t="inlineStr">
        <is>
          <t>🔗 Search</t>
        </is>
      </c>
      <c r="G187" s="12" t="inlineStr">
        <is>
          <t>🔗 Amazon</t>
        </is>
      </c>
      <c r="H187" s="12" t="inlineStr">
        <is>
          <t>🔗 Noon</t>
        </is>
      </c>
      <c r="I187" s="12" t="inlineStr">
        <is>
          <t>🔗 Jarir</t>
        </is>
      </c>
      <c r="J187" s="5" t="n"/>
      <c r="K187" s="6" t="n"/>
      <c r="L187" s="6" t="n"/>
      <c r="M187" s="7">
        <f>IF(J187="","",J187*3.75)</f>
        <v/>
      </c>
      <c r="N187" s="7">
        <f>IFERROR(MIN(IF(M187&lt;&gt;"",M187,9E9),IF(K187&lt;&gt;"",K187,9E9),IF(L187&lt;&gt;"",L187,9E9)),"")</f>
        <v/>
      </c>
      <c r="O187" s="8">
        <f>IF(OR(N187="",E187=0),"",(E187-N187)/N187)</f>
        <v/>
      </c>
      <c r="P187" s="7">
        <f>IF(N187="","",E187-N187)</f>
        <v/>
      </c>
      <c r="Q187" s="7">
        <f>IF(N187="","",CEILING(MAX(N187*1.4,IF(L187="",N187*1.5,L187*0.95)),10)-1)</f>
        <v/>
      </c>
      <c r="R187" s="9">
        <f>IF(OR(L187="",Q187=""),"",TEXT((Q187-L187)/L187,"+0.0%;-0.0%"))</f>
        <v/>
      </c>
      <c r="S187" s="10">
        <f>IF(N187="","fill prices →",IF(O187&gt;0.5,"✅ PROFITABLE — keep",IF(O187&gt;0.2,"🟡 OK — optimize",IF(O187&gt;0,"⚠️ THIN — raise price or drop","❌ LOSING MONEY — drop or renegotiate"))))</f>
        <v/>
      </c>
    </row>
    <row r="188">
      <c r="A188" s="2" t="n">
        <v>187</v>
      </c>
      <c r="B188" s="2" t="inlineStr">
        <is>
          <t>NG-ENT-009</t>
        </is>
      </c>
      <c r="C188" s="2" t="inlineStr">
        <is>
          <t>HPE ProLiant DL380 Gen10 Server (Refurbished) - Data Center Power at Smart Pricing</t>
        </is>
      </c>
      <c r="D188" s="2" t="inlineStr">
        <is>
          <t>Homelab</t>
        </is>
      </c>
      <c r="E188" s="3" t="n">
        <v>6499</v>
      </c>
      <c r="F188" s="4" t="inlineStr">
        <is>
          <t>🔗 Search</t>
        </is>
      </c>
      <c r="G188" s="4" t="inlineStr">
        <is>
          <t>🔗 Amazon</t>
        </is>
      </c>
      <c r="H188" s="4" t="inlineStr">
        <is>
          <t>🔗 Noon</t>
        </is>
      </c>
      <c r="I188" s="4" t="inlineStr">
        <is>
          <t>🔗 Jarir</t>
        </is>
      </c>
      <c r="J188" s="5" t="n"/>
      <c r="K188" s="6" t="n"/>
      <c r="L188" s="6" t="n"/>
      <c r="M188" s="7">
        <f>IF(J188="","",J188*3.75)</f>
        <v/>
      </c>
      <c r="N188" s="7">
        <f>IFERROR(MIN(IF(M188&lt;&gt;"",M188,9E9),IF(K188&lt;&gt;"",K188,9E9),IF(L188&lt;&gt;"",L188,9E9)),"")</f>
        <v/>
      </c>
      <c r="O188" s="8">
        <f>IF(OR(N188="",E188=0),"",(E188-N188)/N188)</f>
        <v/>
      </c>
      <c r="P188" s="7">
        <f>IF(N188="","",E188-N188)</f>
        <v/>
      </c>
      <c r="Q188" s="7">
        <f>IF(N188="","",CEILING(MAX(N188*1.4,IF(L188="",N188*1.5,L188*0.95)),10)-1)</f>
        <v/>
      </c>
      <c r="R188" s="9">
        <f>IF(OR(L188="",Q188=""),"",TEXT((Q188-L188)/L188,"+0.0%;-0.0%"))</f>
        <v/>
      </c>
      <c r="S188" s="10">
        <f>IF(N188="","fill prices →",IF(O188&gt;0.5,"✅ PROFITABLE — keep",IF(O188&gt;0.2,"🟡 OK — optimize",IF(O188&gt;0,"⚠️ THIN — raise price or drop","❌ LOSING MONEY — drop or renegotiate"))))</f>
        <v/>
      </c>
    </row>
    <row r="189">
      <c r="A189" t="n">
        <v>188</v>
      </c>
      <c r="B189" t="inlineStr">
        <is>
          <t>NG-ENT-008</t>
        </is>
      </c>
      <c r="C189" t="inlineStr">
        <is>
          <t>APC Smart-UPS 1500VA LCD RM 2U (SMT1500RMI2U) - Pure Sine Wave Rack UPS</t>
        </is>
      </c>
      <c r="D189" t="inlineStr">
        <is>
          <t>Homelab</t>
        </is>
      </c>
      <c r="E189" s="11" t="n">
        <v>4899</v>
      </c>
      <c r="F189" s="12" t="inlineStr">
        <is>
          <t>🔗 Search</t>
        </is>
      </c>
      <c r="G189" s="12" t="inlineStr">
        <is>
          <t>🔗 Amazon</t>
        </is>
      </c>
      <c r="H189" s="12" t="inlineStr">
        <is>
          <t>🔗 Noon</t>
        </is>
      </c>
      <c r="I189" s="12" t="inlineStr">
        <is>
          <t>🔗 Jarir</t>
        </is>
      </c>
      <c r="J189" s="5" t="n"/>
      <c r="K189" s="6" t="n"/>
      <c r="L189" s="6" t="n"/>
      <c r="M189" s="7">
        <f>IF(J189="","",J189*3.75)</f>
        <v/>
      </c>
      <c r="N189" s="7">
        <f>IFERROR(MIN(IF(M189&lt;&gt;"",M189,9E9),IF(K189&lt;&gt;"",K189,9E9),IF(L189&lt;&gt;"",L189,9E9)),"")</f>
        <v/>
      </c>
      <c r="O189" s="8">
        <f>IF(OR(N189="",E189=0),"",(E189-N189)/N189)</f>
        <v/>
      </c>
      <c r="P189" s="7">
        <f>IF(N189="","",E189-N189)</f>
        <v/>
      </c>
      <c r="Q189" s="7">
        <f>IF(N189="","",CEILING(MAX(N189*1.4,IF(L189="",N189*1.5,L189*0.95)),10)-1)</f>
        <v/>
      </c>
      <c r="R189" s="9">
        <f>IF(OR(L189="",Q189=""),"",TEXT((Q189-L189)/L189,"+0.0%;-0.0%"))</f>
        <v/>
      </c>
      <c r="S189" s="10">
        <f>IF(N189="","fill prices →",IF(O189&gt;0.5,"✅ PROFITABLE — keep",IF(O189&gt;0.2,"🟡 OK — optimize",IF(O189&gt;0,"⚠️ THIN — raise price or drop","❌ LOSING MONEY — drop or renegotiate"))))</f>
        <v/>
      </c>
    </row>
    <row r="190">
      <c r="A190" s="2" t="n">
        <v>189</v>
      </c>
      <c r="B190" s="2" t="inlineStr">
        <is>
          <t>NG-ENT-007</t>
        </is>
      </c>
      <c r="C190" s="2" t="inlineStr">
        <is>
          <t>MikroTik CRS326-24G-2S+RM 24-Port Managed Gigabit Switch with 10G SFP+</t>
        </is>
      </c>
      <c r="D190" s="2" t="inlineStr">
        <is>
          <t>Homelab</t>
        </is>
      </c>
      <c r="E190" s="3" t="n">
        <v>1649</v>
      </c>
      <c r="F190" s="4" t="inlineStr">
        <is>
          <t>🔗 Search</t>
        </is>
      </c>
      <c r="G190" s="4" t="inlineStr">
        <is>
          <t>🔗 Amazon</t>
        </is>
      </c>
      <c r="H190" s="4" t="inlineStr">
        <is>
          <t>🔗 Noon</t>
        </is>
      </c>
      <c r="I190" s="4" t="inlineStr">
        <is>
          <t>🔗 Jarir</t>
        </is>
      </c>
      <c r="J190" s="5" t="n"/>
      <c r="K190" s="6" t="n"/>
      <c r="L190" s="6" t="n"/>
      <c r="M190" s="7">
        <f>IF(J190="","",J190*3.75)</f>
        <v/>
      </c>
      <c r="N190" s="7">
        <f>IFERROR(MIN(IF(M190&lt;&gt;"",M190,9E9),IF(K190&lt;&gt;"",K190,9E9),IF(L190&lt;&gt;"",L190,9E9)),"")</f>
        <v/>
      </c>
      <c r="O190" s="8">
        <f>IF(OR(N190="",E190=0),"",(E190-N190)/N190)</f>
        <v/>
      </c>
      <c r="P190" s="7">
        <f>IF(N190="","",E190-N190)</f>
        <v/>
      </c>
      <c r="Q190" s="7">
        <f>IF(N190="","",CEILING(MAX(N190*1.4,IF(L190="",N190*1.5,L190*0.95)),10)-1)</f>
        <v/>
      </c>
      <c r="R190" s="9">
        <f>IF(OR(L190="",Q190=""),"",TEXT((Q190-L190)/L190,"+0.0%;-0.0%"))</f>
        <v/>
      </c>
      <c r="S190" s="10">
        <f>IF(N190="","fill prices →",IF(O190&gt;0.5,"✅ PROFITABLE — keep",IF(O190&gt;0.2,"🟡 OK — optimize",IF(O190&gt;0,"⚠️ THIN — raise price or drop","❌ LOSING MONEY — drop or renegotiate"))))</f>
        <v/>
      </c>
    </row>
    <row r="191">
      <c r="A191" t="n">
        <v>190</v>
      </c>
      <c r="B191" t="inlineStr">
        <is>
          <t>NG-ENT-006</t>
        </is>
      </c>
      <c r="C191" t="inlineStr">
        <is>
          <t>Synology DiskStation DS1621+ 6-Bay NAS - Enterprise Storage Powerhouse</t>
        </is>
      </c>
      <c r="D191" t="inlineStr">
        <is>
          <t>Homelab</t>
        </is>
      </c>
      <c r="E191" s="11" t="n">
        <v>5599</v>
      </c>
      <c r="F191" s="12" t="inlineStr">
        <is>
          <t>🔗 Search</t>
        </is>
      </c>
      <c r="G191" s="12" t="inlineStr">
        <is>
          <t>🔗 Amazon</t>
        </is>
      </c>
      <c r="H191" s="12" t="inlineStr">
        <is>
          <t>🔗 Noon</t>
        </is>
      </c>
      <c r="I191" s="12" t="inlineStr">
        <is>
          <t>🔗 Jarir</t>
        </is>
      </c>
      <c r="J191" s="5" t="n"/>
      <c r="K191" s="6" t="n"/>
      <c r="L191" s="6" t="n"/>
      <c r="M191" s="7">
        <f>IF(J191="","",J191*3.75)</f>
        <v/>
      </c>
      <c r="N191" s="7">
        <f>IFERROR(MIN(IF(M191&lt;&gt;"",M191,9E9),IF(K191&lt;&gt;"",K191,9E9),IF(L191&lt;&gt;"",L191,9E9)),"")</f>
        <v/>
      </c>
      <c r="O191" s="8">
        <f>IF(OR(N191="",E191=0),"",(E191-N191)/N191)</f>
        <v/>
      </c>
      <c r="P191" s="7">
        <f>IF(N191="","",E191-N191)</f>
        <v/>
      </c>
      <c r="Q191" s="7">
        <f>IF(N191="","",CEILING(MAX(N191*1.4,IF(L191="",N191*1.5,L191*0.95)),10)-1)</f>
        <v/>
      </c>
      <c r="R191" s="9">
        <f>IF(OR(L191="",Q191=""),"",TEXT((Q191-L191)/L191,"+0.0%;-0.0%"))</f>
        <v/>
      </c>
      <c r="S191" s="10">
        <f>IF(N191="","fill prices →",IF(O191&gt;0.5,"✅ PROFITABLE — keep",IF(O191&gt;0.2,"🟡 OK — optimize",IF(O191&gt;0,"⚠️ THIN — raise price or drop","❌ LOSING MONEY — drop or renegotiate"))))</f>
        <v/>
      </c>
    </row>
    <row r="192">
      <c r="A192" s="2" t="n">
        <v>191</v>
      </c>
      <c r="B192" s="2" t="inlineStr">
        <is>
          <t>NG-ACC-005</t>
        </is>
      </c>
      <c r="C192" s="2" t="inlineStr">
        <is>
          <t>Flipper Zero - The Ultimate Multi-Tool for Geeks and Cyber-Research</t>
        </is>
      </c>
      <c r="D192" s="2" t="inlineStr">
        <is>
          <t>Accessories &amp;amp; Lifestyle</t>
        </is>
      </c>
      <c r="E192" s="3" t="n">
        <v>1799</v>
      </c>
      <c r="F192" s="4" t="inlineStr">
        <is>
          <t>🔗 Search</t>
        </is>
      </c>
      <c r="G192" s="4" t="inlineStr">
        <is>
          <t>🔗 Amazon</t>
        </is>
      </c>
      <c r="H192" s="4" t="inlineStr">
        <is>
          <t>🔗 Noon</t>
        </is>
      </c>
      <c r="I192" s="4" t="inlineStr">
        <is>
          <t>🔗 Jarir</t>
        </is>
      </c>
      <c r="J192" s="5" t="n"/>
      <c r="K192" s="6" t="n"/>
      <c r="L192" s="6" t="n"/>
      <c r="M192" s="7">
        <f>IF(J192="","",J192*3.75)</f>
        <v/>
      </c>
      <c r="N192" s="7">
        <f>IFERROR(MIN(IF(M192&lt;&gt;"",M192,9E9),IF(K192&lt;&gt;"",K192,9E9),IF(L192&lt;&gt;"",L192,9E9)),"")</f>
        <v/>
      </c>
      <c r="O192" s="8">
        <f>IF(OR(N192="",E192=0),"",(E192-N192)/N192)</f>
        <v/>
      </c>
      <c r="P192" s="7">
        <f>IF(N192="","",E192-N192)</f>
        <v/>
      </c>
      <c r="Q192" s="7">
        <f>IF(N192="","",CEILING(MAX(N192*1.4,IF(L192="",N192*1.5,L192*0.95)),10)-1)</f>
        <v/>
      </c>
      <c r="R192" s="9">
        <f>IF(OR(L192="",Q192=""),"",TEXT((Q192-L192)/L192,"+0.0%;-0.0%"))</f>
        <v/>
      </c>
      <c r="S192" s="10">
        <f>IF(N192="","fill prices →",IF(O192&gt;0.5,"✅ PROFITABLE — keep",IF(O192&gt;0.2,"🟡 OK — optimize",IF(O192&gt;0,"⚠️ THIN — raise price or drop","❌ LOSING MONEY — drop or renegotiate"))))</f>
        <v/>
      </c>
    </row>
    <row r="193">
      <c r="A193" t="n">
        <v>192</v>
      </c>
      <c r="B193" t="inlineStr">
        <is>
          <t>NG-ACC-004</t>
        </is>
      </c>
      <c r="C193" t="inlineStr">
        <is>
          <t>Seagate IronWolf 18TB NAS Internal Hard Drive - Built for 24/7 Performance</t>
        </is>
      </c>
      <c r="D193" t="inlineStr">
        <is>
          <t>Hardware</t>
        </is>
      </c>
      <c r="E193" s="11" t="n">
        <v>2699</v>
      </c>
      <c r="F193" s="12" t="inlineStr">
        <is>
          <t>🔗 Search</t>
        </is>
      </c>
      <c r="G193" s="12" t="inlineStr">
        <is>
          <t>🔗 Amazon</t>
        </is>
      </c>
      <c r="H193" s="12" t="inlineStr">
        <is>
          <t>🔗 Noon</t>
        </is>
      </c>
      <c r="I193" s="12" t="inlineStr">
        <is>
          <t>🔗 Jarir</t>
        </is>
      </c>
      <c r="J193" s="5" t="n"/>
      <c r="K193" s="6" t="n"/>
      <c r="L193" s="6" t="n"/>
      <c r="M193" s="7">
        <f>IF(J193="","",J193*3.75)</f>
        <v/>
      </c>
      <c r="N193" s="7">
        <f>IFERROR(MIN(IF(M193&lt;&gt;"",M193,9E9),IF(K193&lt;&gt;"",K193,9E9),IF(L193&lt;&gt;"",L193,9E9)),"")</f>
        <v/>
      </c>
      <c r="O193" s="8">
        <f>IF(OR(N193="",E193=0),"",(E193-N193)/N193)</f>
        <v/>
      </c>
      <c r="P193" s="7">
        <f>IF(N193="","",E193-N193)</f>
        <v/>
      </c>
      <c r="Q193" s="7">
        <f>IF(N193="","",CEILING(MAX(N193*1.4,IF(L193="",N193*1.5,L193*0.95)),10)-1)</f>
        <v/>
      </c>
      <c r="R193" s="9">
        <f>IF(OR(L193="",Q193=""),"",TEXT((Q193-L193)/L193,"+0.0%;-0.0%"))</f>
        <v/>
      </c>
      <c r="S193" s="10">
        <f>IF(N193="","fill prices →",IF(O193&gt;0.5,"✅ PROFITABLE — keep",IF(O193&gt;0.2,"🟡 OK — optimize",IF(O193&gt;0,"⚠️ THIN — raise price or drop","❌ LOSING MONEY — drop or renegotiate"))))</f>
        <v/>
      </c>
    </row>
    <row r="194">
      <c r="A194" s="2" t="n">
        <v>193</v>
      </c>
      <c r="B194" s="2" t="inlineStr">
        <is>
          <t>NG-ACC-003</t>
        </is>
      </c>
      <c r="C194" s="2" t="inlineStr">
        <is>
          <t>Mark Ryden Anti-theft Laptop Backpack - Maximum Protection for Your Tech</t>
        </is>
      </c>
      <c r="D194" s="2" t="inlineStr">
        <is>
          <t>Accessories &amp;amp; Lifestyle</t>
        </is>
      </c>
      <c r="E194" s="3" t="n">
        <v>409</v>
      </c>
      <c r="F194" s="4" t="inlineStr">
        <is>
          <t>🔗 Search</t>
        </is>
      </c>
      <c r="G194" s="4" t="inlineStr">
        <is>
          <t>🔗 Amazon</t>
        </is>
      </c>
      <c r="H194" s="4" t="inlineStr">
        <is>
          <t>🔗 Noon</t>
        </is>
      </c>
      <c r="I194" s="4" t="inlineStr">
        <is>
          <t>🔗 Jarir</t>
        </is>
      </c>
      <c r="J194" s="5" t="n"/>
      <c r="K194" s="6" t="n"/>
      <c r="L194" s="6" t="n"/>
      <c r="M194" s="7">
        <f>IF(J194="","",J194*3.75)</f>
        <v/>
      </c>
      <c r="N194" s="7">
        <f>IFERROR(MIN(IF(M194&lt;&gt;"",M194,9E9),IF(K194&lt;&gt;"",K194,9E9),IF(L194&lt;&gt;"",L194,9E9)),"")</f>
        <v/>
      </c>
      <c r="O194" s="8">
        <f>IF(OR(N194="",E194=0),"",(E194-N194)/N194)</f>
        <v/>
      </c>
      <c r="P194" s="7">
        <f>IF(N194="","",E194-N194)</f>
        <v/>
      </c>
      <c r="Q194" s="7">
        <f>IF(N194="","",CEILING(MAX(N194*1.4,IF(L194="",N194*1.5,L194*0.95)),10)-1)</f>
        <v/>
      </c>
      <c r="R194" s="9">
        <f>IF(OR(L194="",Q194=""),"",TEXT((Q194-L194)/L194,"+0.0%;-0.0%"))</f>
        <v/>
      </c>
      <c r="S194" s="10">
        <f>IF(N194="","fill prices →",IF(O194&gt;0.5,"✅ PROFITABLE — keep",IF(O194&gt;0.2,"🟡 OK — optimize",IF(O194&gt;0,"⚠️ THIN — raise price or drop","❌ LOSING MONEY — drop or renegotiate"))))</f>
        <v/>
      </c>
    </row>
    <row r="195">
      <c r="A195" t="n">
        <v>194</v>
      </c>
      <c r="B195" t="inlineStr">
        <is>
          <t>NG-ACC-002</t>
        </is>
      </c>
      <c r="C195" t="inlineStr">
        <is>
          <t>Anker 735 GaN 65W Charger - Compact 3-Port Fast Charger</t>
        </is>
      </c>
      <c r="D195" t="inlineStr">
        <is>
          <t>Accessories &amp;amp; Lifestyle</t>
        </is>
      </c>
      <c r="E195" s="11" t="n">
        <v>379</v>
      </c>
      <c r="F195" s="12" t="inlineStr">
        <is>
          <t>🔗 Search</t>
        </is>
      </c>
      <c r="G195" s="12" t="inlineStr">
        <is>
          <t>🔗 Amazon</t>
        </is>
      </c>
      <c r="H195" s="12" t="inlineStr">
        <is>
          <t>🔗 Noon</t>
        </is>
      </c>
      <c r="I195" s="12" t="inlineStr">
        <is>
          <t>🔗 Jarir</t>
        </is>
      </c>
      <c r="J195" s="5" t="n"/>
      <c r="K195" s="6" t="n"/>
      <c r="L195" s="6" t="n"/>
      <c r="M195" s="7">
        <f>IF(J195="","",J195*3.75)</f>
        <v/>
      </c>
      <c r="N195" s="7">
        <f>IFERROR(MIN(IF(M195&lt;&gt;"",M195,9E9),IF(K195&lt;&gt;"",K195,9E9),IF(L195&lt;&gt;"",L195,9E9)),"")</f>
        <v/>
      </c>
      <c r="O195" s="8">
        <f>IF(OR(N195="",E195=0),"",(E195-N195)/N195)</f>
        <v/>
      </c>
      <c r="P195" s="7">
        <f>IF(N195="","",E195-N195)</f>
        <v/>
      </c>
      <c r="Q195" s="7">
        <f>IF(N195="","",CEILING(MAX(N195*1.4,IF(L195="",N195*1.5,L195*0.95)),10)-1)</f>
        <v/>
      </c>
      <c r="R195" s="9">
        <f>IF(OR(L195="",Q195=""),"",TEXT((Q195-L195)/L195,"+0.0%;-0.0%"))</f>
        <v/>
      </c>
      <c r="S195" s="10">
        <f>IF(N195="","fill prices →",IF(O195&gt;0.5,"✅ PROFITABLE — keep",IF(O195&gt;0.2,"🟡 OK — optimize",IF(O195&gt;0,"⚠️ THIN — raise price or drop","❌ LOSING MONEY — drop or renegotiate"))))</f>
        <v/>
      </c>
    </row>
    <row r="196">
      <c r="A196" s="2" t="n">
        <v>195</v>
      </c>
      <c r="B196" s="2" t="inlineStr">
        <is>
          <t>NG-ACC-001</t>
        </is>
      </c>
      <c r="C196" s="2" t="inlineStr">
        <is>
          <t>Baseus Blade 100W Power Bank - Ultra-Slim Laptop Portable Charger</t>
        </is>
      </c>
      <c r="D196" s="2" t="inlineStr">
        <is>
          <t>Accessories &amp;amp; Lifestyle</t>
        </is>
      </c>
      <c r="E196" s="3" t="n">
        <v>499</v>
      </c>
      <c r="F196" s="4" t="inlineStr">
        <is>
          <t>🔗 Search</t>
        </is>
      </c>
      <c r="G196" s="4" t="inlineStr">
        <is>
          <t>🔗 Amazon</t>
        </is>
      </c>
      <c r="H196" s="4" t="inlineStr">
        <is>
          <t>🔗 Noon</t>
        </is>
      </c>
      <c r="I196" s="4" t="inlineStr">
        <is>
          <t>🔗 Jarir</t>
        </is>
      </c>
      <c r="J196" s="5" t="n"/>
      <c r="K196" s="6" t="n"/>
      <c r="L196" s="6" t="n"/>
      <c r="M196" s="7">
        <f>IF(J196="","",J196*3.75)</f>
        <v/>
      </c>
      <c r="N196" s="7">
        <f>IFERROR(MIN(IF(M196&lt;&gt;"",M196,9E9),IF(K196&lt;&gt;"",K196,9E9),IF(L196&lt;&gt;"",L196,9E9)),"")</f>
        <v/>
      </c>
      <c r="O196" s="8">
        <f>IF(OR(N196="",E196=0),"",(E196-N196)/N196)</f>
        <v/>
      </c>
      <c r="P196" s="7">
        <f>IF(N196="","",E196-N196)</f>
        <v/>
      </c>
      <c r="Q196" s="7">
        <f>IF(N196="","",CEILING(MAX(N196*1.4,IF(L196="",N196*1.5,L196*0.95)),10)-1)</f>
        <v/>
      </c>
      <c r="R196" s="9">
        <f>IF(OR(L196="",Q196=""),"",TEXT((Q196-L196)/L196,"+0.0%;-0.0%"))</f>
        <v/>
      </c>
      <c r="S196" s="10">
        <f>IF(N196="","fill prices →",IF(O196&gt;0.5,"✅ PROFITABLE — keep",IF(O196&gt;0.2,"🟡 OK — optimize",IF(O196&gt;0,"⚠️ THIN — raise price or drop","❌ LOSING MONEY — drop or renegotiate"))))</f>
        <v/>
      </c>
    </row>
    <row r="197">
      <c r="A197" t="n">
        <v>196</v>
      </c>
      <c r="B197" t="inlineStr">
        <is>
          <t>NG-MKR-005</t>
        </is>
      </c>
      <c r="C197" t="inlineStr">
        <is>
          <t>Elgato Stream Deck MK.2 - Professional Productivity Console with 15 LCD Keys</t>
        </is>
      </c>
      <c r="D197" t="inlineStr">
        <is>
          <t>Enthusiasts &amp;amp; Gamers</t>
        </is>
      </c>
      <c r="E197" s="11" t="n">
        <v>1249</v>
      </c>
      <c r="F197" s="12" t="inlineStr">
        <is>
          <t>🔗 Search</t>
        </is>
      </c>
      <c r="G197" s="12" t="inlineStr">
        <is>
          <t>🔗 Amazon</t>
        </is>
      </c>
      <c r="H197" s="12" t="inlineStr">
        <is>
          <t>🔗 Noon</t>
        </is>
      </c>
      <c r="I197" s="12" t="inlineStr">
        <is>
          <t>🔗 Jarir</t>
        </is>
      </c>
      <c r="J197" s="5" t="n"/>
      <c r="K197" s="6" t="n"/>
      <c r="L197" s="6" t="n"/>
      <c r="M197" s="7">
        <f>IF(J197="","",J197*3.75)</f>
        <v/>
      </c>
      <c r="N197" s="7">
        <f>IFERROR(MIN(IF(M197&lt;&gt;"",M197,9E9),IF(K197&lt;&gt;"",K197,9E9),IF(L197&lt;&gt;"",L197,9E9)),"")</f>
        <v/>
      </c>
      <c r="O197" s="8">
        <f>IF(OR(N197="",E197=0),"",(E197-N197)/N197)</f>
        <v/>
      </c>
      <c r="P197" s="7">
        <f>IF(N197="","",E197-N197)</f>
        <v/>
      </c>
      <c r="Q197" s="7">
        <f>IF(N197="","",CEILING(MAX(N197*1.4,IF(L197="",N197*1.5,L197*0.95)),10)-1)</f>
        <v/>
      </c>
      <c r="R197" s="9">
        <f>IF(OR(L197="",Q197=""),"",TEXT((Q197-L197)/L197,"+0.0%;-0.0%"))</f>
        <v/>
      </c>
      <c r="S197" s="10">
        <f>IF(N197="","fill prices →",IF(O197&gt;0.5,"✅ PROFITABLE — keep",IF(O197&gt;0.2,"🟡 OK — optimize",IF(O197&gt;0,"⚠️ THIN — raise price or drop","❌ LOSING MONEY — drop or renegotiate"))))</f>
        <v/>
      </c>
    </row>
    <row r="198">
      <c r="A198" s="2" t="n">
        <v>197</v>
      </c>
      <c r="B198" s="2" t="inlineStr">
        <is>
          <t>NG-MKR-004</t>
        </is>
      </c>
      <c r="C198" s="2" t="inlineStr">
        <is>
          <t>Meta Quest 3 128GB - The Most Powerful Mixed Reality Headset</t>
        </is>
      </c>
      <c r="D198" s="2" t="inlineStr">
        <is>
          <t>Enthusiasts &amp;amp; Gamers</t>
        </is>
      </c>
      <c r="E198" s="3" t="n">
        <v>3299</v>
      </c>
      <c r="F198" s="4" t="inlineStr">
        <is>
          <t>🔗 Search</t>
        </is>
      </c>
      <c r="G198" s="4" t="inlineStr">
        <is>
          <t>🔗 Amazon</t>
        </is>
      </c>
      <c r="H198" s="4" t="inlineStr">
        <is>
          <t>🔗 Noon</t>
        </is>
      </c>
      <c r="I198" s="4" t="inlineStr">
        <is>
          <t>🔗 Jarir</t>
        </is>
      </c>
      <c r="J198" s="5" t="n"/>
      <c r="K198" s="6" t="n"/>
      <c r="L198" s="6" t="n"/>
      <c r="M198" s="7">
        <f>IF(J198="","",J198*3.75)</f>
        <v/>
      </c>
      <c r="N198" s="7">
        <f>IFERROR(MIN(IF(M198&lt;&gt;"",M198,9E9),IF(K198&lt;&gt;"",K198,9E9),IF(L198&lt;&gt;"",L198,9E9)),"")</f>
        <v/>
      </c>
      <c r="O198" s="8">
        <f>IF(OR(N198="",E198=0),"",(E198-N198)/N198)</f>
        <v/>
      </c>
      <c r="P198" s="7">
        <f>IF(N198="","",E198-N198)</f>
        <v/>
      </c>
      <c r="Q198" s="7">
        <f>IF(N198="","",CEILING(MAX(N198*1.4,IF(L198="",N198*1.5,L198*0.95)),10)-1)</f>
        <v/>
      </c>
      <c r="R198" s="9">
        <f>IF(OR(L198="",Q198=""),"",TEXT((Q198-L198)/L198,"+0.0%;-0.0%"))</f>
        <v/>
      </c>
      <c r="S198" s="10">
        <f>IF(N198="","fill prices →",IF(O198&gt;0.5,"✅ PROFITABLE — keep",IF(O198&gt;0.2,"🟡 OK — optimize",IF(O198&gt;0,"⚠️ THIN — raise price or drop","❌ LOSING MONEY — drop or renegotiate"))))</f>
        <v/>
      </c>
    </row>
    <row r="199">
      <c r="A199" t="n">
        <v>198</v>
      </c>
      <c r="B199" t="inlineStr">
        <is>
          <t>NG-MKR-003</t>
        </is>
      </c>
      <c r="C199" t="inlineStr">
        <is>
          <t>Keychron Q1 - Premium Full Aluminum Custom Mechanical Keyboard</t>
        </is>
      </c>
      <c r="D199" t="inlineStr">
        <is>
          <t>Enthusiasts &amp;amp; Gamers</t>
        </is>
      </c>
      <c r="E199" s="11" t="n">
        <v>1449</v>
      </c>
      <c r="F199" s="12" t="inlineStr">
        <is>
          <t>🔗 Search</t>
        </is>
      </c>
      <c r="G199" s="12" t="inlineStr">
        <is>
          <t>🔗 Amazon</t>
        </is>
      </c>
      <c r="H199" s="12" t="inlineStr">
        <is>
          <t>🔗 Noon</t>
        </is>
      </c>
      <c r="I199" s="12" t="inlineStr">
        <is>
          <t>🔗 Jarir</t>
        </is>
      </c>
      <c r="J199" s="5" t="n"/>
      <c r="K199" s="6" t="n"/>
      <c r="L199" s="6" t="n"/>
      <c r="M199" s="7">
        <f>IF(J199="","",J199*3.75)</f>
        <v/>
      </c>
      <c r="N199" s="7">
        <f>IFERROR(MIN(IF(M199&lt;&gt;"",M199,9E9),IF(K199&lt;&gt;"",K199,9E9),IF(L199&lt;&gt;"",L199,9E9)),"")</f>
        <v/>
      </c>
      <c r="O199" s="8">
        <f>IF(OR(N199="",E199=0),"",(E199-N199)/N199)</f>
        <v/>
      </c>
      <c r="P199" s="7">
        <f>IF(N199="","",E199-N199)</f>
        <v/>
      </c>
      <c r="Q199" s="7">
        <f>IF(N199="","",CEILING(MAX(N199*1.4,IF(L199="",N199*1.5,L199*0.95)),10)-1)</f>
        <v/>
      </c>
      <c r="R199" s="9">
        <f>IF(OR(L199="",Q199=""),"",TEXT((Q199-L199)/L199,"+0.0%;-0.0%"))</f>
        <v/>
      </c>
      <c r="S199" s="10">
        <f>IF(N199="","fill prices →",IF(O199&gt;0.5,"✅ PROFITABLE — keep",IF(O199&gt;0.2,"🟡 OK — optimize",IF(O199&gt;0,"⚠️ THIN — raise price or drop","❌ LOSING MONEY — drop or renegotiate"))))</f>
        <v/>
      </c>
    </row>
    <row r="200">
      <c r="A200" s="2" t="n">
        <v>199</v>
      </c>
      <c r="B200" s="2" t="inlineStr">
        <is>
          <t>NG-MKR-002</t>
        </is>
      </c>
      <c r="C200" s="2" t="inlineStr">
        <is>
          <t>Raspberry Pi 5 Ultimate Starter Kit - Everything You Need in One Box</t>
        </is>
      </c>
      <c r="D200" s="2" t="inlineStr">
        <is>
          <t>Hardware</t>
        </is>
      </c>
      <c r="E200" s="3" t="n">
        <v>1149</v>
      </c>
      <c r="F200" s="4" t="inlineStr">
        <is>
          <t>🔗 Search</t>
        </is>
      </c>
      <c r="G200" s="4" t="inlineStr">
        <is>
          <t>🔗 Amazon</t>
        </is>
      </c>
      <c r="H200" s="4" t="inlineStr">
        <is>
          <t>🔗 Noon</t>
        </is>
      </c>
      <c r="I200" s="4" t="inlineStr">
        <is>
          <t>🔗 Jarir</t>
        </is>
      </c>
      <c r="J200" s="5" t="n"/>
      <c r="K200" s="6" t="n"/>
      <c r="L200" s="6" t="n"/>
      <c r="M200" s="7">
        <f>IF(J200="","",J200*3.75)</f>
        <v/>
      </c>
      <c r="N200" s="7">
        <f>IFERROR(MIN(IF(M200&lt;&gt;"",M200,9E9),IF(K200&lt;&gt;"",K200,9E9),IF(L200&lt;&gt;"",L200,9E9)),"")</f>
        <v/>
      </c>
      <c r="O200" s="8">
        <f>IF(OR(N200="",E200=0),"",(E200-N200)/N200)</f>
        <v/>
      </c>
      <c r="P200" s="7">
        <f>IF(N200="","",E200-N200)</f>
        <v/>
      </c>
      <c r="Q200" s="7">
        <f>IF(N200="","",CEILING(MAX(N200*1.4,IF(L200="",N200*1.5,L200*0.95)),10)-1)</f>
        <v/>
      </c>
      <c r="R200" s="9">
        <f>IF(OR(L200="",Q200=""),"",TEXT((Q200-L200)/L200,"+0.0%;-0.0%"))</f>
        <v/>
      </c>
      <c r="S200" s="10">
        <f>IF(N200="","fill prices →",IF(O200&gt;0.5,"✅ PROFITABLE — keep",IF(O200&gt;0.2,"🟡 OK — optimize",IF(O200&gt;0,"⚠️ THIN — raise price or drop","❌ LOSING MONEY — drop or renegotiate"))))</f>
        <v/>
      </c>
    </row>
    <row r="201">
      <c r="A201" t="n">
        <v>200</v>
      </c>
      <c r="B201" t="inlineStr">
        <is>
          <t>NG-MKR-001</t>
        </is>
      </c>
      <c r="C201" t="inlineStr">
        <is>
          <t>Raspberry Pi 5 8GB - The New Standard in Single Board Computing</t>
        </is>
      </c>
      <c r="D201" t="inlineStr">
        <is>
          <t>Hardware</t>
        </is>
      </c>
      <c r="E201" s="11" t="n">
        <v>899</v>
      </c>
      <c r="F201" s="12" t="inlineStr">
        <is>
          <t>🔗 Search</t>
        </is>
      </c>
      <c r="G201" s="12" t="inlineStr">
        <is>
          <t>🔗 Amazon</t>
        </is>
      </c>
      <c r="H201" s="12" t="inlineStr">
        <is>
          <t>🔗 Noon</t>
        </is>
      </c>
      <c r="I201" s="12" t="inlineStr">
        <is>
          <t>🔗 Jarir</t>
        </is>
      </c>
      <c r="J201" s="5" t="n"/>
      <c r="K201" s="6" t="n"/>
      <c r="L201" s="6" t="n"/>
      <c r="M201" s="7">
        <f>IF(J201="","",J201*3.75)</f>
        <v/>
      </c>
      <c r="N201" s="7">
        <f>IFERROR(MIN(IF(M201&lt;&gt;"",M201,9E9),IF(K201&lt;&gt;"",K201,9E9),IF(L201&lt;&gt;"",L201,9E9)),"")</f>
        <v/>
      </c>
      <c r="O201" s="8">
        <f>IF(OR(N201="",E201=0),"",(E201-N201)/N201)</f>
        <v/>
      </c>
      <c r="P201" s="7">
        <f>IF(N201="","",E201-N201)</f>
        <v/>
      </c>
      <c r="Q201" s="7">
        <f>IF(N201="","",CEILING(MAX(N201*1.4,IF(L201="",N201*1.5,L201*0.95)),10)-1)</f>
        <v/>
      </c>
      <c r="R201" s="9">
        <f>IF(OR(L201="",Q201=""),"",TEXT((Q201-L201)/L201,"+0.0%;-0.0%"))</f>
        <v/>
      </c>
      <c r="S201" s="10">
        <f>IF(N201="","fill prices →",IF(O201&gt;0.5,"✅ PROFITABLE — keep",IF(O201&gt;0.2,"🟡 OK — optimize",IF(O201&gt;0,"⚠️ THIN — raise price or drop","❌ LOSING MONEY — drop or renegotiate"))))</f>
        <v/>
      </c>
    </row>
    <row r="202">
      <c r="A202" s="2" t="n">
        <v>201</v>
      </c>
      <c r="B202" s="2" t="inlineStr">
        <is>
          <t>NG-SH-005</t>
        </is>
      </c>
      <c r="C202" s="2" t="inlineStr">
        <is>
          <t>Sonoff TX Ultimate (T5) Smart Wall Switch - Interactive Elegance with RGB</t>
        </is>
      </c>
      <c r="D202" s="2" t="inlineStr">
        <is>
          <t>Smart Home &amp;amp; IoT</t>
        </is>
      </c>
      <c r="E202" s="3" t="n">
        <v>269</v>
      </c>
      <c r="F202" s="4" t="inlineStr">
        <is>
          <t>🔗 Search</t>
        </is>
      </c>
      <c r="G202" s="4" t="inlineStr">
        <is>
          <t>🔗 Amazon</t>
        </is>
      </c>
      <c r="H202" s="4" t="inlineStr">
        <is>
          <t>🔗 Noon</t>
        </is>
      </c>
      <c r="I202" s="4" t="inlineStr">
        <is>
          <t>🔗 Jarir</t>
        </is>
      </c>
      <c r="J202" s="5" t="n"/>
      <c r="K202" s="6" t="n"/>
      <c r="L202" s="6" t="n"/>
      <c r="M202" s="7">
        <f>IF(J202="","",J202*3.75)</f>
        <v/>
      </c>
      <c r="N202" s="7">
        <f>IFERROR(MIN(IF(M202&lt;&gt;"",M202,9E9),IF(K202&lt;&gt;"",K202,9E9),IF(L202&lt;&gt;"",L202,9E9)),"")</f>
        <v/>
      </c>
      <c r="O202" s="8">
        <f>IF(OR(N202="",E202=0),"",(E202-N202)/N202)</f>
        <v/>
      </c>
      <c r="P202" s="7">
        <f>IF(N202="","",E202-N202)</f>
        <v/>
      </c>
      <c r="Q202" s="7">
        <f>IF(N202="","",CEILING(MAX(N202*1.4,IF(L202="",N202*1.5,L202*0.95)),10)-1)</f>
        <v/>
      </c>
      <c r="R202" s="9">
        <f>IF(OR(L202="",Q202=""),"",TEXT((Q202-L202)/L202,"+0.0%;-0.0%"))</f>
        <v/>
      </c>
      <c r="S202" s="10">
        <f>IF(N202="","fill prices →",IF(O202&gt;0.5,"✅ PROFITABLE — keep",IF(O202&gt;0.2,"🟡 OK — optimize",IF(O202&gt;0,"⚠️ THIN — raise price or drop","❌ LOSING MONEY — drop or renegotiate"))))</f>
        <v/>
      </c>
    </row>
    <row r="203">
      <c r="A203" t="n">
        <v>202</v>
      </c>
      <c r="B203" t="inlineStr">
        <is>
          <t>NG-SH-004</t>
        </is>
      </c>
      <c r="C203" t="inlineStr">
        <is>
          <t>Aqara Water Leak Sensor - Safeguard Your Home from Water Damage</t>
        </is>
      </c>
      <c r="D203" t="inlineStr">
        <is>
          <t>Smart Home &amp;amp; IoT</t>
        </is>
      </c>
      <c r="E203" s="11" t="n">
        <v>219</v>
      </c>
      <c r="F203" s="12" t="inlineStr">
        <is>
          <t>🔗 Search</t>
        </is>
      </c>
      <c r="G203" s="12" t="inlineStr">
        <is>
          <t>🔗 Amazon</t>
        </is>
      </c>
      <c r="H203" s="12" t="inlineStr">
        <is>
          <t>🔗 Noon</t>
        </is>
      </c>
      <c r="I203" s="12" t="inlineStr">
        <is>
          <t>🔗 Jarir</t>
        </is>
      </c>
      <c r="J203" s="5" t="n"/>
      <c r="K203" s="6" t="n"/>
      <c r="L203" s="6" t="n"/>
      <c r="M203" s="7">
        <f>IF(J203="","",J203*3.75)</f>
        <v/>
      </c>
      <c r="N203" s="7">
        <f>IFERROR(MIN(IF(M203&lt;&gt;"",M203,9E9),IF(K203&lt;&gt;"",K203,9E9),IF(L203&lt;&gt;"",L203,9E9)),"")</f>
        <v/>
      </c>
      <c r="O203" s="8">
        <f>IF(OR(N203="",E203=0),"",(E203-N203)/N203)</f>
        <v/>
      </c>
      <c r="P203" s="7">
        <f>IF(N203="","",E203-N203)</f>
        <v/>
      </c>
      <c r="Q203" s="7">
        <f>IF(N203="","",CEILING(MAX(N203*1.4,IF(L203="",N203*1.5,L203*0.95)),10)-1)</f>
        <v/>
      </c>
      <c r="R203" s="9">
        <f>IF(OR(L203="",Q203=""),"",TEXT((Q203-L203)/L203,"+0.0%;-0.0%"))</f>
        <v/>
      </c>
      <c r="S203" s="10">
        <f>IF(N203="","fill prices →",IF(O203&gt;0.5,"✅ PROFITABLE — keep",IF(O203&gt;0.2,"🟡 OK — optimize",IF(O203&gt;0,"⚠️ THIN — raise price or drop","❌ LOSING MONEY — drop or renegotiate"))))</f>
        <v/>
      </c>
    </row>
    <row r="204">
      <c r="A204" s="2" t="n">
        <v>203</v>
      </c>
      <c r="B204" s="2" t="inlineStr">
        <is>
          <t>NG-SH-003</t>
        </is>
      </c>
      <c r="C204" s="2" t="inlineStr">
        <is>
          <t>Broadlink RM4 Pro - Universal Smart Remote for IR &amp;amp; RF Devices</t>
        </is>
      </c>
      <c r="D204" s="2" t="inlineStr">
        <is>
          <t>Smart Home &amp;amp; IoT</t>
        </is>
      </c>
      <c r="E204" s="3" t="n">
        <v>359</v>
      </c>
      <c r="F204" s="4" t="inlineStr">
        <is>
          <t>🔗 Search</t>
        </is>
      </c>
      <c r="G204" s="4" t="inlineStr">
        <is>
          <t>🔗 Amazon</t>
        </is>
      </c>
      <c r="H204" s="4" t="inlineStr">
        <is>
          <t>🔗 Noon</t>
        </is>
      </c>
      <c r="I204" s="4" t="inlineStr">
        <is>
          <t>🔗 Jarir</t>
        </is>
      </c>
      <c r="J204" s="5" t="n"/>
      <c r="K204" s="6" t="n"/>
      <c r="L204" s="6" t="n"/>
      <c r="M204" s="7">
        <f>IF(J204="","",J204*3.75)</f>
        <v/>
      </c>
      <c r="N204" s="7">
        <f>IFERROR(MIN(IF(M204&lt;&gt;"",M204,9E9),IF(K204&lt;&gt;"",K204,9E9),IF(L204&lt;&gt;"",L204,9E9)),"")</f>
        <v/>
      </c>
      <c r="O204" s="8">
        <f>IF(OR(N204="",E204=0),"",(E204-N204)/N204)</f>
        <v/>
      </c>
      <c r="P204" s="7">
        <f>IF(N204="","",E204-N204)</f>
        <v/>
      </c>
      <c r="Q204" s="7">
        <f>IF(N204="","",CEILING(MAX(N204*1.4,IF(L204="",N204*1.5,L204*0.95)),10)-1)</f>
        <v/>
      </c>
      <c r="R204" s="9">
        <f>IF(OR(L204="",Q204=""),"",TEXT((Q204-L204)/L204,"+0.0%;-0.0%"))</f>
        <v/>
      </c>
      <c r="S204" s="10">
        <f>IF(N204="","fill prices →",IF(O204&gt;0.5,"✅ PROFITABLE — keep",IF(O204&gt;0.2,"🟡 OK — optimize",IF(O204&gt;0,"⚠️ THIN — raise price or drop","❌ LOSING MONEY — drop or renegotiate"))))</f>
        <v/>
      </c>
    </row>
    <row r="205">
      <c r="A205" t="n">
        <v>204</v>
      </c>
      <c r="B205" t="inlineStr">
        <is>
          <t>NG-SH-002</t>
        </is>
      </c>
      <c r="C205" t="inlineStr">
        <is>
          <t>UniFi Protect G4 Pro Camera - 4K Ultra HD Surveillance Excellence</t>
        </is>
      </c>
      <c r="D205" t="inlineStr">
        <is>
          <t>Smart Home &amp;amp; IoT</t>
        </is>
      </c>
      <c r="E205" s="11" t="n">
        <v>2899</v>
      </c>
      <c r="F205" s="12" t="inlineStr">
        <is>
          <t>🔗 Search</t>
        </is>
      </c>
      <c r="G205" s="12" t="inlineStr">
        <is>
          <t>🔗 Amazon</t>
        </is>
      </c>
      <c r="H205" s="12" t="inlineStr">
        <is>
          <t>🔗 Noon</t>
        </is>
      </c>
      <c r="I205" s="12" t="inlineStr">
        <is>
          <t>🔗 Jarir</t>
        </is>
      </c>
      <c r="J205" s="5" t="n"/>
      <c r="K205" s="6" t="n"/>
      <c r="L205" s="6" t="n"/>
      <c r="M205" s="7">
        <f>IF(J205="","",J205*3.75)</f>
        <v/>
      </c>
      <c r="N205" s="7">
        <f>IFERROR(MIN(IF(M205&lt;&gt;"",M205,9E9),IF(K205&lt;&gt;"",K205,9E9),IF(L205&lt;&gt;"",L205,9E9)),"")</f>
        <v/>
      </c>
      <c r="O205" s="8">
        <f>IF(OR(N205="",E205=0),"",(E205-N205)/N205)</f>
        <v/>
      </c>
      <c r="P205" s="7">
        <f>IF(N205="","",E205-N205)</f>
        <v/>
      </c>
      <c r="Q205" s="7">
        <f>IF(N205="","",CEILING(MAX(N205*1.4,IF(L205="",N205*1.5,L205*0.95)),10)-1)</f>
        <v/>
      </c>
      <c r="R205" s="9">
        <f>IF(OR(L205="",Q205=""),"",TEXT((Q205-L205)/L205,"+0.0%;-0.0%"))</f>
        <v/>
      </c>
      <c r="S205" s="10">
        <f>IF(N205="","fill prices →",IF(O205&gt;0.5,"✅ PROFITABLE — keep",IF(O205&gt;0.2,"🟡 OK — optimize",IF(O205&gt;0,"⚠️ THIN — raise price or drop","❌ LOSING MONEY — drop or renegotiate"))))</f>
        <v/>
      </c>
    </row>
    <row r="206">
      <c r="A206" s="2" t="n">
        <v>205</v>
      </c>
      <c r="B206" s="2" t="inlineStr">
        <is>
          <t>NG-SH-001</t>
        </is>
      </c>
      <c r="C206" s="2" t="inlineStr">
        <is>
          <t>Aqara Smart Door Lock A100 - Elite Security with Apple HomeKey Support</t>
        </is>
      </c>
      <c r="D206" s="2" t="inlineStr">
        <is>
          <t>Smart Home &amp;amp; IoT</t>
        </is>
      </c>
      <c r="E206" s="3" t="n">
        <v>1649</v>
      </c>
      <c r="F206" s="4" t="inlineStr">
        <is>
          <t>🔗 Search</t>
        </is>
      </c>
      <c r="G206" s="4" t="inlineStr">
        <is>
          <t>🔗 Amazon</t>
        </is>
      </c>
      <c r="H206" s="4" t="inlineStr">
        <is>
          <t>🔗 Noon</t>
        </is>
      </c>
      <c r="I206" s="4" t="inlineStr">
        <is>
          <t>🔗 Jarir</t>
        </is>
      </c>
      <c r="J206" s="5" t="n"/>
      <c r="K206" s="6" t="n"/>
      <c r="L206" s="6" t="n"/>
      <c r="M206" s="7">
        <f>IF(J206="","",J206*3.75)</f>
        <v/>
      </c>
      <c r="N206" s="7">
        <f>IFERROR(MIN(IF(M206&lt;&gt;"",M206,9E9),IF(K206&lt;&gt;"",K206,9E9),IF(L206&lt;&gt;"",L206,9E9)),"")</f>
        <v/>
      </c>
      <c r="O206" s="8">
        <f>IF(OR(N206="",E206=0),"",(E206-N206)/N206)</f>
        <v/>
      </c>
      <c r="P206" s="7">
        <f>IF(N206="","",E206-N206)</f>
        <v/>
      </c>
      <c r="Q206" s="7">
        <f>IF(N206="","",CEILING(MAX(N206*1.4,IF(L206="",N206*1.5,L206*0.95)),10)-1)</f>
        <v/>
      </c>
      <c r="R206" s="9">
        <f>IF(OR(L206="",Q206=""),"",TEXT((Q206-L206)/L206,"+0.0%;-0.0%"))</f>
        <v/>
      </c>
      <c r="S206" s="10">
        <f>IF(N206="","fill prices →",IF(O206&gt;0.5,"✅ PROFITABLE — keep",IF(O206&gt;0.2,"🟡 OK — optimize",IF(O206&gt;0,"⚠️ THIN — raise price or drop","❌ LOSING MONEY — drop or renegotiate"))))</f>
        <v/>
      </c>
    </row>
    <row r="207">
      <c r="A207" t="n">
        <v>206</v>
      </c>
      <c r="B207" t="inlineStr">
        <is>
          <t>NG-ENT-005</t>
        </is>
      </c>
      <c r="C207" t="inlineStr">
        <is>
          <t>Asustor Flashstor 6 (FS6706T) - All-NVMe SSD NAS for Extreme Performance</t>
        </is>
      </c>
      <c r="D207" t="inlineStr">
        <is>
          <t>Homelab</t>
        </is>
      </c>
      <c r="E207" s="11" t="n">
        <v>3099</v>
      </c>
      <c r="F207" s="12" t="inlineStr">
        <is>
          <t>🔗 Search</t>
        </is>
      </c>
      <c r="G207" s="12" t="inlineStr">
        <is>
          <t>🔗 Amazon</t>
        </is>
      </c>
      <c r="H207" s="12" t="inlineStr">
        <is>
          <t>🔗 Noon</t>
        </is>
      </c>
      <c r="I207" s="12" t="inlineStr">
        <is>
          <t>🔗 Jarir</t>
        </is>
      </c>
      <c r="J207" s="5" t="n"/>
      <c r="K207" s="6" t="n"/>
      <c r="L207" s="6" t="n"/>
      <c r="M207" s="7">
        <f>IF(J207="","",J207*3.75)</f>
        <v/>
      </c>
      <c r="N207" s="7">
        <f>IFERROR(MIN(IF(M207&lt;&gt;"",M207,9E9),IF(K207&lt;&gt;"",K207,9E9),IF(L207&lt;&gt;"",L207,9E9)),"")</f>
        <v/>
      </c>
      <c r="O207" s="8">
        <f>IF(OR(N207="",E207=0),"",(E207-N207)/N207)</f>
        <v/>
      </c>
      <c r="P207" s="7">
        <f>IF(N207="","",E207-N207)</f>
        <v/>
      </c>
      <c r="Q207" s="7">
        <f>IF(N207="","",CEILING(MAX(N207*1.4,IF(L207="",N207*1.5,L207*0.95)),10)-1)</f>
        <v/>
      </c>
      <c r="R207" s="9">
        <f>IF(OR(L207="",Q207=""),"",TEXT((Q207-L207)/L207,"+0.0%;-0.0%"))</f>
        <v/>
      </c>
      <c r="S207" s="10">
        <f>IF(N207="","fill prices →",IF(O207&gt;0.5,"✅ PROFITABLE — keep",IF(O207&gt;0.2,"🟡 OK — optimize",IF(O207&gt;0,"⚠️ THIN — raise price or drop","❌ LOSING MONEY — drop or renegotiate"))))</f>
        <v/>
      </c>
    </row>
    <row r="208">
      <c r="A208" s="2" t="n">
        <v>207</v>
      </c>
      <c r="B208" s="2" t="inlineStr">
        <is>
          <t>NG-ENT-004</t>
        </is>
      </c>
      <c r="C208" s="2" t="inlineStr">
        <is>
          <t>UniFi 6 Long-Range (U6-LR) - High-Performance WiFi 6 Access Point</t>
        </is>
      </c>
      <c r="D208" s="2" t="inlineStr">
        <is>
          <t>Homelab</t>
        </is>
      </c>
      <c r="E208" s="3" t="n">
        <v>1649</v>
      </c>
      <c r="F208" s="4" t="inlineStr">
        <is>
          <t>🔗 Search</t>
        </is>
      </c>
      <c r="G208" s="4" t="inlineStr">
        <is>
          <t>🔗 Amazon</t>
        </is>
      </c>
      <c r="H208" s="4" t="inlineStr">
        <is>
          <t>🔗 Noon</t>
        </is>
      </c>
      <c r="I208" s="4" t="inlineStr">
        <is>
          <t>🔗 Jarir</t>
        </is>
      </c>
      <c r="J208" s="5" t="n"/>
      <c r="K208" s="6" t="n"/>
      <c r="L208" s="6" t="n"/>
      <c r="M208" s="7">
        <f>IF(J208="","",J208*3.75)</f>
        <v/>
      </c>
      <c r="N208" s="7">
        <f>IFERROR(MIN(IF(M208&lt;&gt;"",M208,9E9),IF(K208&lt;&gt;"",K208,9E9),IF(L208&lt;&gt;"",L208,9E9)),"")</f>
        <v/>
      </c>
      <c r="O208" s="8">
        <f>IF(OR(N208="",E208=0),"",(E208-N208)/N208)</f>
        <v/>
      </c>
      <c r="P208" s="7">
        <f>IF(N208="","",E208-N208)</f>
        <v/>
      </c>
      <c r="Q208" s="7">
        <f>IF(N208="","",CEILING(MAX(N208*1.4,IF(L208="",N208*1.5,L208*0.95)),10)-1)</f>
        <v/>
      </c>
      <c r="R208" s="9">
        <f>IF(OR(L208="",Q208=""),"",TEXT((Q208-L208)/L208,"+0.0%;-0.0%"))</f>
        <v/>
      </c>
      <c r="S208" s="10">
        <f>IF(N208="","fill prices →",IF(O208&gt;0.5,"✅ PROFITABLE — keep",IF(O208&gt;0.2,"🟡 OK — optimize",IF(O208&gt;0,"⚠️ THIN — raise price or drop","❌ LOSING MONEY — drop or renegotiate"))))</f>
        <v/>
      </c>
    </row>
    <row r="209">
      <c r="A209" t="n">
        <v>208</v>
      </c>
      <c r="B209" t="inlineStr">
        <is>
          <t>NG-ENT-003</t>
        </is>
      </c>
      <c r="C209" t="inlineStr">
        <is>
          <t>Ubiquiti UniFi Dream Machine Pro (UDM-Pro) - All-in-One Enterprise Network Console</t>
        </is>
      </c>
      <c r="D209" t="inlineStr">
        <is>
          <t>Homelab</t>
        </is>
      </c>
      <c r="E209" s="11" t="n">
        <v>3099</v>
      </c>
      <c r="F209" s="12" t="inlineStr">
        <is>
          <t>🔗 Search</t>
        </is>
      </c>
      <c r="G209" s="12" t="inlineStr">
        <is>
          <t>🔗 Amazon</t>
        </is>
      </c>
      <c r="H209" s="12" t="inlineStr">
        <is>
          <t>🔗 Noon</t>
        </is>
      </c>
      <c r="I209" s="12" t="inlineStr">
        <is>
          <t>🔗 Jarir</t>
        </is>
      </c>
      <c r="J209" s="5" t="n"/>
      <c r="K209" s="6" t="n"/>
      <c r="L209" s="6" t="n"/>
      <c r="M209" s="7">
        <f>IF(J209="","",J209*3.75)</f>
        <v/>
      </c>
      <c r="N209" s="7">
        <f>IFERROR(MIN(IF(M209&lt;&gt;"",M209,9E9),IF(K209&lt;&gt;"",K209,9E9),IF(L209&lt;&gt;"",L209,9E9)),"")</f>
        <v/>
      </c>
      <c r="O209" s="8">
        <f>IF(OR(N209="",E209=0),"",(E209-N209)/N209)</f>
        <v/>
      </c>
      <c r="P209" s="7">
        <f>IF(N209="","",E209-N209)</f>
        <v/>
      </c>
      <c r="Q209" s="7">
        <f>IF(N209="","",CEILING(MAX(N209*1.4,IF(L209="",N209*1.5,L209*0.95)),10)-1)</f>
        <v/>
      </c>
      <c r="R209" s="9">
        <f>IF(OR(L209="",Q209=""),"",TEXT((Q209-L209)/L209,"+0.0%;-0.0%"))</f>
        <v/>
      </c>
      <c r="S209" s="10">
        <f>IF(N209="","fill prices →",IF(O209&gt;0.5,"✅ PROFITABLE — keep",IF(O209&gt;0.2,"🟡 OK — optimize",IF(O209&gt;0,"⚠️ THIN — raise price or drop","❌ LOSING MONEY — drop or renegotiate"))))</f>
        <v/>
      </c>
    </row>
    <row r="210">
      <c r="A210" s="2" t="n">
        <v>209</v>
      </c>
      <c r="B210" s="2" t="inlineStr">
        <is>
          <t>NG-ENT-002</t>
        </is>
      </c>
      <c r="C210" s="2" t="inlineStr">
        <is>
          <t>Asustor Lockerstor 4 (AS6604T) - Professional 4-Bay NAS for Creators</t>
        </is>
      </c>
      <c r="D210" s="2" t="inlineStr">
        <is>
          <t>Homelab</t>
        </is>
      </c>
      <c r="E210" s="3" t="n">
        <v>3099</v>
      </c>
      <c r="F210" s="4" t="inlineStr">
        <is>
          <t>🔗 Search</t>
        </is>
      </c>
      <c r="G210" s="4" t="inlineStr">
        <is>
          <t>🔗 Amazon</t>
        </is>
      </c>
      <c r="H210" s="4" t="inlineStr">
        <is>
          <t>🔗 Noon</t>
        </is>
      </c>
      <c r="I210" s="4" t="inlineStr">
        <is>
          <t>🔗 Jarir</t>
        </is>
      </c>
      <c r="J210" s="5" t="n"/>
      <c r="K210" s="6" t="n"/>
      <c r="L210" s="6" t="n"/>
      <c r="M210" s="7">
        <f>IF(J210="","",J210*3.75)</f>
        <v/>
      </c>
      <c r="N210" s="7">
        <f>IFERROR(MIN(IF(M210&lt;&gt;"",M210,9E9),IF(K210&lt;&gt;"",K210,9E9),IF(L210&lt;&gt;"",L210,9E9)),"")</f>
        <v/>
      </c>
      <c r="O210" s="8">
        <f>IF(OR(N210="",E210=0),"",(E210-N210)/N210)</f>
        <v/>
      </c>
      <c r="P210" s="7">
        <f>IF(N210="","",E210-N210)</f>
        <v/>
      </c>
      <c r="Q210" s="7">
        <f>IF(N210="","",CEILING(MAX(N210*1.4,IF(L210="",N210*1.5,L210*0.95)),10)-1)</f>
        <v/>
      </c>
      <c r="R210" s="9">
        <f>IF(OR(L210="",Q210=""),"",TEXT((Q210-L210)/L210,"+0.0%;-0.0%"))</f>
        <v/>
      </c>
      <c r="S210" s="10">
        <f>IF(N210="","fill prices →",IF(O210&gt;0.5,"✅ PROFITABLE — keep",IF(O210&gt;0.2,"🟡 OK — optimize",IF(O210&gt;0,"⚠️ THIN — raise price or drop","❌ LOSING MONEY — drop or renegotiate"))))</f>
        <v/>
      </c>
    </row>
    <row r="211">
      <c r="A211" t="n">
        <v>210</v>
      </c>
      <c r="B211" t="inlineStr">
        <is>
          <t>NG-ENT-001</t>
        </is>
      </c>
      <c r="C211" t="inlineStr">
        <is>
          <t>Dell PowerEdge R730 Refurbished Server - Enterprise Power, Smart Investment</t>
        </is>
      </c>
      <c r="D211" t="inlineStr">
        <is>
          <t>Homelab</t>
        </is>
      </c>
      <c r="E211" s="11" t="n">
        <v>8099</v>
      </c>
      <c r="F211" s="12" t="inlineStr">
        <is>
          <t>🔗 Search</t>
        </is>
      </c>
      <c r="G211" s="12" t="inlineStr">
        <is>
          <t>🔗 Amazon</t>
        </is>
      </c>
      <c r="H211" s="12" t="inlineStr">
        <is>
          <t>🔗 Noon</t>
        </is>
      </c>
      <c r="I211" s="12" t="inlineStr">
        <is>
          <t>🔗 Jarir</t>
        </is>
      </c>
      <c r="J211" s="5" t="n"/>
      <c r="K211" s="6" t="n"/>
      <c r="L211" s="6" t="n"/>
      <c r="M211" s="7">
        <f>IF(J211="","",J211*3.75)</f>
        <v/>
      </c>
      <c r="N211" s="7">
        <f>IFERROR(MIN(IF(M211&lt;&gt;"",M211,9E9),IF(K211&lt;&gt;"",K211,9E9),IF(L211&lt;&gt;"",L211,9E9)),"")</f>
        <v/>
      </c>
      <c r="O211" s="8">
        <f>IF(OR(N211="",E211=0),"",(E211-N211)/N211)</f>
        <v/>
      </c>
      <c r="P211" s="7">
        <f>IF(N211="","",E211-N211)</f>
        <v/>
      </c>
      <c r="Q211" s="7">
        <f>IF(N211="","",CEILING(MAX(N211*1.4,IF(L211="",N211*1.5,L211*0.95)),10)-1)</f>
        <v/>
      </c>
      <c r="R211" s="9">
        <f>IF(OR(L211="",Q211=""),"",TEXT((Q211-L211)/L211,"+0.0%;-0.0%"))</f>
        <v/>
      </c>
      <c r="S211" s="10">
        <f>IF(N211="","fill prices →",IF(O211&gt;0.5,"✅ PROFITABLE — keep",IF(O211&gt;0.2,"🟡 OK — optimize",IF(O211&gt;0,"⚠️ THIN — raise price or drop","❌ LOSING MONEY — drop or renegotiate"))))</f>
        <v/>
      </c>
    </row>
    <row r="213">
      <c r="A213" s="13" t="inlineStr">
        <is>
          <t>HOW TO USE:</t>
        </is>
      </c>
    </row>
    <row r="214">
      <c r="A214" s="14" t="inlineStr">
        <is>
          <t>1. Click AliExpress/Amazon.sa/Noon links in columns F-I to research each product</t>
        </is>
      </c>
    </row>
    <row r="215">
      <c r="A215" s="14" t="inlineStr">
        <is>
          <t>2. Fill YELLOW cells (J, K, L) with the lowest price you find on each supplier</t>
        </is>
      </c>
    </row>
    <row r="216">
      <c r="A216" s="14" t="inlineStr">
        <is>
          <t>3. BLUE cells auto-calculate: profit, suggested price, recommendation</t>
        </is>
      </c>
    </row>
    <row r="217">
      <c r="A217" s="14" t="inlineStr">
        <is>
          <t>4. Start with top 50 high-volume products — rest can wait</t>
        </is>
      </c>
    </row>
  </sheetData>
  <conditionalFormatting sqref="O2:O211">
    <cfRule type="colorScale" priority="1">
      <colorScale>
        <cfvo type="num" val="0"/>
        <cfvo type="num" val="0.3"/>
        <cfvo type="num" val="1"/>
        <color rgb="00E8734A"/>
        <color rgb="00FFCC00"/>
        <color rgb="003FE88F"/>
      </colorScale>
    </cfRule>
  </conditionalFormatting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I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H3" r:id="rId7"/>
    <hyperlink xmlns:r="http://schemas.openxmlformats.org/officeDocument/2006/relationships" ref="I3" r:id="rId8"/>
    <hyperlink xmlns:r="http://schemas.openxmlformats.org/officeDocument/2006/relationships" ref="F4" r:id="rId9"/>
    <hyperlink xmlns:r="http://schemas.openxmlformats.org/officeDocument/2006/relationships" ref="G4" r:id="rId10"/>
    <hyperlink xmlns:r="http://schemas.openxmlformats.org/officeDocument/2006/relationships" ref="H4" r:id="rId11"/>
    <hyperlink xmlns:r="http://schemas.openxmlformats.org/officeDocument/2006/relationships" ref="I4" r:id="rId12"/>
    <hyperlink xmlns:r="http://schemas.openxmlformats.org/officeDocument/2006/relationships" ref="F5" r:id="rId13"/>
    <hyperlink xmlns:r="http://schemas.openxmlformats.org/officeDocument/2006/relationships" ref="G5" r:id="rId14"/>
    <hyperlink xmlns:r="http://schemas.openxmlformats.org/officeDocument/2006/relationships" ref="H5" r:id="rId15"/>
    <hyperlink xmlns:r="http://schemas.openxmlformats.org/officeDocument/2006/relationships" ref="I5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H6" r:id="rId19"/>
    <hyperlink xmlns:r="http://schemas.openxmlformats.org/officeDocument/2006/relationships" ref="I6" r:id="rId20"/>
    <hyperlink xmlns:r="http://schemas.openxmlformats.org/officeDocument/2006/relationships" ref="F7" r:id="rId21"/>
    <hyperlink xmlns:r="http://schemas.openxmlformats.org/officeDocument/2006/relationships" ref="G7" r:id="rId22"/>
    <hyperlink xmlns:r="http://schemas.openxmlformats.org/officeDocument/2006/relationships" ref="H7" r:id="rId23"/>
    <hyperlink xmlns:r="http://schemas.openxmlformats.org/officeDocument/2006/relationships" ref="I7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H8" r:id="rId27"/>
    <hyperlink xmlns:r="http://schemas.openxmlformats.org/officeDocument/2006/relationships" ref="I8" r:id="rId28"/>
    <hyperlink xmlns:r="http://schemas.openxmlformats.org/officeDocument/2006/relationships" ref="F9" r:id="rId29"/>
    <hyperlink xmlns:r="http://schemas.openxmlformats.org/officeDocument/2006/relationships" ref="G9" r:id="rId30"/>
    <hyperlink xmlns:r="http://schemas.openxmlformats.org/officeDocument/2006/relationships" ref="H9" r:id="rId31"/>
    <hyperlink xmlns:r="http://schemas.openxmlformats.org/officeDocument/2006/relationships" ref="I9" r:id="rId32"/>
    <hyperlink xmlns:r="http://schemas.openxmlformats.org/officeDocument/2006/relationships" ref="F10" r:id="rId33"/>
    <hyperlink xmlns:r="http://schemas.openxmlformats.org/officeDocument/2006/relationships" ref="G10" r:id="rId34"/>
    <hyperlink xmlns:r="http://schemas.openxmlformats.org/officeDocument/2006/relationships" ref="H10" r:id="rId35"/>
    <hyperlink xmlns:r="http://schemas.openxmlformats.org/officeDocument/2006/relationships" ref="I10" r:id="rId36"/>
    <hyperlink xmlns:r="http://schemas.openxmlformats.org/officeDocument/2006/relationships" ref="F11" r:id="rId37"/>
    <hyperlink xmlns:r="http://schemas.openxmlformats.org/officeDocument/2006/relationships" ref="G11" r:id="rId38"/>
    <hyperlink xmlns:r="http://schemas.openxmlformats.org/officeDocument/2006/relationships" ref="H11" r:id="rId39"/>
    <hyperlink xmlns:r="http://schemas.openxmlformats.org/officeDocument/2006/relationships" ref="I11" r:id="rId40"/>
    <hyperlink xmlns:r="http://schemas.openxmlformats.org/officeDocument/2006/relationships" ref="F12" r:id="rId41"/>
    <hyperlink xmlns:r="http://schemas.openxmlformats.org/officeDocument/2006/relationships" ref="G12" r:id="rId42"/>
    <hyperlink xmlns:r="http://schemas.openxmlformats.org/officeDocument/2006/relationships" ref="H12" r:id="rId43"/>
    <hyperlink xmlns:r="http://schemas.openxmlformats.org/officeDocument/2006/relationships" ref="I12" r:id="rId44"/>
    <hyperlink xmlns:r="http://schemas.openxmlformats.org/officeDocument/2006/relationships" ref="F13" r:id="rId45"/>
    <hyperlink xmlns:r="http://schemas.openxmlformats.org/officeDocument/2006/relationships" ref="G13" r:id="rId46"/>
    <hyperlink xmlns:r="http://schemas.openxmlformats.org/officeDocument/2006/relationships" ref="H13" r:id="rId47"/>
    <hyperlink xmlns:r="http://schemas.openxmlformats.org/officeDocument/2006/relationships" ref="I13" r:id="rId48"/>
    <hyperlink xmlns:r="http://schemas.openxmlformats.org/officeDocument/2006/relationships" ref="F14" r:id="rId49"/>
    <hyperlink xmlns:r="http://schemas.openxmlformats.org/officeDocument/2006/relationships" ref="G14" r:id="rId50"/>
    <hyperlink xmlns:r="http://schemas.openxmlformats.org/officeDocument/2006/relationships" ref="H14" r:id="rId51"/>
    <hyperlink xmlns:r="http://schemas.openxmlformats.org/officeDocument/2006/relationships" ref="I14" r:id="rId52"/>
    <hyperlink xmlns:r="http://schemas.openxmlformats.org/officeDocument/2006/relationships" ref="F15" r:id="rId53"/>
    <hyperlink xmlns:r="http://schemas.openxmlformats.org/officeDocument/2006/relationships" ref="G15" r:id="rId54"/>
    <hyperlink xmlns:r="http://schemas.openxmlformats.org/officeDocument/2006/relationships" ref="H15" r:id="rId55"/>
    <hyperlink xmlns:r="http://schemas.openxmlformats.org/officeDocument/2006/relationships" ref="I15" r:id="rId56"/>
    <hyperlink xmlns:r="http://schemas.openxmlformats.org/officeDocument/2006/relationships" ref="F16" r:id="rId57"/>
    <hyperlink xmlns:r="http://schemas.openxmlformats.org/officeDocument/2006/relationships" ref="G16" r:id="rId58"/>
    <hyperlink xmlns:r="http://schemas.openxmlformats.org/officeDocument/2006/relationships" ref="H16" r:id="rId59"/>
    <hyperlink xmlns:r="http://schemas.openxmlformats.org/officeDocument/2006/relationships" ref="I16" r:id="rId60"/>
    <hyperlink xmlns:r="http://schemas.openxmlformats.org/officeDocument/2006/relationships" ref="F17" r:id="rId61"/>
    <hyperlink xmlns:r="http://schemas.openxmlformats.org/officeDocument/2006/relationships" ref="G17" r:id="rId62"/>
    <hyperlink xmlns:r="http://schemas.openxmlformats.org/officeDocument/2006/relationships" ref="H17" r:id="rId63"/>
    <hyperlink xmlns:r="http://schemas.openxmlformats.org/officeDocument/2006/relationships" ref="I17" r:id="rId64"/>
    <hyperlink xmlns:r="http://schemas.openxmlformats.org/officeDocument/2006/relationships" ref="F18" r:id="rId65"/>
    <hyperlink xmlns:r="http://schemas.openxmlformats.org/officeDocument/2006/relationships" ref="G18" r:id="rId66"/>
    <hyperlink xmlns:r="http://schemas.openxmlformats.org/officeDocument/2006/relationships" ref="H18" r:id="rId67"/>
    <hyperlink xmlns:r="http://schemas.openxmlformats.org/officeDocument/2006/relationships" ref="I18" r:id="rId68"/>
    <hyperlink xmlns:r="http://schemas.openxmlformats.org/officeDocument/2006/relationships" ref="F19" r:id="rId69"/>
    <hyperlink xmlns:r="http://schemas.openxmlformats.org/officeDocument/2006/relationships" ref="G19" r:id="rId70"/>
    <hyperlink xmlns:r="http://schemas.openxmlformats.org/officeDocument/2006/relationships" ref="H19" r:id="rId71"/>
    <hyperlink xmlns:r="http://schemas.openxmlformats.org/officeDocument/2006/relationships" ref="I19" r:id="rId72"/>
    <hyperlink xmlns:r="http://schemas.openxmlformats.org/officeDocument/2006/relationships" ref="F20" r:id="rId73"/>
    <hyperlink xmlns:r="http://schemas.openxmlformats.org/officeDocument/2006/relationships" ref="G20" r:id="rId74"/>
    <hyperlink xmlns:r="http://schemas.openxmlformats.org/officeDocument/2006/relationships" ref="H20" r:id="rId75"/>
    <hyperlink xmlns:r="http://schemas.openxmlformats.org/officeDocument/2006/relationships" ref="I20" r:id="rId76"/>
    <hyperlink xmlns:r="http://schemas.openxmlformats.org/officeDocument/2006/relationships" ref="F21" r:id="rId77"/>
    <hyperlink xmlns:r="http://schemas.openxmlformats.org/officeDocument/2006/relationships" ref="G21" r:id="rId78"/>
    <hyperlink xmlns:r="http://schemas.openxmlformats.org/officeDocument/2006/relationships" ref="H21" r:id="rId79"/>
    <hyperlink xmlns:r="http://schemas.openxmlformats.org/officeDocument/2006/relationships" ref="I21" r:id="rId80"/>
    <hyperlink xmlns:r="http://schemas.openxmlformats.org/officeDocument/2006/relationships" ref="F22" r:id="rId81"/>
    <hyperlink xmlns:r="http://schemas.openxmlformats.org/officeDocument/2006/relationships" ref="G22" r:id="rId82"/>
    <hyperlink xmlns:r="http://schemas.openxmlformats.org/officeDocument/2006/relationships" ref="H22" r:id="rId83"/>
    <hyperlink xmlns:r="http://schemas.openxmlformats.org/officeDocument/2006/relationships" ref="I22" r:id="rId84"/>
    <hyperlink xmlns:r="http://schemas.openxmlformats.org/officeDocument/2006/relationships" ref="F23" r:id="rId85"/>
    <hyperlink xmlns:r="http://schemas.openxmlformats.org/officeDocument/2006/relationships" ref="G23" r:id="rId86"/>
    <hyperlink xmlns:r="http://schemas.openxmlformats.org/officeDocument/2006/relationships" ref="H23" r:id="rId87"/>
    <hyperlink xmlns:r="http://schemas.openxmlformats.org/officeDocument/2006/relationships" ref="I23" r:id="rId88"/>
    <hyperlink xmlns:r="http://schemas.openxmlformats.org/officeDocument/2006/relationships" ref="F24" r:id="rId89"/>
    <hyperlink xmlns:r="http://schemas.openxmlformats.org/officeDocument/2006/relationships" ref="G24" r:id="rId90"/>
    <hyperlink xmlns:r="http://schemas.openxmlformats.org/officeDocument/2006/relationships" ref="H24" r:id="rId91"/>
    <hyperlink xmlns:r="http://schemas.openxmlformats.org/officeDocument/2006/relationships" ref="I24" r:id="rId92"/>
    <hyperlink xmlns:r="http://schemas.openxmlformats.org/officeDocument/2006/relationships" ref="F25" r:id="rId93"/>
    <hyperlink xmlns:r="http://schemas.openxmlformats.org/officeDocument/2006/relationships" ref="G25" r:id="rId94"/>
    <hyperlink xmlns:r="http://schemas.openxmlformats.org/officeDocument/2006/relationships" ref="H25" r:id="rId95"/>
    <hyperlink xmlns:r="http://schemas.openxmlformats.org/officeDocument/2006/relationships" ref="I25" r:id="rId96"/>
    <hyperlink xmlns:r="http://schemas.openxmlformats.org/officeDocument/2006/relationships" ref="F26" r:id="rId97"/>
    <hyperlink xmlns:r="http://schemas.openxmlformats.org/officeDocument/2006/relationships" ref="G26" r:id="rId98"/>
    <hyperlink xmlns:r="http://schemas.openxmlformats.org/officeDocument/2006/relationships" ref="H26" r:id="rId99"/>
    <hyperlink xmlns:r="http://schemas.openxmlformats.org/officeDocument/2006/relationships" ref="I26" r:id="rId100"/>
    <hyperlink xmlns:r="http://schemas.openxmlformats.org/officeDocument/2006/relationships" ref="F27" r:id="rId101"/>
    <hyperlink xmlns:r="http://schemas.openxmlformats.org/officeDocument/2006/relationships" ref="G27" r:id="rId102"/>
    <hyperlink xmlns:r="http://schemas.openxmlformats.org/officeDocument/2006/relationships" ref="H27" r:id="rId103"/>
    <hyperlink xmlns:r="http://schemas.openxmlformats.org/officeDocument/2006/relationships" ref="I27" r:id="rId104"/>
    <hyperlink xmlns:r="http://schemas.openxmlformats.org/officeDocument/2006/relationships" ref="F28" r:id="rId105"/>
    <hyperlink xmlns:r="http://schemas.openxmlformats.org/officeDocument/2006/relationships" ref="G28" r:id="rId106"/>
    <hyperlink xmlns:r="http://schemas.openxmlformats.org/officeDocument/2006/relationships" ref="H28" r:id="rId107"/>
    <hyperlink xmlns:r="http://schemas.openxmlformats.org/officeDocument/2006/relationships" ref="I28" r:id="rId108"/>
    <hyperlink xmlns:r="http://schemas.openxmlformats.org/officeDocument/2006/relationships" ref="F29" r:id="rId109"/>
    <hyperlink xmlns:r="http://schemas.openxmlformats.org/officeDocument/2006/relationships" ref="G29" r:id="rId110"/>
    <hyperlink xmlns:r="http://schemas.openxmlformats.org/officeDocument/2006/relationships" ref="H29" r:id="rId111"/>
    <hyperlink xmlns:r="http://schemas.openxmlformats.org/officeDocument/2006/relationships" ref="I29" r:id="rId112"/>
    <hyperlink xmlns:r="http://schemas.openxmlformats.org/officeDocument/2006/relationships" ref="F30" r:id="rId113"/>
    <hyperlink xmlns:r="http://schemas.openxmlformats.org/officeDocument/2006/relationships" ref="G30" r:id="rId114"/>
    <hyperlink xmlns:r="http://schemas.openxmlformats.org/officeDocument/2006/relationships" ref="H30" r:id="rId115"/>
    <hyperlink xmlns:r="http://schemas.openxmlformats.org/officeDocument/2006/relationships" ref="I30" r:id="rId116"/>
    <hyperlink xmlns:r="http://schemas.openxmlformats.org/officeDocument/2006/relationships" ref="F31" r:id="rId117"/>
    <hyperlink xmlns:r="http://schemas.openxmlformats.org/officeDocument/2006/relationships" ref="G31" r:id="rId118"/>
    <hyperlink xmlns:r="http://schemas.openxmlformats.org/officeDocument/2006/relationships" ref="H31" r:id="rId119"/>
    <hyperlink xmlns:r="http://schemas.openxmlformats.org/officeDocument/2006/relationships" ref="I31" r:id="rId120"/>
    <hyperlink xmlns:r="http://schemas.openxmlformats.org/officeDocument/2006/relationships" ref="F32" r:id="rId121"/>
    <hyperlink xmlns:r="http://schemas.openxmlformats.org/officeDocument/2006/relationships" ref="G32" r:id="rId122"/>
    <hyperlink xmlns:r="http://schemas.openxmlformats.org/officeDocument/2006/relationships" ref="H32" r:id="rId123"/>
    <hyperlink xmlns:r="http://schemas.openxmlformats.org/officeDocument/2006/relationships" ref="I32" r:id="rId124"/>
    <hyperlink xmlns:r="http://schemas.openxmlformats.org/officeDocument/2006/relationships" ref="F33" r:id="rId125"/>
    <hyperlink xmlns:r="http://schemas.openxmlformats.org/officeDocument/2006/relationships" ref="G33" r:id="rId126"/>
    <hyperlink xmlns:r="http://schemas.openxmlformats.org/officeDocument/2006/relationships" ref="H33" r:id="rId127"/>
    <hyperlink xmlns:r="http://schemas.openxmlformats.org/officeDocument/2006/relationships" ref="I33" r:id="rId128"/>
    <hyperlink xmlns:r="http://schemas.openxmlformats.org/officeDocument/2006/relationships" ref="F34" r:id="rId129"/>
    <hyperlink xmlns:r="http://schemas.openxmlformats.org/officeDocument/2006/relationships" ref="G34" r:id="rId130"/>
    <hyperlink xmlns:r="http://schemas.openxmlformats.org/officeDocument/2006/relationships" ref="H34" r:id="rId131"/>
    <hyperlink xmlns:r="http://schemas.openxmlformats.org/officeDocument/2006/relationships" ref="I34" r:id="rId132"/>
    <hyperlink xmlns:r="http://schemas.openxmlformats.org/officeDocument/2006/relationships" ref="F35" r:id="rId133"/>
    <hyperlink xmlns:r="http://schemas.openxmlformats.org/officeDocument/2006/relationships" ref="G35" r:id="rId134"/>
    <hyperlink xmlns:r="http://schemas.openxmlformats.org/officeDocument/2006/relationships" ref="H35" r:id="rId135"/>
    <hyperlink xmlns:r="http://schemas.openxmlformats.org/officeDocument/2006/relationships" ref="I35" r:id="rId136"/>
    <hyperlink xmlns:r="http://schemas.openxmlformats.org/officeDocument/2006/relationships" ref="F36" r:id="rId137"/>
    <hyperlink xmlns:r="http://schemas.openxmlformats.org/officeDocument/2006/relationships" ref="G36" r:id="rId138"/>
    <hyperlink xmlns:r="http://schemas.openxmlformats.org/officeDocument/2006/relationships" ref="H36" r:id="rId139"/>
    <hyperlink xmlns:r="http://schemas.openxmlformats.org/officeDocument/2006/relationships" ref="I36" r:id="rId140"/>
    <hyperlink xmlns:r="http://schemas.openxmlformats.org/officeDocument/2006/relationships" ref="F37" r:id="rId141"/>
    <hyperlink xmlns:r="http://schemas.openxmlformats.org/officeDocument/2006/relationships" ref="G37" r:id="rId142"/>
    <hyperlink xmlns:r="http://schemas.openxmlformats.org/officeDocument/2006/relationships" ref="H37" r:id="rId143"/>
    <hyperlink xmlns:r="http://schemas.openxmlformats.org/officeDocument/2006/relationships" ref="I37" r:id="rId144"/>
    <hyperlink xmlns:r="http://schemas.openxmlformats.org/officeDocument/2006/relationships" ref="F38" r:id="rId145"/>
    <hyperlink xmlns:r="http://schemas.openxmlformats.org/officeDocument/2006/relationships" ref="G38" r:id="rId146"/>
    <hyperlink xmlns:r="http://schemas.openxmlformats.org/officeDocument/2006/relationships" ref="H38" r:id="rId147"/>
    <hyperlink xmlns:r="http://schemas.openxmlformats.org/officeDocument/2006/relationships" ref="I38" r:id="rId148"/>
    <hyperlink xmlns:r="http://schemas.openxmlformats.org/officeDocument/2006/relationships" ref="F39" r:id="rId149"/>
    <hyperlink xmlns:r="http://schemas.openxmlformats.org/officeDocument/2006/relationships" ref="G39" r:id="rId150"/>
    <hyperlink xmlns:r="http://schemas.openxmlformats.org/officeDocument/2006/relationships" ref="H39" r:id="rId151"/>
    <hyperlink xmlns:r="http://schemas.openxmlformats.org/officeDocument/2006/relationships" ref="I39" r:id="rId152"/>
    <hyperlink xmlns:r="http://schemas.openxmlformats.org/officeDocument/2006/relationships" ref="F40" r:id="rId153"/>
    <hyperlink xmlns:r="http://schemas.openxmlformats.org/officeDocument/2006/relationships" ref="G40" r:id="rId154"/>
    <hyperlink xmlns:r="http://schemas.openxmlformats.org/officeDocument/2006/relationships" ref="H40" r:id="rId155"/>
    <hyperlink xmlns:r="http://schemas.openxmlformats.org/officeDocument/2006/relationships" ref="I40" r:id="rId156"/>
    <hyperlink xmlns:r="http://schemas.openxmlformats.org/officeDocument/2006/relationships" ref="F41" r:id="rId157"/>
    <hyperlink xmlns:r="http://schemas.openxmlformats.org/officeDocument/2006/relationships" ref="G41" r:id="rId158"/>
    <hyperlink xmlns:r="http://schemas.openxmlformats.org/officeDocument/2006/relationships" ref="H41" r:id="rId159"/>
    <hyperlink xmlns:r="http://schemas.openxmlformats.org/officeDocument/2006/relationships" ref="I41" r:id="rId160"/>
    <hyperlink xmlns:r="http://schemas.openxmlformats.org/officeDocument/2006/relationships" ref="F42" r:id="rId161"/>
    <hyperlink xmlns:r="http://schemas.openxmlformats.org/officeDocument/2006/relationships" ref="G42" r:id="rId162"/>
    <hyperlink xmlns:r="http://schemas.openxmlformats.org/officeDocument/2006/relationships" ref="H42" r:id="rId163"/>
    <hyperlink xmlns:r="http://schemas.openxmlformats.org/officeDocument/2006/relationships" ref="I42" r:id="rId164"/>
    <hyperlink xmlns:r="http://schemas.openxmlformats.org/officeDocument/2006/relationships" ref="F43" r:id="rId165"/>
    <hyperlink xmlns:r="http://schemas.openxmlformats.org/officeDocument/2006/relationships" ref="G43" r:id="rId166"/>
    <hyperlink xmlns:r="http://schemas.openxmlformats.org/officeDocument/2006/relationships" ref="H43" r:id="rId167"/>
    <hyperlink xmlns:r="http://schemas.openxmlformats.org/officeDocument/2006/relationships" ref="I43" r:id="rId168"/>
    <hyperlink xmlns:r="http://schemas.openxmlformats.org/officeDocument/2006/relationships" ref="F44" r:id="rId169"/>
    <hyperlink xmlns:r="http://schemas.openxmlformats.org/officeDocument/2006/relationships" ref="G44" r:id="rId170"/>
    <hyperlink xmlns:r="http://schemas.openxmlformats.org/officeDocument/2006/relationships" ref="H44" r:id="rId171"/>
    <hyperlink xmlns:r="http://schemas.openxmlformats.org/officeDocument/2006/relationships" ref="I44" r:id="rId172"/>
    <hyperlink xmlns:r="http://schemas.openxmlformats.org/officeDocument/2006/relationships" ref="F45" r:id="rId173"/>
    <hyperlink xmlns:r="http://schemas.openxmlformats.org/officeDocument/2006/relationships" ref="G45" r:id="rId174"/>
    <hyperlink xmlns:r="http://schemas.openxmlformats.org/officeDocument/2006/relationships" ref="H45" r:id="rId175"/>
    <hyperlink xmlns:r="http://schemas.openxmlformats.org/officeDocument/2006/relationships" ref="I45" r:id="rId176"/>
    <hyperlink xmlns:r="http://schemas.openxmlformats.org/officeDocument/2006/relationships" ref="F46" r:id="rId177"/>
    <hyperlink xmlns:r="http://schemas.openxmlformats.org/officeDocument/2006/relationships" ref="G46" r:id="rId178"/>
    <hyperlink xmlns:r="http://schemas.openxmlformats.org/officeDocument/2006/relationships" ref="H46" r:id="rId179"/>
    <hyperlink xmlns:r="http://schemas.openxmlformats.org/officeDocument/2006/relationships" ref="I46" r:id="rId180"/>
    <hyperlink xmlns:r="http://schemas.openxmlformats.org/officeDocument/2006/relationships" ref="F47" r:id="rId181"/>
    <hyperlink xmlns:r="http://schemas.openxmlformats.org/officeDocument/2006/relationships" ref="G47" r:id="rId182"/>
    <hyperlink xmlns:r="http://schemas.openxmlformats.org/officeDocument/2006/relationships" ref="H47" r:id="rId183"/>
    <hyperlink xmlns:r="http://schemas.openxmlformats.org/officeDocument/2006/relationships" ref="I47" r:id="rId184"/>
    <hyperlink xmlns:r="http://schemas.openxmlformats.org/officeDocument/2006/relationships" ref="F48" r:id="rId185"/>
    <hyperlink xmlns:r="http://schemas.openxmlformats.org/officeDocument/2006/relationships" ref="G48" r:id="rId186"/>
    <hyperlink xmlns:r="http://schemas.openxmlformats.org/officeDocument/2006/relationships" ref="H48" r:id="rId187"/>
    <hyperlink xmlns:r="http://schemas.openxmlformats.org/officeDocument/2006/relationships" ref="I48" r:id="rId188"/>
    <hyperlink xmlns:r="http://schemas.openxmlformats.org/officeDocument/2006/relationships" ref="F49" r:id="rId189"/>
    <hyperlink xmlns:r="http://schemas.openxmlformats.org/officeDocument/2006/relationships" ref="G49" r:id="rId190"/>
    <hyperlink xmlns:r="http://schemas.openxmlformats.org/officeDocument/2006/relationships" ref="H49" r:id="rId191"/>
    <hyperlink xmlns:r="http://schemas.openxmlformats.org/officeDocument/2006/relationships" ref="I49" r:id="rId192"/>
    <hyperlink xmlns:r="http://schemas.openxmlformats.org/officeDocument/2006/relationships" ref="F50" r:id="rId193"/>
    <hyperlink xmlns:r="http://schemas.openxmlformats.org/officeDocument/2006/relationships" ref="G50" r:id="rId194"/>
    <hyperlink xmlns:r="http://schemas.openxmlformats.org/officeDocument/2006/relationships" ref="H50" r:id="rId195"/>
    <hyperlink xmlns:r="http://schemas.openxmlformats.org/officeDocument/2006/relationships" ref="I50" r:id="rId196"/>
    <hyperlink xmlns:r="http://schemas.openxmlformats.org/officeDocument/2006/relationships" ref="F51" r:id="rId197"/>
    <hyperlink xmlns:r="http://schemas.openxmlformats.org/officeDocument/2006/relationships" ref="G51" r:id="rId198"/>
    <hyperlink xmlns:r="http://schemas.openxmlformats.org/officeDocument/2006/relationships" ref="H51" r:id="rId199"/>
    <hyperlink xmlns:r="http://schemas.openxmlformats.org/officeDocument/2006/relationships" ref="I51" r:id="rId200"/>
    <hyperlink xmlns:r="http://schemas.openxmlformats.org/officeDocument/2006/relationships" ref="F52" r:id="rId201"/>
    <hyperlink xmlns:r="http://schemas.openxmlformats.org/officeDocument/2006/relationships" ref="G52" r:id="rId202"/>
    <hyperlink xmlns:r="http://schemas.openxmlformats.org/officeDocument/2006/relationships" ref="H52" r:id="rId203"/>
    <hyperlink xmlns:r="http://schemas.openxmlformats.org/officeDocument/2006/relationships" ref="I52" r:id="rId204"/>
    <hyperlink xmlns:r="http://schemas.openxmlformats.org/officeDocument/2006/relationships" ref="F53" r:id="rId205"/>
    <hyperlink xmlns:r="http://schemas.openxmlformats.org/officeDocument/2006/relationships" ref="G53" r:id="rId206"/>
    <hyperlink xmlns:r="http://schemas.openxmlformats.org/officeDocument/2006/relationships" ref="H53" r:id="rId207"/>
    <hyperlink xmlns:r="http://schemas.openxmlformats.org/officeDocument/2006/relationships" ref="I53" r:id="rId208"/>
    <hyperlink xmlns:r="http://schemas.openxmlformats.org/officeDocument/2006/relationships" ref="F54" r:id="rId209"/>
    <hyperlink xmlns:r="http://schemas.openxmlformats.org/officeDocument/2006/relationships" ref="G54" r:id="rId210"/>
    <hyperlink xmlns:r="http://schemas.openxmlformats.org/officeDocument/2006/relationships" ref="H54" r:id="rId211"/>
    <hyperlink xmlns:r="http://schemas.openxmlformats.org/officeDocument/2006/relationships" ref="I54" r:id="rId212"/>
    <hyperlink xmlns:r="http://schemas.openxmlformats.org/officeDocument/2006/relationships" ref="F55" r:id="rId213"/>
    <hyperlink xmlns:r="http://schemas.openxmlformats.org/officeDocument/2006/relationships" ref="G55" r:id="rId214"/>
    <hyperlink xmlns:r="http://schemas.openxmlformats.org/officeDocument/2006/relationships" ref="H55" r:id="rId215"/>
    <hyperlink xmlns:r="http://schemas.openxmlformats.org/officeDocument/2006/relationships" ref="I55" r:id="rId216"/>
    <hyperlink xmlns:r="http://schemas.openxmlformats.org/officeDocument/2006/relationships" ref="F56" r:id="rId217"/>
    <hyperlink xmlns:r="http://schemas.openxmlformats.org/officeDocument/2006/relationships" ref="G56" r:id="rId218"/>
    <hyperlink xmlns:r="http://schemas.openxmlformats.org/officeDocument/2006/relationships" ref="H56" r:id="rId219"/>
    <hyperlink xmlns:r="http://schemas.openxmlformats.org/officeDocument/2006/relationships" ref="I56" r:id="rId220"/>
    <hyperlink xmlns:r="http://schemas.openxmlformats.org/officeDocument/2006/relationships" ref="F57" r:id="rId221"/>
    <hyperlink xmlns:r="http://schemas.openxmlformats.org/officeDocument/2006/relationships" ref="G57" r:id="rId222"/>
    <hyperlink xmlns:r="http://schemas.openxmlformats.org/officeDocument/2006/relationships" ref="H57" r:id="rId223"/>
    <hyperlink xmlns:r="http://schemas.openxmlformats.org/officeDocument/2006/relationships" ref="I57" r:id="rId224"/>
    <hyperlink xmlns:r="http://schemas.openxmlformats.org/officeDocument/2006/relationships" ref="F58" r:id="rId225"/>
    <hyperlink xmlns:r="http://schemas.openxmlformats.org/officeDocument/2006/relationships" ref="G58" r:id="rId226"/>
    <hyperlink xmlns:r="http://schemas.openxmlformats.org/officeDocument/2006/relationships" ref="H58" r:id="rId227"/>
    <hyperlink xmlns:r="http://schemas.openxmlformats.org/officeDocument/2006/relationships" ref="I58" r:id="rId228"/>
    <hyperlink xmlns:r="http://schemas.openxmlformats.org/officeDocument/2006/relationships" ref="F59" r:id="rId229"/>
    <hyperlink xmlns:r="http://schemas.openxmlformats.org/officeDocument/2006/relationships" ref="G59" r:id="rId230"/>
    <hyperlink xmlns:r="http://schemas.openxmlformats.org/officeDocument/2006/relationships" ref="H59" r:id="rId231"/>
    <hyperlink xmlns:r="http://schemas.openxmlformats.org/officeDocument/2006/relationships" ref="I59" r:id="rId232"/>
    <hyperlink xmlns:r="http://schemas.openxmlformats.org/officeDocument/2006/relationships" ref="F60" r:id="rId233"/>
    <hyperlink xmlns:r="http://schemas.openxmlformats.org/officeDocument/2006/relationships" ref="G60" r:id="rId234"/>
    <hyperlink xmlns:r="http://schemas.openxmlformats.org/officeDocument/2006/relationships" ref="H60" r:id="rId235"/>
    <hyperlink xmlns:r="http://schemas.openxmlformats.org/officeDocument/2006/relationships" ref="I60" r:id="rId236"/>
    <hyperlink xmlns:r="http://schemas.openxmlformats.org/officeDocument/2006/relationships" ref="F61" r:id="rId237"/>
    <hyperlink xmlns:r="http://schemas.openxmlformats.org/officeDocument/2006/relationships" ref="G61" r:id="rId238"/>
    <hyperlink xmlns:r="http://schemas.openxmlformats.org/officeDocument/2006/relationships" ref="H61" r:id="rId239"/>
    <hyperlink xmlns:r="http://schemas.openxmlformats.org/officeDocument/2006/relationships" ref="I61" r:id="rId240"/>
    <hyperlink xmlns:r="http://schemas.openxmlformats.org/officeDocument/2006/relationships" ref="F62" r:id="rId241"/>
    <hyperlink xmlns:r="http://schemas.openxmlformats.org/officeDocument/2006/relationships" ref="G62" r:id="rId242"/>
    <hyperlink xmlns:r="http://schemas.openxmlformats.org/officeDocument/2006/relationships" ref="H62" r:id="rId243"/>
    <hyperlink xmlns:r="http://schemas.openxmlformats.org/officeDocument/2006/relationships" ref="I62" r:id="rId244"/>
    <hyperlink xmlns:r="http://schemas.openxmlformats.org/officeDocument/2006/relationships" ref="F63" r:id="rId245"/>
    <hyperlink xmlns:r="http://schemas.openxmlformats.org/officeDocument/2006/relationships" ref="G63" r:id="rId246"/>
    <hyperlink xmlns:r="http://schemas.openxmlformats.org/officeDocument/2006/relationships" ref="H63" r:id="rId247"/>
    <hyperlink xmlns:r="http://schemas.openxmlformats.org/officeDocument/2006/relationships" ref="I63" r:id="rId248"/>
    <hyperlink xmlns:r="http://schemas.openxmlformats.org/officeDocument/2006/relationships" ref="F64" r:id="rId249"/>
    <hyperlink xmlns:r="http://schemas.openxmlformats.org/officeDocument/2006/relationships" ref="G64" r:id="rId250"/>
    <hyperlink xmlns:r="http://schemas.openxmlformats.org/officeDocument/2006/relationships" ref="H64" r:id="rId251"/>
    <hyperlink xmlns:r="http://schemas.openxmlformats.org/officeDocument/2006/relationships" ref="I64" r:id="rId252"/>
    <hyperlink xmlns:r="http://schemas.openxmlformats.org/officeDocument/2006/relationships" ref="F65" r:id="rId253"/>
    <hyperlink xmlns:r="http://schemas.openxmlformats.org/officeDocument/2006/relationships" ref="G65" r:id="rId254"/>
    <hyperlink xmlns:r="http://schemas.openxmlformats.org/officeDocument/2006/relationships" ref="H65" r:id="rId255"/>
    <hyperlink xmlns:r="http://schemas.openxmlformats.org/officeDocument/2006/relationships" ref="I65" r:id="rId256"/>
    <hyperlink xmlns:r="http://schemas.openxmlformats.org/officeDocument/2006/relationships" ref="F66" r:id="rId257"/>
    <hyperlink xmlns:r="http://schemas.openxmlformats.org/officeDocument/2006/relationships" ref="G66" r:id="rId258"/>
    <hyperlink xmlns:r="http://schemas.openxmlformats.org/officeDocument/2006/relationships" ref="H66" r:id="rId259"/>
    <hyperlink xmlns:r="http://schemas.openxmlformats.org/officeDocument/2006/relationships" ref="I66" r:id="rId260"/>
    <hyperlink xmlns:r="http://schemas.openxmlformats.org/officeDocument/2006/relationships" ref="F67" r:id="rId261"/>
    <hyperlink xmlns:r="http://schemas.openxmlformats.org/officeDocument/2006/relationships" ref="G67" r:id="rId262"/>
    <hyperlink xmlns:r="http://schemas.openxmlformats.org/officeDocument/2006/relationships" ref="H67" r:id="rId263"/>
    <hyperlink xmlns:r="http://schemas.openxmlformats.org/officeDocument/2006/relationships" ref="I67" r:id="rId264"/>
    <hyperlink xmlns:r="http://schemas.openxmlformats.org/officeDocument/2006/relationships" ref="F68" r:id="rId265"/>
    <hyperlink xmlns:r="http://schemas.openxmlformats.org/officeDocument/2006/relationships" ref="G68" r:id="rId266"/>
    <hyperlink xmlns:r="http://schemas.openxmlformats.org/officeDocument/2006/relationships" ref="H68" r:id="rId267"/>
    <hyperlink xmlns:r="http://schemas.openxmlformats.org/officeDocument/2006/relationships" ref="I68" r:id="rId268"/>
    <hyperlink xmlns:r="http://schemas.openxmlformats.org/officeDocument/2006/relationships" ref="F69" r:id="rId269"/>
    <hyperlink xmlns:r="http://schemas.openxmlformats.org/officeDocument/2006/relationships" ref="G69" r:id="rId270"/>
    <hyperlink xmlns:r="http://schemas.openxmlformats.org/officeDocument/2006/relationships" ref="H69" r:id="rId271"/>
    <hyperlink xmlns:r="http://schemas.openxmlformats.org/officeDocument/2006/relationships" ref="I69" r:id="rId272"/>
    <hyperlink xmlns:r="http://schemas.openxmlformats.org/officeDocument/2006/relationships" ref="F70" r:id="rId273"/>
    <hyperlink xmlns:r="http://schemas.openxmlformats.org/officeDocument/2006/relationships" ref="G70" r:id="rId274"/>
    <hyperlink xmlns:r="http://schemas.openxmlformats.org/officeDocument/2006/relationships" ref="H70" r:id="rId275"/>
    <hyperlink xmlns:r="http://schemas.openxmlformats.org/officeDocument/2006/relationships" ref="I70" r:id="rId276"/>
    <hyperlink xmlns:r="http://schemas.openxmlformats.org/officeDocument/2006/relationships" ref="F71" r:id="rId277"/>
    <hyperlink xmlns:r="http://schemas.openxmlformats.org/officeDocument/2006/relationships" ref="G71" r:id="rId278"/>
    <hyperlink xmlns:r="http://schemas.openxmlformats.org/officeDocument/2006/relationships" ref="H71" r:id="rId279"/>
    <hyperlink xmlns:r="http://schemas.openxmlformats.org/officeDocument/2006/relationships" ref="I71" r:id="rId280"/>
    <hyperlink xmlns:r="http://schemas.openxmlformats.org/officeDocument/2006/relationships" ref="F72" r:id="rId281"/>
    <hyperlink xmlns:r="http://schemas.openxmlformats.org/officeDocument/2006/relationships" ref="G72" r:id="rId282"/>
    <hyperlink xmlns:r="http://schemas.openxmlformats.org/officeDocument/2006/relationships" ref="H72" r:id="rId283"/>
    <hyperlink xmlns:r="http://schemas.openxmlformats.org/officeDocument/2006/relationships" ref="I72" r:id="rId284"/>
    <hyperlink xmlns:r="http://schemas.openxmlformats.org/officeDocument/2006/relationships" ref="F73" r:id="rId285"/>
    <hyperlink xmlns:r="http://schemas.openxmlformats.org/officeDocument/2006/relationships" ref="G73" r:id="rId286"/>
    <hyperlink xmlns:r="http://schemas.openxmlformats.org/officeDocument/2006/relationships" ref="H73" r:id="rId287"/>
    <hyperlink xmlns:r="http://schemas.openxmlformats.org/officeDocument/2006/relationships" ref="I73" r:id="rId288"/>
    <hyperlink xmlns:r="http://schemas.openxmlformats.org/officeDocument/2006/relationships" ref="F74" r:id="rId289"/>
    <hyperlink xmlns:r="http://schemas.openxmlformats.org/officeDocument/2006/relationships" ref="G74" r:id="rId290"/>
    <hyperlink xmlns:r="http://schemas.openxmlformats.org/officeDocument/2006/relationships" ref="H74" r:id="rId291"/>
    <hyperlink xmlns:r="http://schemas.openxmlformats.org/officeDocument/2006/relationships" ref="I74" r:id="rId292"/>
    <hyperlink xmlns:r="http://schemas.openxmlformats.org/officeDocument/2006/relationships" ref="F75" r:id="rId293"/>
    <hyperlink xmlns:r="http://schemas.openxmlformats.org/officeDocument/2006/relationships" ref="G75" r:id="rId294"/>
    <hyperlink xmlns:r="http://schemas.openxmlformats.org/officeDocument/2006/relationships" ref="H75" r:id="rId295"/>
    <hyperlink xmlns:r="http://schemas.openxmlformats.org/officeDocument/2006/relationships" ref="I75" r:id="rId296"/>
    <hyperlink xmlns:r="http://schemas.openxmlformats.org/officeDocument/2006/relationships" ref="F76" r:id="rId297"/>
    <hyperlink xmlns:r="http://schemas.openxmlformats.org/officeDocument/2006/relationships" ref="G76" r:id="rId298"/>
    <hyperlink xmlns:r="http://schemas.openxmlformats.org/officeDocument/2006/relationships" ref="H76" r:id="rId299"/>
    <hyperlink xmlns:r="http://schemas.openxmlformats.org/officeDocument/2006/relationships" ref="I76" r:id="rId300"/>
    <hyperlink xmlns:r="http://schemas.openxmlformats.org/officeDocument/2006/relationships" ref="F77" r:id="rId301"/>
    <hyperlink xmlns:r="http://schemas.openxmlformats.org/officeDocument/2006/relationships" ref="G77" r:id="rId302"/>
    <hyperlink xmlns:r="http://schemas.openxmlformats.org/officeDocument/2006/relationships" ref="H77" r:id="rId303"/>
    <hyperlink xmlns:r="http://schemas.openxmlformats.org/officeDocument/2006/relationships" ref="I77" r:id="rId304"/>
    <hyperlink xmlns:r="http://schemas.openxmlformats.org/officeDocument/2006/relationships" ref="F78" r:id="rId305"/>
    <hyperlink xmlns:r="http://schemas.openxmlformats.org/officeDocument/2006/relationships" ref="G78" r:id="rId306"/>
    <hyperlink xmlns:r="http://schemas.openxmlformats.org/officeDocument/2006/relationships" ref="H78" r:id="rId307"/>
    <hyperlink xmlns:r="http://schemas.openxmlformats.org/officeDocument/2006/relationships" ref="I78" r:id="rId308"/>
    <hyperlink xmlns:r="http://schemas.openxmlformats.org/officeDocument/2006/relationships" ref="F79" r:id="rId309"/>
    <hyperlink xmlns:r="http://schemas.openxmlformats.org/officeDocument/2006/relationships" ref="G79" r:id="rId310"/>
    <hyperlink xmlns:r="http://schemas.openxmlformats.org/officeDocument/2006/relationships" ref="H79" r:id="rId311"/>
    <hyperlink xmlns:r="http://schemas.openxmlformats.org/officeDocument/2006/relationships" ref="I79" r:id="rId312"/>
    <hyperlink xmlns:r="http://schemas.openxmlformats.org/officeDocument/2006/relationships" ref="F80" r:id="rId313"/>
    <hyperlink xmlns:r="http://schemas.openxmlformats.org/officeDocument/2006/relationships" ref="G80" r:id="rId314"/>
    <hyperlink xmlns:r="http://schemas.openxmlformats.org/officeDocument/2006/relationships" ref="H80" r:id="rId315"/>
    <hyperlink xmlns:r="http://schemas.openxmlformats.org/officeDocument/2006/relationships" ref="I80" r:id="rId316"/>
    <hyperlink xmlns:r="http://schemas.openxmlformats.org/officeDocument/2006/relationships" ref="F81" r:id="rId317"/>
    <hyperlink xmlns:r="http://schemas.openxmlformats.org/officeDocument/2006/relationships" ref="G81" r:id="rId318"/>
    <hyperlink xmlns:r="http://schemas.openxmlformats.org/officeDocument/2006/relationships" ref="H81" r:id="rId319"/>
    <hyperlink xmlns:r="http://schemas.openxmlformats.org/officeDocument/2006/relationships" ref="I81" r:id="rId320"/>
    <hyperlink xmlns:r="http://schemas.openxmlformats.org/officeDocument/2006/relationships" ref="F82" r:id="rId321"/>
    <hyperlink xmlns:r="http://schemas.openxmlformats.org/officeDocument/2006/relationships" ref="G82" r:id="rId322"/>
    <hyperlink xmlns:r="http://schemas.openxmlformats.org/officeDocument/2006/relationships" ref="H82" r:id="rId323"/>
    <hyperlink xmlns:r="http://schemas.openxmlformats.org/officeDocument/2006/relationships" ref="I82" r:id="rId324"/>
    <hyperlink xmlns:r="http://schemas.openxmlformats.org/officeDocument/2006/relationships" ref="F83" r:id="rId325"/>
    <hyperlink xmlns:r="http://schemas.openxmlformats.org/officeDocument/2006/relationships" ref="G83" r:id="rId326"/>
    <hyperlink xmlns:r="http://schemas.openxmlformats.org/officeDocument/2006/relationships" ref="H83" r:id="rId327"/>
    <hyperlink xmlns:r="http://schemas.openxmlformats.org/officeDocument/2006/relationships" ref="I83" r:id="rId328"/>
    <hyperlink xmlns:r="http://schemas.openxmlformats.org/officeDocument/2006/relationships" ref="F84" r:id="rId329"/>
    <hyperlink xmlns:r="http://schemas.openxmlformats.org/officeDocument/2006/relationships" ref="G84" r:id="rId330"/>
    <hyperlink xmlns:r="http://schemas.openxmlformats.org/officeDocument/2006/relationships" ref="H84" r:id="rId331"/>
    <hyperlink xmlns:r="http://schemas.openxmlformats.org/officeDocument/2006/relationships" ref="I84" r:id="rId332"/>
    <hyperlink xmlns:r="http://schemas.openxmlformats.org/officeDocument/2006/relationships" ref="F85" r:id="rId333"/>
    <hyperlink xmlns:r="http://schemas.openxmlformats.org/officeDocument/2006/relationships" ref="G85" r:id="rId334"/>
    <hyperlink xmlns:r="http://schemas.openxmlformats.org/officeDocument/2006/relationships" ref="H85" r:id="rId335"/>
    <hyperlink xmlns:r="http://schemas.openxmlformats.org/officeDocument/2006/relationships" ref="I85" r:id="rId336"/>
    <hyperlink xmlns:r="http://schemas.openxmlformats.org/officeDocument/2006/relationships" ref="F86" r:id="rId337"/>
    <hyperlink xmlns:r="http://schemas.openxmlformats.org/officeDocument/2006/relationships" ref="G86" r:id="rId338"/>
    <hyperlink xmlns:r="http://schemas.openxmlformats.org/officeDocument/2006/relationships" ref="H86" r:id="rId339"/>
    <hyperlink xmlns:r="http://schemas.openxmlformats.org/officeDocument/2006/relationships" ref="I86" r:id="rId340"/>
    <hyperlink xmlns:r="http://schemas.openxmlformats.org/officeDocument/2006/relationships" ref="F87" r:id="rId341"/>
    <hyperlink xmlns:r="http://schemas.openxmlformats.org/officeDocument/2006/relationships" ref="G87" r:id="rId342"/>
    <hyperlink xmlns:r="http://schemas.openxmlformats.org/officeDocument/2006/relationships" ref="H87" r:id="rId343"/>
    <hyperlink xmlns:r="http://schemas.openxmlformats.org/officeDocument/2006/relationships" ref="I87" r:id="rId344"/>
    <hyperlink xmlns:r="http://schemas.openxmlformats.org/officeDocument/2006/relationships" ref="F88" r:id="rId345"/>
    <hyperlink xmlns:r="http://schemas.openxmlformats.org/officeDocument/2006/relationships" ref="G88" r:id="rId346"/>
    <hyperlink xmlns:r="http://schemas.openxmlformats.org/officeDocument/2006/relationships" ref="H88" r:id="rId347"/>
    <hyperlink xmlns:r="http://schemas.openxmlformats.org/officeDocument/2006/relationships" ref="I88" r:id="rId348"/>
    <hyperlink xmlns:r="http://schemas.openxmlformats.org/officeDocument/2006/relationships" ref="F89" r:id="rId349"/>
    <hyperlink xmlns:r="http://schemas.openxmlformats.org/officeDocument/2006/relationships" ref="G89" r:id="rId350"/>
    <hyperlink xmlns:r="http://schemas.openxmlformats.org/officeDocument/2006/relationships" ref="H89" r:id="rId351"/>
    <hyperlink xmlns:r="http://schemas.openxmlformats.org/officeDocument/2006/relationships" ref="I89" r:id="rId352"/>
    <hyperlink xmlns:r="http://schemas.openxmlformats.org/officeDocument/2006/relationships" ref="F90" r:id="rId353"/>
    <hyperlink xmlns:r="http://schemas.openxmlformats.org/officeDocument/2006/relationships" ref="G90" r:id="rId354"/>
    <hyperlink xmlns:r="http://schemas.openxmlformats.org/officeDocument/2006/relationships" ref="H90" r:id="rId355"/>
    <hyperlink xmlns:r="http://schemas.openxmlformats.org/officeDocument/2006/relationships" ref="I90" r:id="rId356"/>
    <hyperlink xmlns:r="http://schemas.openxmlformats.org/officeDocument/2006/relationships" ref="F91" r:id="rId357"/>
    <hyperlink xmlns:r="http://schemas.openxmlformats.org/officeDocument/2006/relationships" ref="G91" r:id="rId358"/>
    <hyperlink xmlns:r="http://schemas.openxmlformats.org/officeDocument/2006/relationships" ref="H91" r:id="rId359"/>
    <hyperlink xmlns:r="http://schemas.openxmlformats.org/officeDocument/2006/relationships" ref="I91" r:id="rId360"/>
    <hyperlink xmlns:r="http://schemas.openxmlformats.org/officeDocument/2006/relationships" ref="F92" r:id="rId361"/>
    <hyperlink xmlns:r="http://schemas.openxmlformats.org/officeDocument/2006/relationships" ref="G92" r:id="rId362"/>
    <hyperlink xmlns:r="http://schemas.openxmlformats.org/officeDocument/2006/relationships" ref="H92" r:id="rId363"/>
    <hyperlink xmlns:r="http://schemas.openxmlformats.org/officeDocument/2006/relationships" ref="I92" r:id="rId364"/>
    <hyperlink xmlns:r="http://schemas.openxmlformats.org/officeDocument/2006/relationships" ref="F93" r:id="rId365"/>
    <hyperlink xmlns:r="http://schemas.openxmlformats.org/officeDocument/2006/relationships" ref="G93" r:id="rId366"/>
    <hyperlink xmlns:r="http://schemas.openxmlformats.org/officeDocument/2006/relationships" ref="H93" r:id="rId367"/>
    <hyperlink xmlns:r="http://schemas.openxmlformats.org/officeDocument/2006/relationships" ref="I93" r:id="rId368"/>
    <hyperlink xmlns:r="http://schemas.openxmlformats.org/officeDocument/2006/relationships" ref="F94" r:id="rId369"/>
    <hyperlink xmlns:r="http://schemas.openxmlformats.org/officeDocument/2006/relationships" ref="G94" r:id="rId370"/>
    <hyperlink xmlns:r="http://schemas.openxmlformats.org/officeDocument/2006/relationships" ref="H94" r:id="rId371"/>
    <hyperlink xmlns:r="http://schemas.openxmlformats.org/officeDocument/2006/relationships" ref="I94" r:id="rId372"/>
    <hyperlink xmlns:r="http://schemas.openxmlformats.org/officeDocument/2006/relationships" ref="F95" r:id="rId373"/>
    <hyperlink xmlns:r="http://schemas.openxmlformats.org/officeDocument/2006/relationships" ref="G95" r:id="rId374"/>
    <hyperlink xmlns:r="http://schemas.openxmlformats.org/officeDocument/2006/relationships" ref="H95" r:id="rId375"/>
    <hyperlink xmlns:r="http://schemas.openxmlformats.org/officeDocument/2006/relationships" ref="I95" r:id="rId376"/>
    <hyperlink xmlns:r="http://schemas.openxmlformats.org/officeDocument/2006/relationships" ref="F96" r:id="rId377"/>
    <hyperlink xmlns:r="http://schemas.openxmlformats.org/officeDocument/2006/relationships" ref="G96" r:id="rId378"/>
    <hyperlink xmlns:r="http://schemas.openxmlformats.org/officeDocument/2006/relationships" ref="H96" r:id="rId379"/>
    <hyperlink xmlns:r="http://schemas.openxmlformats.org/officeDocument/2006/relationships" ref="I96" r:id="rId380"/>
    <hyperlink xmlns:r="http://schemas.openxmlformats.org/officeDocument/2006/relationships" ref="F97" r:id="rId381"/>
    <hyperlink xmlns:r="http://schemas.openxmlformats.org/officeDocument/2006/relationships" ref="G97" r:id="rId382"/>
    <hyperlink xmlns:r="http://schemas.openxmlformats.org/officeDocument/2006/relationships" ref="H97" r:id="rId383"/>
    <hyperlink xmlns:r="http://schemas.openxmlformats.org/officeDocument/2006/relationships" ref="I97" r:id="rId384"/>
    <hyperlink xmlns:r="http://schemas.openxmlformats.org/officeDocument/2006/relationships" ref="F98" r:id="rId385"/>
    <hyperlink xmlns:r="http://schemas.openxmlformats.org/officeDocument/2006/relationships" ref="G98" r:id="rId386"/>
    <hyperlink xmlns:r="http://schemas.openxmlformats.org/officeDocument/2006/relationships" ref="H98" r:id="rId387"/>
    <hyperlink xmlns:r="http://schemas.openxmlformats.org/officeDocument/2006/relationships" ref="I98" r:id="rId388"/>
    <hyperlink xmlns:r="http://schemas.openxmlformats.org/officeDocument/2006/relationships" ref="F99" r:id="rId389"/>
    <hyperlink xmlns:r="http://schemas.openxmlformats.org/officeDocument/2006/relationships" ref="G99" r:id="rId390"/>
    <hyperlink xmlns:r="http://schemas.openxmlformats.org/officeDocument/2006/relationships" ref="H99" r:id="rId391"/>
    <hyperlink xmlns:r="http://schemas.openxmlformats.org/officeDocument/2006/relationships" ref="I99" r:id="rId392"/>
    <hyperlink xmlns:r="http://schemas.openxmlformats.org/officeDocument/2006/relationships" ref="F100" r:id="rId393"/>
    <hyperlink xmlns:r="http://schemas.openxmlformats.org/officeDocument/2006/relationships" ref="G100" r:id="rId394"/>
    <hyperlink xmlns:r="http://schemas.openxmlformats.org/officeDocument/2006/relationships" ref="H100" r:id="rId395"/>
    <hyperlink xmlns:r="http://schemas.openxmlformats.org/officeDocument/2006/relationships" ref="I100" r:id="rId396"/>
    <hyperlink xmlns:r="http://schemas.openxmlformats.org/officeDocument/2006/relationships" ref="F101" r:id="rId397"/>
    <hyperlink xmlns:r="http://schemas.openxmlformats.org/officeDocument/2006/relationships" ref="G101" r:id="rId398"/>
    <hyperlink xmlns:r="http://schemas.openxmlformats.org/officeDocument/2006/relationships" ref="H101" r:id="rId399"/>
    <hyperlink xmlns:r="http://schemas.openxmlformats.org/officeDocument/2006/relationships" ref="I101" r:id="rId400"/>
    <hyperlink xmlns:r="http://schemas.openxmlformats.org/officeDocument/2006/relationships" ref="F102" r:id="rId401"/>
    <hyperlink xmlns:r="http://schemas.openxmlformats.org/officeDocument/2006/relationships" ref="G102" r:id="rId402"/>
    <hyperlink xmlns:r="http://schemas.openxmlformats.org/officeDocument/2006/relationships" ref="H102" r:id="rId403"/>
    <hyperlink xmlns:r="http://schemas.openxmlformats.org/officeDocument/2006/relationships" ref="I102" r:id="rId404"/>
    <hyperlink xmlns:r="http://schemas.openxmlformats.org/officeDocument/2006/relationships" ref="F103" r:id="rId405"/>
    <hyperlink xmlns:r="http://schemas.openxmlformats.org/officeDocument/2006/relationships" ref="G103" r:id="rId406"/>
    <hyperlink xmlns:r="http://schemas.openxmlformats.org/officeDocument/2006/relationships" ref="H103" r:id="rId407"/>
    <hyperlink xmlns:r="http://schemas.openxmlformats.org/officeDocument/2006/relationships" ref="I103" r:id="rId408"/>
    <hyperlink xmlns:r="http://schemas.openxmlformats.org/officeDocument/2006/relationships" ref="F104" r:id="rId409"/>
    <hyperlink xmlns:r="http://schemas.openxmlformats.org/officeDocument/2006/relationships" ref="G104" r:id="rId410"/>
    <hyperlink xmlns:r="http://schemas.openxmlformats.org/officeDocument/2006/relationships" ref="H104" r:id="rId411"/>
    <hyperlink xmlns:r="http://schemas.openxmlformats.org/officeDocument/2006/relationships" ref="I104" r:id="rId412"/>
    <hyperlink xmlns:r="http://schemas.openxmlformats.org/officeDocument/2006/relationships" ref="F105" r:id="rId413"/>
    <hyperlink xmlns:r="http://schemas.openxmlformats.org/officeDocument/2006/relationships" ref="G105" r:id="rId414"/>
    <hyperlink xmlns:r="http://schemas.openxmlformats.org/officeDocument/2006/relationships" ref="H105" r:id="rId415"/>
    <hyperlink xmlns:r="http://schemas.openxmlformats.org/officeDocument/2006/relationships" ref="I105" r:id="rId416"/>
    <hyperlink xmlns:r="http://schemas.openxmlformats.org/officeDocument/2006/relationships" ref="F106" r:id="rId417"/>
    <hyperlink xmlns:r="http://schemas.openxmlformats.org/officeDocument/2006/relationships" ref="G106" r:id="rId418"/>
    <hyperlink xmlns:r="http://schemas.openxmlformats.org/officeDocument/2006/relationships" ref="H106" r:id="rId419"/>
    <hyperlink xmlns:r="http://schemas.openxmlformats.org/officeDocument/2006/relationships" ref="I106" r:id="rId420"/>
    <hyperlink xmlns:r="http://schemas.openxmlformats.org/officeDocument/2006/relationships" ref="F107" r:id="rId421"/>
    <hyperlink xmlns:r="http://schemas.openxmlformats.org/officeDocument/2006/relationships" ref="G107" r:id="rId422"/>
    <hyperlink xmlns:r="http://schemas.openxmlformats.org/officeDocument/2006/relationships" ref="H107" r:id="rId423"/>
    <hyperlink xmlns:r="http://schemas.openxmlformats.org/officeDocument/2006/relationships" ref="I107" r:id="rId424"/>
    <hyperlink xmlns:r="http://schemas.openxmlformats.org/officeDocument/2006/relationships" ref="F108" r:id="rId425"/>
    <hyperlink xmlns:r="http://schemas.openxmlformats.org/officeDocument/2006/relationships" ref="G108" r:id="rId426"/>
    <hyperlink xmlns:r="http://schemas.openxmlformats.org/officeDocument/2006/relationships" ref="H108" r:id="rId427"/>
    <hyperlink xmlns:r="http://schemas.openxmlformats.org/officeDocument/2006/relationships" ref="I108" r:id="rId428"/>
    <hyperlink xmlns:r="http://schemas.openxmlformats.org/officeDocument/2006/relationships" ref="F109" r:id="rId429"/>
    <hyperlink xmlns:r="http://schemas.openxmlformats.org/officeDocument/2006/relationships" ref="G109" r:id="rId430"/>
    <hyperlink xmlns:r="http://schemas.openxmlformats.org/officeDocument/2006/relationships" ref="H109" r:id="rId431"/>
    <hyperlink xmlns:r="http://schemas.openxmlformats.org/officeDocument/2006/relationships" ref="I109" r:id="rId432"/>
    <hyperlink xmlns:r="http://schemas.openxmlformats.org/officeDocument/2006/relationships" ref="F110" r:id="rId433"/>
    <hyperlink xmlns:r="http://schemas.openxmlformats.org/officeDocument/2006/relationships" ref="G110" r:id="rId434"/>
    <hyperlink xmlns:r="http://schemas.openxmlformats.org/officeDocument/2006/relationships" ref="H110" r:id="rId435"/>
    <hyperlink xmlns:r="http://schemas.openxmlformats.org/officeDocument/2006/relationships" ref="I110" r:id="rId436"/>
    <hyperlink xmlns:r="http://schemas.openxmlformats.org/officeDocument/2006/relationships" ref="F111" r:id="rId437"/>
    <hyperlink xmlns:r="http://schemas.openxmlformats.org/officeDocument/2006/relationships" ref="G111" r:id="rId438"/>
    <hyperlink xmlns:r="http://schemas.openxmlformats.org/officeDocument/2006/relationships" ref="H111" r:id="rId439"/>
    <hyperlink xmlns:r="http://schemas.openxmlformats.org/officeDocument/2006/relationships" ref="I111" r:id="rId440"/>
    <hyperlink xmlns:r="http://schemas.openxmlformats.org/officeDocument/2006/relationships" ref="F112" r:id="rId441"/>
    <hyperlink xmlns:r="http://schemas.openxmlformats.org/officeDocument/2006/relationships" ref="G112" r:id="rId442"/>
    <hyperlink xmlns:r="http://schemas.openxmlformats.org/officeDocument/2006/relationships" ref="H112" r:id="rId443"/>
    <hyperlink xmlns:r="http://schemas.openxmlformats.org/officeDocument/2006/relationships" ref="I112" r:id="rId444"/>
    <hyperlink xmlns:r="http://schemas.openxmlformats.org/officeDocument/2006/relationships" ref="F113" r:id="rId445"/>
    <hyperlink xmlns:r="http://schemas.openxmlformats.org/officeDocument/2006/relationships" ref="G113" r:id="rId446"/>
    <hyperlink xmlns:r="http://schemas.openxmlformats.org/officeDocument/2006/relationships" ref="H113" r:id="rId447"/>
    <hyperlink xmlns:r="http://schemas.openxmlformats.org/officeDocument/2006/relationships" ref="I113" r:id="rId448"/>
    <hyperlink xmlns:r="http://schemas.openxmlformats.org/officeDocument/2006/relationships" ref="F114" r:id="rId449"/>
    <hyperlink xmlns:r="http://schemas.openxmlformats.org/officeDocument/2006/relationships" ref="G114" r:id="rId450"/>
    <hyperlink xmlns:r="http://schemas.openxmlformats.org/officeDocument/2006/relationships" ref="H114" r:id="rId451"/>
    <hyperlink xmlns:r="http://schemas.openxmlformats.org/officeDocument/2006/relationships" ref="I114" r:id="rId452"/>
    <hyperlink xmlns:r="http://schemas.openxmlformats.org/officeDocument/2006/relationships" ref="F115" r:id="rId453"/>
    <hyperlink xmlns:r="http://schemas.openxmlformats.org/officeDocument/2006/relationships" ref="G115" r:id="rId454"/>
    <hyperlink xmlns:r="http://schemas.openxmlformats.org/officeDocument/2006/relationships" ref="H115" r:id="rId455"/>
    <hyperlink xmlns:r="http://schemas.openxmlformats.org/officeDocument/2006/relationships" ref="I115" r:id="rId456"/>
    <hyperlink xmlns:r="http://schemas.openxmlformats.org/officeDocument/2006/relationships" ref="F116" r:id="rId457"/>
    <hyperlink xmlns:r="http://schemas.openxmlformats.org/officeDocument/2006/relationships" ref="G116" r:id="rId458"/>
    <hyperlink xmlns:r="http://schemas.openxmlformats.org/officeDocument/2006/relationships" ref="H116" r:id="rId459"/>
    <hyperlink xmlns:r="http://schemas.openxmlformats.org/officeDocument/2006/relationships" ref="I116" r:id="rId460"/>
    <hyperlink xmlns:r="http://schemas.openxmlformats.org/officeDocument/2006/relationships" ref="F117" r:id="rId461"/>
    <hyperlink xmlns:r="http://schemas.openxmlformats.org/officeDocument/2006/relationships" ref="G117" r:id="rId462"/>
    <hyperlink xmlns:r="http://schemas.openxmlformats.org/officeDocument/2006/relationships" ref="H117" r:id="rId463"/>
    <hyperlink xmlns:r="http://schemas.openxmlformats.org/officeDocument/2006/relationships" ref="I117" r:id="rId464"/>
    <hyperlink xmlns:r="http://schemas.openxmlformats.org/officeDocument/2006/relationships" ref="F118" r:id="rId465"/>
    <hyperlink xmlns:r="http://schemas.openxmlformats.org/officeDocument/2006/relationships" ref="G118" r:id="rId466"/>
    <hyperlink xmlns:r="http://schemas.openxmlformats.org/officeDocument/2006/relationships" ref="H118" r:id="rId467"/>
    <hyperlink xmlns:r="http://schemas.openxmlformats.org/officeDocument/2006/relationships" ref="I118" r:id="rId468"/>
    <hyperlink xmlns:r="http://schemas.openxmlformats.org/officeDocument/2006/relationships" ref="F119" r:id="rId469"/>
    <hyperlink xmlns:r="http://schemas.openxmlformats.org/officeDocument/2006/relationships" ref="G119" r:id="rId470"/>
    <hyperlink xmlns:r="http://schemas.openxmlformats.org/officeDocument/2006/relationships" ref="H119" r:id="rId471"/>
    <hyperlink xmlns:r="http://schemas.openxmlformats.org/officeDocument/2006/relationships" ref="I119" r:id="rId472"/>
    <hyperlink xmlns:r="http://schemas.openxmlformats.org/officeDocument/2006/relationships" ref="F120" r:id="rId473"/>
    <hyperlink xmlns:r="http://schemas.openxmlformats.org/officeDocument/2006/relationships" ref="G120" r:id="rId474"/>
    <hyperlink xmlns:r="http://schemas.openxmlformats.org/officeDocument/2006/relationships" ref="H120" r:id="rId475"/>
    <hyperlink xmlns:r="http://schemas.openxmlformats.org/officeDocument/2006/relationships" ref="I120" r:id="rId476"/>
    <hyperlink xmlns:r="http://schemas.openxmlformats.org/officeDocument/2006/relationships" ref="F121" r:id="rId477"/>
    <hyperlink xmlns:r="http://schemas.openxmlformats.org/officeDocument/2006/relationships" ref="G121" r:id="rId478"/>
    <hyperlink xmlns:r="http://schemas.openxmlformats.org/officeDocument/2006/relationships" ref="H121" r:id="rId479"/>
    <hyperlink xmlns:r="http://schemas.openxmlformats.org/officeDocument/2006/relationships" ref="I121" r:id="rId480"/>
    <hyperlink xmlns:r="http://schemas.openxmlformats.org/officeDocument/2006/relationships" ref="F122" r:id="rId481"/>
    <hyperlink xmlns:r="http://schemas.openxmlformats.org/officeDocument/2006/relationships" ref="G122" r:id="rId482"/>
    <hyperlink xmlns:r="http://schemas.openxmlformats.org/officeDocument/2006/relationships" ref="H122" r:id="rId483"/>
    <hyperlink xmlns:r="http://schemas.openxmlformats.org/officeDocument/2006/relationships" ref="I122" r:id="rId484"/>
    <hyperlink xmlns:r="http://schemas.openxmlformats.org/officeDocument/2006/relationships" ref="F123" r:id="rId485"/>
    <hyperlink xmlns:r="http://schemas.openxmlformats.org/officeDocument/2006/relationships" ref="G123" r:id="rId486"/>
    <hyperlink xmlns:r="http://schemas.openxmlformats.org/officeDocument/2006/relationships" ref="H123" r:id="rId487"/>
    <hyperlink xmlns:r="http://schemas.openxmlformats.org/officeDocument/2006/relationships" ref="I123" r:id="rId488"/>
    <hyperlink xmlns:r="http://schemas.openxmlformats.org/officeDocument/2006/relationships" ref="F124" r:id="rId489"/>
    <hyperlink xmlns:r="http://schemas.openxmlformats.org/officeDocument/2006/relationships" ref="G124" r:id="rId490"/>
    <hyperlink xmlns:r="http://schemas.openxmlformats.org/officeDocument/2006/relationships" ref="H124" r:id="rId491"/>
    <hyperlink xmlns:r="http://schemas.openxmlformats.org/officeDocument/2006/relationships" ref="I124" r:id="rId492"/>
    <hyperlink xmlns:r="http://schemas.openxmlformats.org/officeDocument/2006/relationships" ref="F125" r:id="rId493"/>
    <hyperlink xmlns:r="http://schemas.openxmlformats.org/officeDocument/2006/relationships" ref="G125" r:id="rId494"/>
    <hyperlink xmlns:r="http://schemas.openxmlformats.org/officeDocument/2006/relationships" ref="H125" r:id="rId495"/>
    <hyperlink xmlns:r="http://schemas.openxmlformats.org/officeDocument/2006/relationships" ref="I125" r:id="rId496"/>
    <hyperlink xmlns:r="http://schemas.openxmlformats.org/officeDocument/2006/relationships" ref="F126" r:id="rId497"/>
    <hyperlink xmlns:r="http://schemas.openxmlformats.org/officeDocument/2006/relationships" ref="G126" r:id="rId498"/>
    <hyperlink xmlns:r="http://schemas.openxmlformats.org/officeDocument/2006/relationships" ref="H126" r:id="rId499"/>
    <hyperlink xmlns:r="http://schemas.openxmlformats.org/officeDocument/2006/relationships" ref="I126" r:id="rId500"/>
    <hyperlink xmlns:r="http://schemas.openxmlformats.org/officeDocument/2006/relationships" ref="F127" r:id="rId501"/>
    <hyperlink xmlns:r="http://schemas.openxmlformats.org/officeDocument/2006/relationships" ref="G127" r:id="rId502"/>
    <hyperlink xmlns:r="http://schemas.openxmlformats.org/officeDocument/2006/relationships" ref="H127" r:id="rId503"/>
    <hyperlink xmlns:r="http://schemas.openxmlformats.org/officeDocument/2006/relationships" ref="I127" r:id="rId504"/>
    <hyperlink xmlns:r="http://schemas.openxmlformats.org/officeDocument/2006/relationships" ref="F128" r:id="rId505"/>
    <hyperlink xmlns:r="http://schemas.openxmlformats.org/officeDocument/2006/relationships" ref="G128" r:id="rId506"/>
    <hyperlink xmlns:r="http://schemas.openxmlformats.org/officeDocument/2006/relationships" ref="H128" r:id="rId507"/>
    <hyperlink xmlns:r="http://schemas.openxmlformats.org/officeDocument/2006/relationships" ref="I128" r:id="rId508"/>
    <hyperlink xmlns:r="http://schemas.openxmlformats.org/officeDocument/2006/relationships" ref="F129" r:id="rId509"/>
    <hyperlink xmlns:r="http://schemas.openxmlformats.org/officeDocument/2006/relationships" ref="G129" r:id="rId510"/>
    <hyperlink xmlns:r="http://schemas.openxmlformats.org/officeDocument/2006/relationships" ref="H129" r:id="rId511"/>
    <hyperlink xmlns:r="http://schemas.openxmlformats.org/officeDocument/2006/relationships" ref="I129" r:id="rId512"/>
    <hyperlink xmlns:r="http://schemas.openxmlformats.org/officeDocument/2006/relationships" ref="F130" r:id="rId513"/>
    <hyperlink xmlns:r="http://schemas.openxmlformats.org/officeDocument/2006/relationships" ref="G130" r:id="rId514"/>
    <hyperlink xmlns:r="http://schemas.openxmlformats.org/officeDocument/2006/relationships" ref="H130" r:id="rId515"/>
    <hyperlink xmlns:r="http://schemas.openxmlformats.org/officeDocument/2006/relationships" ref="I130" r:id="rId516"/>
    <hyperlink xmlns:r="http://schemas.openxmlformats.org/officeDocument/2006/relationships" ref="F131" r:id="rId517"/>
    <hyperlink xmlns:r="http://schemas.openxmlformats.org/officeDocument/2006/relationships" ref="G131" r:id="rId518"/>
    <hyperlink xmlns:r="http://schemas.openxmlformats.org/officeDocument/2006/relationships" ref="H131" r:id="rId519"/>
    <hyperlink xmlns:r="http://schemas.openxmlformats.org/officeDocument/2006/relationships" ref="I131" r:id="rId520"/>
    <hyperlink xmlns:r="http://schemas.openxmlformats.org/officeDocument/2006/relationships" ref="F132" r:id="rId521"/>
    <hyperlink xmlns:r="http://schemas.openxmlformats.org/officeDocument/2006/relationships" ref="G132" r:id="rId522"/>
    <hyperlink xmlns:r="http://schemas.openxmlformats.org/officeDocument/2006/relationships" ref="H132" r:id="rId523"/>
    <hyperlink xmlns:r="http://schemas.openxmlformats.org/officeDocument/2006/relationships" ref="I132" r:id="rId524"/>
    <hyperlink xmlns:r="http://schemas.openxmlformats.org/officeDocument/2006/relationships" ref="F133" r:id="rId525"/>
    <hyperlink xmlns:r="http://schemas.openxmlformats.org/officeDocument/2006/relationships" ref="G133" r:id="rId526"/>
    <hyperlink xmlns:r="http://schemas.openxmlformats.org/officeDocument/2006/relationships" ref="H133" r:id="rId527"/>
    <hyperlink xmlns:r="http://schemas.openxmlformats.org/officeDocument/2006/relationships" ref="I133" r:id="rId528"/>
    <hyperlink xmlns:r="http://schemas.openxmlformats.org/officeDocument/2006/relationships" ref="F134" r:id="rId529"/>
    <hyperlink xmlns:r="http://schemas.openxmlformats.org/officeDocument/2006/relationships" ref="G134" r:id="rId530"/>
    <hyperlink xmlns:r="http://schemas.openxmlformats.org/officeDocument/2006/relationships" ref="H134" r:id="rId531"/>
    <hyperlink xmlns:r="http://schemas.openxmlformats.org/officeDocument/2006/relationships" ref="I134" r:id="rId532"/>
    <hyperlink xmlns:r="http://schemas.openxmlformats.org/officeDocument/2006/relationships" ref="F135" r:id="rId533"/>
    <hyperlink xmlns:r="http://schemas.openxmlformats.org/officeDocument/2006/relationships" ref="G135" r:id="rId534"/>
    <hyperlink xmlns:r="http://schemas.openxmlformats.org/officeDocument/2006/relationships" ref="H135" r:id="rId535"/>
    <hyperlink xmlns:r="http://schemas.openxmlformats.org/officeDocument/2006/relationships" ref="I135" r:id="rId536"/>
    <hyperlink xmlns:r="http://schemas.openxmlformats.org/officeDocument/2006/relationships" ref="F136" r:id="rId537"/>
    <hyperlink xmlns:r="http://schemas.openxmlformats.org/officeDocument/2006/relationships" ref="G136" r:id="rId538"/>
    <hyperlink xmlns:r="http://schemas.openxmlformats.org/officeDocument/2006/relationships" ref="H136" r:id="rId539"/>
    <hyperlink xmlns:r="http://schemas.openxmlformats.org/officeDocument/2006/relationships" ref="I136" r:id="rId540"/>
    <hyperlink xmlns:r="http://schemas.openxmlformats.org/officeDocument/2006/relationships" ref="F137" r:id="rId541"/>
    <hyperlink xmlns:r="http://schemas.openxmlformats.org/officeDocument/2006/relationships" ref="G137" r:id="rId542"/>
    <hyperlink xmlns:r="http://schemas.openxmlformats.org/officeDocument/2006/relationships" ref="H137" r:id="rId543"/>
    <hyperlink xmlns:r="http://schemas.openxmlformats.org/officeDocument/2006/relationships" ref="I137" r:id="rId544"/>
    <hyperlink xmlns:r="http://schemas.openxmlformats.org/officeDocument/2006/relationships" ref="F138" r:id="rId545"/>
    <hyperlink xmlns:r="http://schemas.openxmlformats.org/officeDocument/2006/relationships" ref="G138" r:id="rId546"/>
    <hyperlink xmlns:r="http://schemas.openxmlformats.org/officeDocument/2006/relationships" ref="H138" r:id="rId547"/>
    <hyperlink xmlns:r="http://schemas.openxmlformats.org/officeDocument/2006/relationships" ref="I138" r:id="rId548"/>
    <hyperlink xmlns:r="http://schemas.openxmlformats.org/officeDocument/2006/relationships" ref="F139" r:id="rId549"/>
    <hyperlink xmlns:r="http://schemas.openxmlformats.org/officeDocument/2006/relationships" ref="G139" r:id="rId550"/>
    <hyperlink xmlns:r="http://schemas.openxmlformats.org/officeDocument/2006/relationships" ref="H139" r:id="rId551"/>
    <hyperlink xmlns:r="http://schemas.openxmlformats.org/officeDocument/2006/relationships" ref="I139" r:id="rId552"/>
    <hyperlink xmlns:r="http://schemas.openxmlformats.org/officeDocument/2006/relationships" ref="F140" r:id="rId553"/>
    <hyperlink xmlns:r="http://schemas.openxmlformats.org/officeDocument/2006/relationships" ref="G140" r:id="rId554"/>
    <hyperlink xmlns:r="http://schemas.openxmlformats.org/officeDocument/2006/relationships" ref="H140" r:id="rId555"/>
    <hyperlink xmlns:r="http://schemas.openxmlformats.org/officeDocument/2006/relationships" ref="I140" r:id="rId556"/>
    <hyperlink xmlns:r="http://schemas.openxmlformats.org/officeDocument/2006/relationships" ref="F141" r:id="rId557"/>
    <hyperlink xmlns:r="http://schemas.openxmlformats.org/officeDocument/2006/relationships" ref="G141" r:id="rId558"/>
    <hyperlink xmlns:r="http://schemas.openxmlformats.org/officeDocument/2006/relationships" ref="H141" r:id="rId559"/>
    <hyperlink xmlns:r="http://schemas.openxmlformats.org/officeDocument/2006/relationships" ref="I141" r:id="rId560"/>
    <hyperlink xmlns:r="http://schemas.openxmlformats.org/officeDocument/2006/relationships" ref="F142" r:id="rId561"/>
    <hyperlink xmlns:r="http://schemas.openxmlformats.org/officeDocument/2006/relationships" ref="G142" r:id="rId562"/>
    <hyperlink xmlns:r="http://schemas.openxmlformats.org/officeDocument/2006/relationships" ref="H142" r:id="rId563"/>
    <hyperlink xmlns:r="http://schemas.openxmlformats.org/officeDocument/2006/relationships" ref="I142" r:id="rId564"/>
    <hyperlink xmlns:r="http://schemas.openxmlformats.org/officeDocument/2006/relationships" ref="F143" r:id="rId565"/>
    <hyperlink xmlns:r="http://schemas.openxmlformats.org/officeDocument/2006/relationships" ref="G143" r:id="rId566"/>
    <hyperlink xmlns:r="http://schemas.openxmlformats.org/officeDocument/2006/relationships" ref="H143" r:id="rId567"/>
    <hyperlink xmlns:r="http://schemas.openxmlformats.org/officeDocument/2006/relationships" ref="I143" r:id="rId568"/>
    <hyperlink xmlns:r="http://schemas.openxmlformats.org/officeDocument/2006/relationships" ref="F144" r:id="rId569"/>
    <hyperlink xmlns:r="http://schemas.openxmlformats.org/officeDocument/2006/relationships" ref="G144" r:id="rId570"/>
    <hyperlink xmlns:r="http://schemas.openxmlformats.org/officeDocument/2006/relationships" ref="H144" r:id="rId571"/>
    <hyperlink xmlns:r="http://schemas.openxmlformats.org/officeDocument/2006/relationships" ref="I144" r:id="rId572"/>
    <hyperlink xmlns:r="http://schemas.openxmlformats.org/officeDocument/2006/relationships" ref="F145" r:id="rId573"/>
    <hyperlink xmlns:r="http://schemas.openxmlformats.org/officeDocument/2006/relationships" ref="G145" r:id="rId574"/>
    <hyperlink xmlns:r="http://schemas.openxmlformats.org/officeDocument/2006/relationships" ref="H145" r:id="rId575"/>
    <hyperlink xmlns:r="http://schemas.openxmlformats.org/officeDocument/2006/relationships" ref="I145" r:id="rId576"/>
    <hyperlink xmlns:r="http://schemas.openxmlformats.org/officeDocument/2006/relationships" ref="F146" r:id="rId577"/>
    <hyperlink xmlns:r="http://schemas.openxmlformats.org/officeDocument/2006/relationships" ref="G146" r:id="rId578"/>
    <hyperlink xmlns:r="http://schemas.openxmlformats.org/officeDocument/2006/relationships" ref="H146" r:id="rId579"/>
    <hyperlink xmlns:r="http://schemas.openxmlformats.org/officeDocument/2006/relationships" ref="I146" r:id="rId580"/>
    <hyperlink xmlns:r="http://schemas.openxmlformats.org/officeDocument/2006/relationships" ref="F147" r:id="rId581"/>
    <hyperlink xmlns:r="http://schemas.openxmlformats.org/officeDocument/2006/relationships" ref="G147" r:id="rId582"/>
    <hyperlink xmlns:r="http://schemas.openxmlformats.org/officeDocument/2006/relationships" ref="H147" r:id="rId583"/>
    <hyperlink xmlns:r="http://schemas.openxmlformats.org/officeDocument/2006/relationships" ref="I147" r:id="rId584"/>
    <hyperlink xmlns:r="http://schemas.openxmlformats.org/officeDocument/2006/relationships" ref="F148" r:id="rId585"/>
    <hyperlink xmlns:r="http://schemas.openxmlformats.org/officeDocument/2006/relationships" ref="G148" r:id="rId586"/>
    <hyperlink xmlns:r="http://schemas.openxmlformats.org/officeDocument/2006/relationships" ref="H148" r:id="rId587"/>
    <hyperlink xmlns:r="http://schemas.openxmlformats.org/officeDocument/2006/relationships" ref="I148" r:id="rId588"/>
    <hyperlink xmlns:r="http://schemas.openxmlformats.org/officeDocument/2006/relationships" ref="F149" r:id="rId589"/>
    <hyperlink xmlns:r="http://schemas.openxmlformats.org/officeDocument/2006/relationships" ref="G149" r:id="rId590"/>
    <hyperlink xmlns:r="http://schemas.openxmlformats.org/officeDocument/2006/relationships" ref="H149" r:id="rId591"/>
    <hyperlink xmlns:r="http://schemas.openxmlformats.org/officeDocument/2006/relationships" ref="I149" r:id="rId592"/>
    <hyperlink xmlns:r="http://schemas.openxmlformats.org/officeDocument/2006/relationships" ref="F150" r:id="rId593"/>
    <hyperlink xmlns:r="http://schemas.openxmlformats.org/officeDocument/2006/relationships" ref="G150" r:id="rId594"/>
    <hyperlink xmlns:r="http://schemas.openxmlformats.org/officeDocument/2006/relationships" ref="H150" r:id="rId595"/>
    <hyperlink xmlns:r="http://schemas.openxmlformats.org/officeDocument/2006/relationships" ref="I150" r:id="rId596"/>
    <hyperlink xmlns:r="http://schemas.openxmlformats.org/officeDocument/2006/relationships" ref="F151" r:id="rId597"/>
    <hyperlink xmlns:r="http://schemas.openxmlformats.org/officeDocument/2006/relationships" ref="G151" r:id="rId598"/>
    <hyperlink xmlns:r="http://schemas.openxmlformats.org/officeDocument/2006/relationships" ref="H151" r:id="rId599"/>
    <hyperlink xmlns:r="http://schemas.openxmlformats.org/officeDocument/2006/relationships" ref="I151" r:id="rId600"/>
    <hyperlink xmlns:r="http://schemas.openxmlformats.org/officeDocument/2006/relationships" ref="F152" r:id="rId601"/>
    <hyperlink xmlns:r="http://schemas.openxmlformats.org/officeDocument/2006/relationships" ref="G152" r:id="rId602"/>
    <hyperlink xmlns:r="http://schemas.openxmlformats.org/officeDocument/2006/relationships" ref="H152" r:id="rId603"/>
    <hyperlink xmlns:r="http://schemas.openxmlformats.org/officeDocument/2006/relationships" ref="I152" r:id="rId604"/>
    <hyperlink xmlns:r="http://schemas.openxmlformats.org/officeDocument/2006/relationships" ref="F153" r:id="rId605"/>
    <hyperlink xmlns:r="http://schemas.openxmlformats.org/officeDocument/2006/relationships" ref="G153" r:id="rId606"/>
    <hyperlink xmlns:r="http://schemas.openxmlformats.org/officeDocument/2006/relationships" ref="H153" r:id="rId607"/>
    <hyperlink xmlns:r="http://schemas.openxmlformats.org/officeDocument/2006/relationships" ref="I153" r:id="rId608"/>
    <hyperlink xmlns:r="http://schemas.openxmlformats.org/officeDocument/2006/relationships" ref="F154" r:id="rId609"/>
    <hyperlink xmlns:r="http://schemas.openxmlformats.org/officeDocument/2006/relationships" ref="G154" r:id="rId610"/>
    <hyperlink xmlns:r="http://schemas.openxmlformats.org/officeDocument/2006/relationships" ref="H154" r:id="rId611"/>
    <hyperlink xmlns:r="http://schemas.openxmlformats.org/officeDocument/2006/relationships" ref="I154" r:id="rId612"/>
    <hyperlink xmlns:r="http://schemas.openxmlformats.org/officeDocument/2006/relationships" ref="F155" r:id="rId613"/>
    <hyperlink xmlns:r="http://schemas.openxmlformats.org/officeDocument/2006/relationships" ref="G155" r:id="rId614"/>
    <hyperlink xmlns:r="http://schemas.openxmlformats.org/officeDocument/2006/relationships" ref="H155" r:id="rId615"/>
    <hyperlink xmlns:r="http://schemas.openxmlformats.org/officeDocument/2006/relationships" ref="I155" r:id="rId616"/>
    <hyperlink xmlns:r="http://schemas.openxmlformats.org/officeDocument/2006/relationships" ref="F156" r:id="rId617"/>
    <hyperlink xmlns:r="http://schemas.openxmlformats.org/officeDocument/2006/relationships" ref="G156" r:id="rId618"/>
    <hyperlink xmlns:r="http://schemas.openxmlformats.org/officeDocument/2006/relationships" ref="H156" r:id="rId619"/>
    <hyperlink xmlns:r="http://schemas.openxmlformats.org/officeDocument/2006/relationships" ref="I156" r:id="rId620"/>
    <hyperlink xmlns:r="http://schemas.openxmlformats.org/officeDocument/2006/relationships" ref="F157" r:id="rId621"/>
    <hyperlink xmlns:r="http://schemas.openxmlformats.org/officeDocument/2006/relationships" ref="G157" r:id="rId622"/>
    <hyperlink xmlns:r="http://schemas.openxmlformats.org/officeDocument/2006/relationships" ref="H157" r:id="rId623"/>
    <hyperlink xmlns:r="http://schemas.openxmlformats.org/officeDocument/2006/relationships" ref="I157" r:id="rId624"/>
    <hyperlink xmlns:r="http://schemas.openxmlformats.org/officeDocument/2006/relationships" ref="F158" r:id="rId625"/>
    <hyperlink xmlns:r="http://schemas.openxmlformats.org/officeDocument/2006/relationships" ref="G158" r:id="rId626"/>
    <hyperlink xmlns:r="http://schemas.openxmlformats.org/officeDocument/2006/relationships" ref="H158" r:id="rId627"/>
    <hyperlink xmlns:r="http://schemas.openxmlformats.org/officeDocument/2006/relationships" ref="I158" r:id="rId628"/>
    <hyperlink xmlns:r="http://schemas.openxmlformats.org/officeDocument/2006/relationships" ref="F159" r:id="rId629"/>
    <hyperlink xmlns:r="http://schemas.openxmlformats.org/officeDocument/2006/relationships" ref="G159" r:id="rId630"/>
    <hyperlink xmlns:r="http://schemas.openxmlformats.org/officeDocument/2006/relationships" ref="H159" r:id="rId631"/>
    <hyperlink xmlns:r="http://schemas.openxmlformats.org/officeDocument/2006/relationships" ref="I159" r:id="rId632"/>
    <hyperlink xmlns:r="http://schemas.openxmlformats.org/officeDocument/2006/relationships" ref="F160" r:id="rId633"/>
    <hyperlink xmlns:r="http://schemas.openxmlformats.org/officeDocument/2006/relationships" ref="G160" r:id="rId634"/>
    <hyperlink xmlns:r="http://schemas.openxmlformats.org/officeDocument/2006/relationships" ref="H160" r:id="rId635"/>
    <hyperlink xmlns:r="http://schemas.openxmlformats.org/officeDocument/2006/relationships" ref="I160" r:id="rId636"/>
    <hyperlink xmlns:r="http://schemas.openxmlformats.org/officeDocument/2006/relationships" ref="F161" r:id="rId637"/>
    <hyperlink xmlns:r="http://schemas.openxmlformats.org/officeDocument/2006/relationships" ref="G161" r:id="rId638"/>
    <hyperlink xmlns:r="http://schemas.openxmlformats.org/officeDocument/2006/relationships" ref="H161" r:id="rId639"/>
    <hyperlink xmlns:r="http://schemas.openxmlformats.org/officeDocument/2006/relationships" ref="I161" r:id="rId640"/>
    <hyperlink xmlns:r="http://schemas.openxmlformats.org/officeDocument/2006/relationships" ref="F162" r:id="rId641"/>
    <hyperlink xmlns:r="http://schemas.openxmlformats.org/officeDocument/2006/relationships" ref="G162" r:id="rId642"/>
    <hyperlink xmlns:r="http://schemas.openxmlformats.org/officeDocument/2006/relationships" ref="H162" r:id="rId643"/>
    <hyperlink xmlns:r="http://schemas.openxmlformats.org/officeDocument/2006/relationships" ref="I162" r:id="rId644"/>
    <hyperlink xmlns:r="http://schemas.openxmlformats.org/officeDocument/2006/relationships" ref="F163" r:id="rId645"/>
    <hyperlink xmlns:r="http://schemas.openxmlformats.org/officeDocument/2006/relationships" ref="G163" r:id="rId646"/>
    <hyperlink xmlns:r="http://schemas.openxmlformats.org/officeDocument/2006/relationships" ref="H163" r:id="rId647"/>
    <hyperlink xmlns:r="http://schemas.openxmlformats.org/officeDocument/2006/relationships" ref="I163" r:id="rId648"/>
    <hyperlink xmlns:r="http://schemas.openxmlformats.org/officeDocument/2006/relationships" ref="F164" r:id="rId649"/>
    <hyperlink xmlns:r="http://schemas.openxmlformats.org/officeDocument/2006/relationships" ref="G164" r:id="rId650"/>
    <hyperlink xmlns:r="http://schemas.openxmlformats.org/officeDocument/2006/relationships" ref="H164" r:id="rId651"/>
    <hyperlink xmlns:r="http://schemas.openxmlformats.org/officeDocument/2006/relationships" ref="I164" r:id="rId652"/>
    <hyperlink xmlns:r="http://schemas.openxmlformats.org/officeDocument/2006/relationships" ref="F165" r:id="rId653"/>
    <hyperlink xmlns:r="http://schemas.openxmlformats.org/officeDocument/2006/relationships" ref="G165" r:id="rId654"/>
    <hyperlink xmlns:r="http://schemas.openxmlformats.org/officeDocument/2006/relationships" ref="H165" r:id="rId655"/>
    <hyperlink xmlns:r="http://schemas.openxmlformats.org/officeDocument/2006/relationships" ref="I165" r:id="rId656"/>
    <hyperlink xmlns:r="http://schemas.openxmlformats.org/officeDocument/2006/relationships" ref="F166" r:id="rId657"/>
    <hyperlink xmlns:r="http://schemas.openxmlformats.org/officeDocument/2006/relationships" ref="G166" r:id="rId658"/>
    <hyperlink xmlns:r="http://schemas.openxmlformats.org/officeDocument/2006/relationships" ref="H166" r:id="rId659"/>
    <hyperlink xmlns:r="http://schemas.openxmlformats.org/officeDocument/2006/relationships" ref="I166" r:id="rId660"/>
    <hyperlink xmlns:r="http://schemas.openxmlformats.org/officeDocument/2006/relationships" ref="F167" r:id="rId661"/>
    <hyperlink xmlns:r="http://schemas.openxmlformats.org/officeDocument/2006/relationships" ref="G167" r:id="rId662"/>
    <hyperlink xmlns:r="http://schemas.openxmlformats.org/officeDocument/2006/relationships" ref="H167" r:id="rId663"/>
    <hyperlink xmlns:r="http://schemas.openxmlformats.org/officeDocument/2006/relationships" ref="I167" r:id="rId664"/>
    <hyperlink xmlns:r="http://schemas.openxmlformats.org/officeDocument/2006/relationships" ref="F168" r:id="rId665"/>
    <hyperlink xmlns:r="http://schemas.openxmlformats.org/officeDocument/2006/relationships" ref="G168" r:id="rId666"/>
    <hyperlink xmlns:r="http://schemas.openxmlformats.org/officeDocument/2006/relationships" ref="H168" r:id="rId667"/>
    <hyperlink xmlns:r="http://schemas.openxmlformats.org/officeDocument/2006/relationships" ref="I168" r:id="rId668"/>
    <hyperlink xmlns:r="http://schemas.openxmlformats.org/officeDocument/2006/relationships" ref="F169" r:id="rId669"/>
    <hyperlink xmlns:r="http://schemas.openxmlformats.org/officeDocument/2006/relationships" ref="G169" r:id="rId670"/>
    <hyperlink xmlns:r="http://schemas.openxmlformats.org/officeDocument/2006/relationships" ref="H169" r:id="rId671"/>
    <hyperlink xmlns:r="http://schemas.openxmlformats.org/officeDocument/2006/relationships" ref="I169" r:id="rId672"/>
    <hyperlink xmlns:r="http://schemas.openxmlformats.org/officeDocument/2006/relationships" ref="F170" r:id="rId673"/>
    <hyperlink xmlns:r="http://schemas.openxmlformats.org/officeDocument/2006/relationships" ref="G170" r:id="rId674"/>
    <hyperlink xmlns:r="http://schemas.openxmlformats.org/officeDocument/2006/relationships" ref="H170" r:id="rId675"/>
    <hyperlink xmlns:r="http://schemas.openxmlformats.org/officeDocument/2006/relationships" ref="I170" r:id="rId676"/>
    <hyperlink xmlns:r="http://schemas.openxmlformats.org/officeDocument/2006/relationships" ref="F171" r:id="rId677"/>
    <hyperlink xmlns:r="http://schemas.openxmlformats.org/officeDocument/2006/relationships" ref="G171" r:id="rId678"/>
    <hyperlink xmlns:r="http://schemas.openxmlformats.org/officeDocument/2006/relationships" ref="H171" r:id="rId679"/>
    <hyperlink xmlns:r="http://schemas.openxmlformats.org/officeDocument/2006/relationships" ref="I171" r:id="rId680"/>
    <hyperlink xmlns:r="http://schemas.openxmlformats.org/officeDocument/2006/relationships" ref="F172" r:id="rId681"/>
    <hyperlink xmlns:r="http://schemas.openxmlformats.org/officeDocument/2006/relationships" ref="G172" r:id="rId682"/>
    <hyperlink xmlns:r="http://schemas.openxmlformats.org/officeDocument/2006/relationships" ref="H172" r:id="rId683"/>
    <hyperlink xmlns:r="http://schemas.openxmlformats.org/officeDocument/2006/relationships" ref="I172" r:id="rId684"/>
    <hyperlink xmlns:r="http://schemas.openxmlformats.org/officeDocument/2006/relationships" ref="F173" r:id="rId685"/>
    <hyperlink xmlns:r="http://schemas.openxmlformats.org/officeDocument/2006/relationships" ref="G173" r:id="rId686"/>
    <hyperlink xmlns:r="http://schemas.openxmlformats.org/officeDocument/2006/relationships" ref="H173" r:id="rId687"/>
    <hyperlink xmlns:r="http://schemas.openxmlformats.org/officeDocument/2006/relationships" ref="I173" r:id="rId688"/>
    <hyperlink xmlns:r="http://schemas.openxmlformats.org/officeDocument/2006/relationships" ref="F174" r:id="rId689"/>
    <hyperlink xmlns:r="http://schemas.openxmlformats.org/officeDocument/2006/relationships" ref="G174" r:id="rId690"/>
    <hyperlink xmlns:r="http://schemas.openxmlformats.org/officeDocument/2006/relationships" ref="H174" r:id="rId691"/>
    <hyperlink xmlns:r="http://schemas.openxmlformats.org/officeDocument/2006/relationships" ref="I174" r:id="rId692"/>
    <hyperlink xmlns:r="http://schemas.openxmlformats.org/officeDocument/2006/relationships" ref="F175" r:id="rId693"/>
    <hyperlink xmlns:r="http://schemas.openxmlformats.org/officeDocument/2006/relationships" ref="G175" r:id="rId694"/>
    <hyperlink xmlns:r="http://schemas.openxmlformats.org/officeDocument/2006/relationships" ref="H175" r:id="rId695"/>
    <hyperlink xmlns:r="http://schemas.openxmlformats.org/officeDocument/2006/relationships" ref="I175" r:id="rId696"/>
    <hyperlink xmlns:r="http://schemas.openxmlformats.org/officeDocument/2006/relationships" ref="F176" r:id="rId697"/>
    <hyperlink xmlns:r="http://schemas.openxmlformats.org/officeDocument/2006/relationships" ref="G176" r:id="rId698"/>
    <hyperlink xmlns:r="http://schemas.openxmlformats.org/officeDocument/2006/relationships" ref="H176" r:id="rId699"/>
    <hyperlink xmlns:r="http://schemas.openxmlformats.org/officeDocument/2006/relationships" ref="I176" r:id="rId700"/>
    <hyperlink xmlns:r="http://schemas.openxmlformats.org/officeDocument/2006/relationships" ref="F177" r:id="rId701"/>
    <hyperlink xmlns:r="http://schemas.openxmlformats.org/officeDocument/2006/relationships" ref="G177" r:id="rId702"/>
    <hyperlink xmlns:r="http://schemas.openxmlformats.org/officeDocument/2006/relationships" ref="H177" r:id="rId703"/>
    <hyperlink xmlns:r="http://schemas.openxmlformats.org/officeDocument/2006/relationships" ref="I177" r:id="rId704"/>
    <hyperlink xmlns:r="http://schemas.openxmlformats.org/officeDocument/2006/relationships" ref="F178" r:id="rId705"/>
    <hyperlink xmlns:r="http://schemas.openxmlformats.org/officeDocument/2006/relationships" ref="G178" r:id="rId706"/>
    <hyperlink xmlns:r="http://schemas.openxmlformats.org/officeDocument/2006/relationships" ref="H178" r:id="rId707"/>
    <hyperlink xmlns:r="http://schemas.openxmlformats.org/officeDocument/2006/relationships" ref="I178" r:id="rId708"/>
    <hyperlink xmlns:r="http://schemas.openxmlformats.org/officeDocument/2006/relationships" ref="F179" r:id="rId709"/>
    <hyperlink xmlns:r="http://schemas.openxmlformats.org/officeDocument/2006/relationships" ref="G179" r:id="rId710"/>
    <hyperlink xmlns:r="http://schemas.openxmlformats.org/officeDocument/2006/relationships" ref="H179" r:id="rId711"/>
    <hyperlink xmlns:r="http://schemas.openxmlformats.org/officeDocument/2006/relationships" ref="I179" r:id="rId712"/>
    <hyperlink xmlns:r="http://schemas.openxmlformats.org/officeDocument/2006/relationships" ref="F180" r:id="rId713"/>
    <hyperlink xmlns:r="http://schemas.openxmlformats.org/officeDocument/2006/relationships" ref="G180" r:id="rId714"/>
    <hyperlink xmlns:r="http://schemas.openxmlformats.org/officeDocument/2006/relationships" ref="H180" r:id="rId715"/>
    <hyperlink xmlns:r="http://schemas.openxmlformats.org/officeDocument/2006/relationships" ref="I180" r:id="rId716"/>
    <hyperlink xmlns:r="http://schemas.openxmlformats.org/officeDocument/2006/relationships" ref="F181" r:id="rId717"/>
    <hyperlink xmlns:r="http://schemas.openxmlformats.org/officeDocument/2006/relationships" ref="G181" r:id="rId718"/>
    <hyperlink xmlns:r="http://schemas.openxmlformats.org/officeDocument/2006/relationships" ref="H181" r:id="rId719"/>
    <hyperlink xmlns:r="http://schemas.openxmlformats.org/officeDocument/2006/relationships" ref="I181" r:id="rId720"/>
    <hyperlink xmlns:r="http://schemas.openxmlformats.org/officeDocument/2006/relationships" ref="F182" r:id="rId721"/>
    <hyperlink xmlns:r="http://schemas.openxmlformats.org/officeDocument/2006/relationships" ref="G182" r:id="rId722"/>
    <hyperlink xmlns:r="http://schemas.openxmlformats.org/officeDocument/2006/relationships" ref="H182" r:id="rId723"/>
    <hyperlink xmlns:r="http://schemas.openxmlformats.org/officeDocument/2006/relationships" ref="I182" r:id="rId724"/>
    <hyperlink xmlns:r="http://schemas.openxmlformats.org/officeDocument/2006/relationships" ref="F183" r:id="rId725"/>
    <hyperlink xmlns:r="http://schemas.openxmlformats.org/officeDocument/2006/relationships" ref="G183" r:id="rId726"/>
    <hyperlink xmlns:r="http://schemas.openxmlformats.org/officeDocument/2006/relationships" ref="H183" r:id="rId727"/>
    <hyperlink xmlns:r="http://schemas.openxmlformats.org/officeDocument/2006/relationships" ref="I183" r:id="rId728"/>
    <hyperlink xmlns:r="http://schemas.openxmlformats.org/officeDocument/2006/relationships" ref="F184" r:id="rId729"/>
    <hyperlink xmlns:r="http://schemas.openxmlformats.org/officeDocument/2006/relationships" ref="G184" r:id="rId730"/>
    <hyperlink xmlns:r="http://schemas.openxmlformats.org/officeDocument/2006/relationships" ref="H184" r:id="rId731"/>
    <hyperlink xmlns:r="http://schemas.openxmlformats.org/officeDocument/2006/relationships" ref="I184" r:id="rId732"/>
    <hyperlink xmlns:r="http://schemas.openxmlformats.org/officeDocument/2006/relationships" ref="F185" r:id="rId733"/>
    <hyperlink xmlns:r="http://schemas.openxmlformats.org/officeDocument/2006/relationships" ref="G185" r:id="rId734"/>
    <hyperlink xmlns:r="http://schemas.openxmlformats.org/officeDocument/2006/relationships" ref="H185" r:id="rId735"/>
    <hyperlink xmlns:r="http://schemas.openxmlformats.org/officeDocument/2006/relationships" ref="I185" r:id="rId736"/>
    <hyperlink xmlns:r="http://schemas.openxmlformats.org/officeDocument/2006/relationships" ref="F186" r:id="rId737"/>
    <hyperlink xmlns:r="http://schemas.openxmlformats.org/officeDocument/2006/relationships" ref="G186" r:id="rId738"/>
    <hyperlink xmlns:r="http://schemas.openxmlformats.org/officeDocument/2006/relationships" ref="H186" r:id="rId739"/>
    <hyperlink xmlns:r="http://schemas.openxmlformats.org/officeDocument/2006/relationships" ref="I186" r:id="rId740"/>
    <hyperlink xmlns:r="http://schemas.openxmlformats.org/officeDocument/2006/relationships" ref="F187" r:id="rId741"/>
    <hyperlink xmlns:r="http://schemas.openxmlformats.org/officeDocument/2006/relationships" ref="G187" r:id="rId742"/>
    <hyperlink xmlns:r="http://schemas.openxmlformats.org/officeDocument/2006/relationships" ref="H187" r:id="rId743"/>
    <hyperlink xmlns:r="http://schemas.openxmlformats.org/officeDocument/2006/relationships" ref="I187" r:id="rId744"/>
    <hyperlink xmlns:r="http://schemas.openxmlformats.org/officeDocument/2006/relationships" ref="F188" r:id="rId745"/>
    <hyperlink xmlns:r="http://schemas.openxmlformats.org/officeDocument/2006/relationships" ref="G188" r:id="rId746"/>
    <hyperlink xmlns:r="http://schemas.openxmlformats.org/officeDocument/2006/relationships" ref="H188" r:id="rId747"/>
    <hyperlink xmlns:r="http://schemas.openxmlformats.org/officeDocument/2006/relationships" ref="I188" r:id="rId748"/>
    <hyperlink xmlns:r="http://schemas.openxmlformats.org/officeDocument/2006/relationships" ref="F189" r:id="rId749"/>
    <hyperlink xmlns:r="http://schemas.openxmlformats.org/officeDocument/2006/relationships" ref="G189" r:id="rId750"/>
    <hyperlink xmlns:r="http://schemas.openxmlformats.org/officeDocument/2006/relationships" ref="H189" r:id="rId751"/>
    <hyperlink xmlns:r="http://schemas.openxmlformats.org/officeDocument/2006/relationships" ref="I189" r:id="rId752"/>
    <hyperlink xmlns:r="http://schemas.openxmlformats.org/officeDocument/2006/relationships" ref="F190" r:id="rId753"/>
    <hyperlink xmlns:r="http://schemas.openxmlformats.org/officeDocument/2006/relationships" ref="G190" r:id="rId754"/>
    <hyperlink xmlns:r="http://schemas.openxmlformats.org/officeDocument/2006/relationships" ref="H190" r:id="rId755"/>
    <hyperlink xmlns:r="http://schemas.openxmlformats.org/officeDocument/2006/relationships" ref="I190" r:id="rId756"/>
    <hyperlink xmlns:r="http://schemas.openxmlformats.org/officeDocument/2006/relationships" ref="F191" r:id="rId757"/>
    <hyperlink xmlns:r="http://schemas.openxmlformats.org/officeDocument/2006/relationships" ref="G191" r:id="rId758"/>
    <hyperlink xmlns:r="http://schemas.openxmlformats.org/officeDocument/2006/relationships" ref="H191" r:id="rId759"/>
    <hyperlink xmlns:r="http://schemas.openxmlformats.org/officeDocument/2006/relationships" ref="I191" r:id="rId760"/>
    <hyperlink xmlns:r="http://schemas.openxmlformats.org/officeDocument/2006/relationships" ref="F192" r:id="rId761"/>
    <hyperlink xmlns:r="http://schemas.openxmlformats.org/officeDocument/2006/relationships" ref="G192" r:id="rId762"/>
    <hyperlink xmlns:r="http://schemas.openxmlformats.org/officeDocument/2006/relationships" ref="H192" r:id="rId763"/>
    <hyperlink xmlns:r="http://schemas.openxmlformats.org/officeDocument/2006/relationships" ref="I192" r:id="rId764"/>
    <hyperlink xmlns:r="http://schemas.openxmlformats.org/officeDocument/2006/relationships" ref="F193" r:id="rId765"/>
    <hyperlink xmlns:r="http://schemas.openxmlformats.org/officeDocument/2006/relationships" ref="G193" r:id="rId766"/>
    <hyperlink xmlns:r="http://schemas.openxmlformats.org/officeDocument/2006/relationships" ref="H193" r:id="rId767"/>
    <hyperlink xmlns:r="http://schemas.openxmlformats.org/officeDocument/2006/relationships" ref="I193" r:id="rId768"/>
    <hyperlink xmlns:r="http://schemas.openxmlformats.org/officeDocument/2006/relationships" ref="F194" r:id="rId769"/>
    <hyperlink xmlns:r="http://schemas.openxmlformats.org/officeDocument/2006/relationships" ref="G194" r:id="rId770"/>
    <hyperlink xmlns:r="http://schemas.openxmlformats.org/officeDocument/2006/relationships" ref="H194" r:id="rId771"/>
    <hyperlink xmlns:r="http://schemas.openxmlformats.org/officeDocument/2006/relationships" ref="I194" r:id="rId772"/>
    <hyperlink xmlns:r="http://schemas.openxmlformats.org/officeDocument/2006/relationships" ref="F195" r:id="rId773"/>
    <hyperlink xmlns:r="http://schemas.openxmlformats.org/officeDocument/2006/relationships" ref="G195" r:id="rId774"/>
    <hyperlink xmlns:r="http://schemas.openxmlformats.org/officeDocument/2006/relationships" ref="H195" r:id="rId775"/>
    <hyperlink xmlns:r="http://schemas.openxmlformats.org/officeDocument/2006/relationships" ref="I195" r:id="rId776"/>
    <hyperlink xmlns:r="http://schemas.openxmlformats.org/officeDocument/2006/relationships" ref="F196" r:id="rId777"/>
    <hyperlink xmlns:r="http://schemas.openxmlformats.org/officeDocument/2006/relationships" ref="G196" r:id="rId778"/>
    <hyperlink xmlns:r="http://schemas.openxmlformats.org/officeDocument/2006/relationships" ref="H196" r:id="rId779"/>
    <hyperlink xmlns:r="http://schemas.openxmlformats.org/officeDocument/2006/relationships" ref="I196" r:id="rId780"/>
    <hyperlink xmlns:r="http://schemas.openxmlformats.org/officeDocument/2006/relationships" ref="F197" r:id="rId781"/>
    <hyperlink xmlns:r="http://schemas.openxmlformats.org/officeDocument/2006/relationships" ref="G197" r:id="rId782"/>
    <hyperlink xmlns:r="http://schemas.openxmlformats.org/officeDocument/2006/relationships" ref="H197" r:id="rId783"/>
    <hyperlink xmlns:r="http://schemas.openxmlformats.org/officeDocument/2006/relationships" ref="I197" r:id="rId784"/>
    <hyperlink xmlns:r="http://schemas.openxmlformats.org/officeDocument/2006/relationships" ref="F198" r:id="rId785"/>
    <hyperlink xmlns:r="http://schemas.openxmlformats.org/officeDocument/2006/relationships" ref="G198" r:id="rId786"/>
    <hyperlink xmlns:r="http://schemas.openxmlformats.org/officeDocument/2006/relationships" ref="H198" r:id="rId787"/>
    <hyperlink xmlns:r="http://schemas.openxmlformats.org/officeDocument/2006/relationships" ref="I198" r:id="rId788"/>
    <hyperlink xmlns:r="http://schemas.openxmlformats.org/officeDocument/2006/relationships" ref="F199" r:id="rId789"/>
    <hyperlink xmlns:r="http://schemas.openxmlformats.org/officeDocument/2006/relationships" ref="G199" r:id="rId790"/>
    <hyperlink xmlns:r="http://schemas.openxmlformats.org/officeDocument/2006/relationships" ref="H199" r:id="rId791"/>
    <hyperlink xmlns:r="http://schemas.openxmlformats.org/officeDocument/2006/relationships" ref="I199" r:id="rId792"/>
    <hyperlink xmlns:r="http://schemas.openxmlformats.org/officeDocument/2006/relationships" ref="F200" r:id="rId793"/>
    <hyperlink xmlns:r="http://schemas.openxmlformats.org/officeDocument/2006/relationships" ref="G200" r:id="rId794"/>
    <hyperlink xmlns:r="http://schemas.openxmlformats.org/officeDocument/2006/relationships" ref="H200" r:id="rId795"/>
    <hyperlink xmlns:r="http://schemas.openxmlformats.org/officeDocument/2006/relationships" ref="I200" r:id="rId796"/>
    <hyperlink xmlns:r="http://schemas.openxmlformats.org/officeDocument/2006/relationships" ref="F201" r:id="rId797"/>
    <hyperlink xmlns:r="http://schemas.openxmlformats.org/officeDocument/2006/relationships" ref="G201" r:id="rId798"/>
    <hyperlink xmlns:r="http://schemas.openxmlformats.org/officeDocument/2006/relationships" ref="H201" r:id="rId799"/>
    <hyperlink xmlns:r="http://schemas.openxmlformats.org/officeDocument/2006/relationships" ref="I201" r:id="rId800"/>
    <hyperlink xmlns:r="http://schemas.openxmlformats.org/officeDocument/2006/relationships" ref="F202" r:id="rId801"/>
    <hyperlink xmlns:r="http://schemas.openxmlformats.org/officeDocument/2006/relationships" ref="G202" r:id="rId802"/>
    <hyperlink xmlns:r="http://schemas.openxmlformats.org/officeDocument/2006/relationships" ref="H202" r:id="rId803"/>
    <hyperlink xmlns:r="http://schemas.openxmlformats.org/officeDocument/2006/relationships" ref="I202" r:id="rId804"/>
    <hyperlink xmlns:r="http://schemas.openxmlformats.org/officeDocument/2006/relationships" ref="F203" r:id="rId805"/>
    <hyperlink xmlns:r="http://schemas.openxmlformats.org/officeDocument/2006/relationships" ref="G203" r:id="rId806"/>
    <hyperlink xmlns:r="http://schemas.openxmlformats.org/officeDocument/2006/relationships" ref="H203" r:id="rId807"/>
    <hyperlink xmlns:r="http://schemas.openxmlformats.org/officeDocument/2006/relationships" ref="I203" r:id="rId808"/>
    <hyperlink xmlns:r="http://schemas.openxmlformats.org/officeDocument/2006/relationships" ref="F204" r:id="rId809"/>
    <hyperlink xmlns:r="http://schemas.openxmlformats.org/officeDocument/2006/relationships" ref="G204" r:id="rId810"/>
    <hyperlink xmlns:r="http://schemas.openxmlformats.org/officeDocument/2006/relationships" ref="H204" r:id="rId811"/>
    <hyperlink xmlns:r="http://schemas.openxmlformats.org/officeDocument/2006/relationships" ref="I204" r:id="rId812"/>
    <hyperlink xmlns:r="http://schemas.openxmlformats.org/officeDocument/2006/relationships" ref="F205" r:id="rId813"/>
    <hyperlink xmlns:r="http://schemas.openxmlformats.org/officeDocument/2006/relationships" ref="G205" r:id="rId814"/>
    <hyperlink xmlns:r="http://schemas.openxmlformats.org/officeDocument/2006/relationships" ref="H205" r:id="rId815"/>
    <hyperlink xmlns:r="http://schemas.openxmlformats.org/officeDocument/2006/relationships" ref="I205" r:id="rId816"/>
    <hyperlink xmlns:r="http://schemas.openxmlformats.org/officeDocument/2006/relationships" ref="F206" r:id="rId817"/>
    <hyperlink xmlns:r="http://schemas.openxmlformats.org/officeDocument/2006/relationships" ref="G206" r:id="rId818"/>
    <hyperlink xmlns:r="http://schemas.openxmlformats.org/officeDocument/2006/relationships" ref="H206" r:id="rId819"/>
    <hyperlink xmlns:r="http://schemas.openxmlformats.org/officeDocument/2006/relationships" ref="I206" r:id="rId820"/>
    <hyperlink xmlns:r="http://schemas.openxmlformats.org/officeDocument/2006/relationships" ref="F207" r:id="rId821"/>
    <hyperlink xmlns:r="http://schemas.openxmlformats.org/officeDocument/2006/relationships" ref="G207" r:id="rId822"/>
    <hyperlink xmlns:r="http://schemas.openxmlformats.org/officeDocument/2006/relationships" ref="H207" r:id="rId823"/>
    <hyperlink xmlns:r="http://schemas.openxmlformats.org/officeDocument/2006/relationships" ref="I207" r:id="rId824"/>
    <hyperlink xmlns:r="http://schemas.openxmlformats.org/officeDocument/2006/relationships" ref="F208" r:id="rId825"/>
    <hyperlink xmlns:r="http://schemas.openxmlformats.org/officeDocument/2006/relationships" ref="G208" r:id="rId826"/>
    <hyperlink xmlns:r="http://schemas.openxmlformats.org/officeDocument/2006/relationships" ref="H208" r:id="rId827"/>
    <hyperlink xmlns:r="http://schemas.openxmlformats.org/officeDocument/2006/relationships" ref="I208" r:id="rId828"/>
    <hyperlink xmlns:r="http://schemas.openxmlformats.org/officeDocument/2006/relationships" ref="F209" r:id="rId829"/>
    <hyperlink xmlns:r="http://schemas.openxmlformats.org/officeDocument/2006/relationships" ref="G209" r:id="rId830"/>
    <hyperlink xmlns:r="http://schemas.openxmlformats.org/officeDocument/2006/relationships" ref="H209" r:id="rId831"/>
    <hyperlink xmlns:r="http://schemas.openxmlformats.org/officeDocument/2006/relationships" ref="I209" r:id="rId832"/>
    <hyperlink xmlns:r="http://schemas.openxmlformats.org/officeDocument/2006/relationships" ref="F210" r:id="rId833"/>
    <hyperlink xmlns:r="http://schemas.openxmlformats.org/officeDocument/2006/relationships" ref="G210" r:id="rId834"/>
    <hyperlink xmlns:r="http://schemas.openxmlformats.org/officeDocument/2006/relationships" ref="H210" r:id="rId835"/>
    <hyperlink xmlns:r="http://schemas.openxmlformats.org/officeDocument/2006/relationships" ref="I210" r:id="rId836"/>
    <hyperlink xmlns:r="http://schemas.openxmlformats.org/officeDocument/2006/relationships" ref="F211" r:id="rId837"/>
    <hyperlink xmlns:r="http://schemas.openxmlformats.org/officeDocument/2006/relationships" ref="G211" r:id="rId838"/>
    <hyperlink xmlns:r="http://schemas.openxmlformats.org/officeDocument/2006/relationships" ref="H211" r:id="rId839"/>
    <hyperlink xmlns:r="http://schemas.openxmlformats.org/officeDocument/2006/relationships" ref="I211" r:id="rId84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0" customWidth="1" min="3" max="3"/>
    <col width="18" customWidth="1" min="4" max="4"/>
    <col width="18" customWidth="1" min="5" max="5"/>
    <col width="20" customWidth="1" min="6" max="6"/>
    <col width="22" customWidth="1" min="7" max="7"/>
    <col width="55" customWidth="1" min="8" max="8"/>
  </cols>
  <sheetData>
    <row r="1" ht="40" customHeight="1">
      <c r="A1" s="15" t="inlineStr">
        <is>
          <t>Category</t>
        </is>
      </c>
      <c r="B1" s="15" t="inlineStr">
        <is>
          <t>Products</t>
        </is>
      </c>
      <c r="C1" s="15" t="inlineStr">
        <is>
          <t>Total Sale Value (SAR)</t>
        </is>
      </c>
      <c r="D1" s="15" t="inlineStr">
        <is>
          <t>Typical Wholesale Fraction</t>
        </is>
      </c>
      <c r="E1" s="15" t="inlineStr">
        <is>
          <t>Typical Retail Markup</t>
        </is>
      </c>
      <c r="F1" s="15" t="inlineStr">
        <is>
          <t>Est. Wholesale Cost (SAR)</t>
        </is>
      </c>
      <c r="G1" s="15" t="inlineStr">
        <is>
          <t>Est. Profit if All Sold (SAR)</t>
        </is>
      </c>
      <c r="H1" s="15" t="inlineStr">
        <is>
          <t>Intelligence Notes</t>
        </is>
      </c>
    </row>
    <row r="2" ht="48" customHeight="1">
      <c r="A2" t="inlineStr">
        <is>
          <t>Homelab</t>
        </is>
      </c>
      <c r="B2" t="n">
        <v>29</v>
      </c>
      <c r="C2" s="11" t="n">
        <v>86011</v>
      </c>
      <c r="D2" s="16" t="n">
        <v>0.55</v>
      </c>
      <c r="E2" t="inlineStr">
        <is>
          <t>25-40%</t>
        </is>
      </c>
      <c r="F2" s="11" t="n">
        <v>47306</v>
      </c>
      <c r="G2" s="11" t="n">
        <v>38705</v>
      </c>
      <c r="H2" s="17" t="inlineStr">
        <is>
          <t>Niche enthusiast market. Pre-built mini PCs (Beelink, MinisForum) have 30-40% room. pfSense/TrueNAS bundles can charge service premium.</t>
        </is>
      </c>
    </row>
    <row r="3" ht="48" customHeight="1">
      <c r="A3" t="inlineStr">
        <is>
          <t>Gaming</t>
        </is>
      </c>
      <c r="B3" t="n">
        <v>39</v>
      </c>
      <c r="C3" s="11" t="n">
        <v>71171</v>
      </c>
      <c r="D3" s="16" t="n">
        <v>0.75</v>
      </c>
      <c r="E3" t="inlineStr">
        <is>
          <t>10-20%</t>
        </is>
      </c>
      <c r="F3" s="11" t="n">
        <v>53378</v>
      </c>
      <c r="G3" s="11" t="n">
        <v>17793</v>
      </c>
      <c r="H3" s="17" t="inlineStr">
        <is>
          <t>Razer/Logitech peripherals highly competitive. RTX GPUs often at/above MSRP. Thin margins unless volume.</t>
        </is>
      </c>
    </row>
    <row r="4" ht="48" customHeight="1">
      <c r="A4" t="inlineStr">
        <is>
          <t>Hardware</t>
        </is>
      </c>
      <c r="B4" t="n">
        <v>12</v>
      </c>
      <c r="C4" s="11" t="n">
        <v>68738</v>
      </c>
      <c r="D4" s="16" t="n">
        <v>0.85</v>
      </c>
      <c r="E4" t="inlineStr">
        <is>
          <t>5-15%</t>
        </is>
      </c>
      <c r="F4" s="11" t="n">
        <v>58427</v>
      </c>
      <c r="G4" s="11" t="n">
        <v>10311</v>
      </c>
      <c r="H4" s="17" t="inlineStr">
        <is>
          <t>GPUs, SSDs, RAM = commodity. Prices set by global supply. Hard to win on price vs Amazon.sa.</t>
        </is>
      </c>
    </row>
    <row r="5" ht="48" customHeight="1">
      <c r="A5" t="inlineStr">
        <is>
          <t>Smart Home &amp;amp; IoT</t>
        </is>
      </c>
      <c r="B5" t="n">
        <v>50</v>
      </c>
      <c r="C5" s="11" t="n">
        <v>52360</v>
      </c>
      <c r="D5" s="16" t="n">
        <v>0.45</v>
      </c>
      <c r="E5" t="inlineStr">
        <is>
          <t>30-50%</t>
        </is>
      </c>
      <c r="F5" s="11" t="n">
        <v>23562</v>
      </c>
      <c r="G5" s="11" t="n">
        <v>28798</v>
      </c>
      <c r="H5" s="17" t="inlineStr">
        <is>
          <t>Aqara/SwitchBot direct from AliExpress usually 40-50% cheaper than Saudi retail. Matter protocol gaining. Strong margin zone.</t>
        </is>
      </c>
    </row>
    <row r="6" ht="48" customHeight="1">
      <c r="A6" t="inlineStr">
        <is>
          <t>Drones &amp;amp; Robotics</t>
        </is>
      </c>
      <c r="B6" t="n">
        <v>8</v>
      </c>
      <c r="C6" s="11" t="n">
        <v>32392</v>
      </c>
      <c r="D6" s="16" t="n">
        <v>0.7</v>
      </c>
      <c r="E6" t="inlineStr">
        <is>
          <t>15-25%</t>
        </is>
      </c>
      <c r="F6" s="11" t="n">
        <v>22674</v>
      </c>
      <c r="G6" s="11" t="n">
        <v>9718</v>
      </c>
      <c r="H6" s="17" t="inlineStr">
        <is>
          <t>DJI is strict on MAP pricing. AliExpress dupes exist but risky.</t>
        </is>
      </c>
    </row>
    <row r="7" ht="48" customHeight="1">
      <c r="A7" t="inlineStr">
        <is>
          <t>Networking</t>
        </is>
      </c>
      <c r="B7" t="n">
        <v>26</v>
      </c>
      <c r="C7" s="11" t="n">
        <v>28104</v>
      </c>
      <c r="D7" s="16" t="n">
        <v>0.65</v>
      </c>
      <c r="E7" t="inlineStr">
        <is>
          <t>15-25%</t>
        </is>
      </c>
      <c r="F7" s="11" t="n">
        <v>18268</v>
      </c>
      <c r="G7" s="11" t="n">
        <v>9836</v>
      </c>
      <c r="H7" s="17" t="inlineStr">
        <is>
          <t>UniFi/MikroTik enterprise gear has thin retail margin. Ubiquiti authorized distributors are strict. AliExpress copies are risky (counterfeits).</t>
        </is>
      </c>
    </row>
    <row r="8" ht="48" customHeight="1">
      <c r="A8" t="inlineStr">
        <is>
          <t>3D Printing &amp;amp; CNC</t>
        </is>
      </c>
      <c r="B8" t="n">
        <v>8</v>
      </c>
      <c r="C8" s="11" t="n">
        <v>20592</v>
      </c>
      <c r="D8" s="16" t="n">
        <v>0.55</v>
      </c>
      <c r="E8" t="inlineStr">
        <is>
          <t>25-40%</t>
        </is>
      </c>
      <c r="F8" s="11" t="n">
        <v>11326</v>
      </c>
      <c r="G8" s="11" t="n">
        <v>9266</v>
      </c>
      <c r="H8" s="17" t="inlineStr">
        <is>
          <t>Creality/Elegoo direct-from-factory is cheap. Compete on service + support.</t>
        </is>
      </c>
    </row>
    <row r="9" ht="48" customHeight="1">
      <c r="A9" t="inlineStr">
        <is>
          <t>Enthusiasts &amp;amp; Gamers</t>
        </is>
      </c>
      <c r="B9" t="n">
        <v>6</v>
      </c>
      <c r="C9" s="11" t="n">
        <v>12894</v>
      </c>
      <c r="D9" s="16" t="n">
        <v>0.5</v>
      </c>
      <c r="E9" t="inlineStr">
        <is>
          <t>30-50%</t>
        </is>
      </c>
      <c r="F9" s="11" t="n">
        <v>6447</v>
      </c>
      <c r="G9" s="11" t="n">
        <v>6447</v>
      </c>
      <c r="H9" s="17" t="inlineStr">
        <is>
          <t>Mixed bucket — hobby SBCs, VR headsets. Varies wildly.</t>
        </is>
      </c>
    </row>
    <row r="10" ht="48" customHeight="1">
      <c r="A10" t="inlineStr">
        <is>
          <t>Security &amp;amp; Surveillance</t>
        </is>
      </c>
      <c r="B10" t="n">
        <v>7</v>
      </c>
      <c r="C10" s="11" t="n">
        <v>10343</v>
      </c>
      <c r="D10" s="16" t="n">
        <v>0.5</v>
      </c>
      <c r="E10" t="inlineStr">
        <is>
          <t>30-45%</t>
        </is>
      </c>
      <c r="F10" s="11" t="n">
        <v>5172</v>
      </c>
      <c r="G10" s="11" t="n">
        <v>5172</v>
      </c>
      <c r="H10" s="17" t="inlineStr">
        <is>
          <t>Reolink, Hikvision dupes plentiful on AliExpress. Government-grade requires authorized distribution.</t>
        </is>
      </c>
    </row>
    <row r="11" ht="48" customHeight="1">
      <c r="A11" t="inlineStr">
        <is>
          <t>Accessories &amp;amp; Lifestyle</t>
        </is>
      </c>
      <c r="B11" t="n">
        <v>7</v>
      </c>
      <c r="C11" s="11" t="n">
        <v>7023</v>
      </c>
      <c r="D11" s="16" t="n">
        <v>0.35</v>
      </c>
      <c r="E11" t="inlineStr">
        <is>
          <t>50-80%</t>
        </is>
      </c>
      <c r="F11" s="11" t="n">
        <v>2458</v>
      </c>
      <c r="G11" s="11" t="n">
        <v>4565</v>
      </c>
      <c r="H11" s="17" t="inlineStr">
        <is>
          <t>Cables, chargers, stands = highest margin dropship. AliExpress is 3-5x cheaper than Saudi retail.</t>
        </is>
      </c>
    </row>
    <row r="12" ht="48" customHeight="1">
      <c r="A12" t="inlineStr">
        <is>
          <t>Gift Cards &amp;amp; Software Keys</t>
        </is>
      </c>
      <c r="B12" t="n">
        <v>10</v>
      </c>
      <c r="C12" s="11" t="n">
        <v>4190</v>
      </c>
      <c r="D12" s="16" t="n">
        <v>0.92</v>
      </c>
      <c r="E12" t="inlineStr">
        <is>
          <t>3-8%</t>
        </is>
      </c>
      <c r="F12" s="11" t="n">
        <v>3855</v>
      </c>
      <c r="G12" s="11" t="n">
        <v>335</v>
      </c>
      <c r="H12" s="17" t="inlineStr">
        <is>
          <t>Ultra-thin margin. Kinguin/G2A cost is ~92-97% of what you can sell for. Volume game.</t>
        </is>
      </c>
    </row>
    <row r="13" ht="48" customHeight="1">
      <c r="A13" t="inlineStr">
        <is>
          <t>Cables &amp;amp; Adapters</t>
        </is>
      </c>
      <c r="B13" t="n">
        <v>8</v>
      </c>
      <c r="C13" s="11" t="n">
        <v>2082</v>
      </c>
      <c r="D13" s="16" t="n">
        <v>0.3</v>
      </c>
      <c r="E13" t="inlineStr">
        <is>
          <t>60-100%</t>
        </is>
      </c>
      <c r="F13" s="11" t="n">
        <v>625</v>
      </c>
      <c r="G13" s="11" t="n">
        <v>1457</v>
      </c>
      <c r="H13" s="17" t="inlineStr">
        <is>
          <t>Commodity. AliExpress has bulk pricing. Strong margin.</t>
        </is>
      </c>
    </row>
    <row r="15">
      <c r="A15" s="18" t="inlineStr">
        <is>
          <t>TOTAL</t>
        </is>
      </c>
      <c r="B15" s="18">
        <f>SUM(B2:B13)</f>
        <v/>
      </c>
      <c r="C15" s="19">
        <f>SUM(C2:C13)</f>
        <v/>
      </c>
      <c r="F15" s="19">
        <f>SUM(F2:F13)</f>
        <v/>
      </c>
      <c r="G15" s="19">
        <f>SUM(G2:G13)</f>
        <v/>
      </c>
    </row>
    <row r="17">
      <c r="A17" s="20" t="inlineStr">
        <is>
          <t>⚠️ ESTIMATES ONLY</t>
        </is>
      </c>
    </row>
    <row r="18">
      <c r="A18" s="21" t="inlineStr">
        <is>
          <t>These are modeled markup ranges — not scraped real prices.</t>
        </is>
      </c>
    </row>
    <row r="19">
      <c r="A19" s="21" t="inlineStr">
        <is>
          <t>Wholesale fractions are based on typical Saudi retail vs AliExpress/Alibaba spread for each category.</t>
        </is>
      </c>
    </row>
    <row r="20">
      <c r="A20" s="21" t="inlineStr">
        <is>
          <t>Use Sheet 1 (Supplier Research) to find REAL prices per product.</t>
        </is>
      </c>
    </row>
    <row r="21">
      <c r="A21" s="21" t="inlineStr">
        <is>
          <t>Category rules break down for individual high-ticket items (e.g. RTX 5090 at MSRP has 5% margin, not 15%).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4"/>
  <sheetViews>
    <sheetView rightToLeft="0"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15" customWidth="1" min="3" max="3"/>
    <col width="45" customWidth="1" min="4" max="4"/>
    <col width="25" customWidth="1" min="5" max="5"/>
    <col width="13" customWidth="1" min="6" max="6"/>
    <col width="13" customWidth="1" min="7" max="7"/>
    <col width="15" customWidth="1" min="8" max="8"/>
  </cols>
  <sheetData>
    <row r="1" ht="42" customHeight="1">
      <c r="A1" s="15" t="inlineStr">
        <is>
          <t>Your Product SKU</t>
        </is>
      </c>
      <c r="B1" s="15" t="inlineStr">
        <is>
          <t>Product Name</t>
        </is>
      </c>
      <c r="C1" s="15" t="inlineStr">
        <is>
          <t>WooCommerce Product ID</t>
        </is>
      </c>
      <c r="D1" s="15" t="inlineStr">
        <is>
          <t>AliExpress Product URL (PASTE HERE)</t>
        </is>
      </c>
      <c r="E1" s="15" t="inlineStr">
        <is>
          <t>Supplier Notes</t>
        </is>
      </c>
      <c r="F1" s="15" t="inlineStr">
        <is>
          <t>Variant Matched?</t>
        </is>
      </c>
      <c r="G1" s="15" t="inlineStr">
        <is>
          <t>Stock Synced?</t>
        </is>
      </c>
      <c r="H1" s="15" t="inlineStr">
        <is>
          <t>Price Rule Applied?</t>
        </is>
      </c>
    </row>
    <row r="2">
      <c r="A2" t="inlineStr">
        <is>
          <t>GM-RTR-ASU-001</t>
        </is>
      </c>
      <c r="B2" t="inlineStr">
        <is>
          <t>ASUS ROG Rapture GT-BE19000AI (WiFi 7)</t>
        </is>
      </c>
      <c r="C2" t="n">
        <v>3236</v>
      </c>
      <c r="D2" s="22" t="inlineStr"/>
      <c r="E2" s="22" t="inlineStr"/>
      <c r="F2" t="inlineStr">
        <is>
          <t>No</t>
        </is>
      </c>
      <c r="G2" t="inlineStr">
        <is>
          <t>No</t>
        </is>
      </c>
      <c r="H2" t="inlineStr">
        <is>
          <t>No</t>
        </is>
      </c>
    </row>
    <row r="3">
      <c r="A3" t="inlineStr">
        <is>
          <t>GM-PGA-JSA-001</t>
        </is>
      </c>
      <c r="B3" t="inlineStr">
        <is>
          <t>JSAUX 6-in-1 Dock (Steam Deck/ROG Ally)</t>
        </is>
      </c>
      <c r="C3" t="n">
        <v>3235</v>
      </c>
      <c r="D3" s="22" t="inlineStr"/>
      <c r="E3" s="22" t="inlineStr"/>
      <c r="F3" t="inlineStr">
        <is>
          <t>No</t>
        </is>
      </c>
      <c r="G3" t="inlineStr">
        <is>
          <t>No</t>
        </is>
      </c>
      <c r="H3" t="inlineStr">
        <is>
          <t>No</t>
        </is>
      </c>
    </row>
    <row r="4">
      <c r="A4" t="inlineStr">
        <is>
          <t>GM-CMP-NZX-001</t>
        </is>
      </c>
      <c r="B4" t="inlineStr">
        <is>
          <t>NZXT H9 Elite Mid-Tower ATX Case</t>
        </is>
      </c>
      <c r="C4" t="n">
        <v>3234</v>
      </c>
      <c r="D4" s="22" t="inlineStr"/>
      <c r="E4" s="22" t="inlineStr"/>
      <c r="F4" t="inlineStr">
        <is>
          <t>No</t>
        </is>
      </c>
      <c r="G4" t="inlineStr">
        <is>
          <t>No</t>
        </is>
      </c>
      <c r="H4" t="inlineStr">
        <is>
          <t>No</t>
        </is>
      </c>
    </row>
    <row r="5">
      <c r="A5" t="inlineStr">
        <is>
          <t>GM-CMP-COR-001</t>
        </is>
      </c>
      <c r="B5" t="inlineStr">
        <is>
          <t>Corsair iCUE H150i RGB Elite (360mm AIO)</t>
        </is>
      </c>
      <c r="C5" t="n">
        <v>3233</v>
      </c>
      <c r="D5" s="22" t="inlineStr"/>
      <c r="E5" s="22" t="inlineStr"/>
      <c r="F5" t="inlineStr">
        <is>
          <t>No</t>
        </is>
      </c>
      <c r="G5" t="inlineStr">
        <is>
          <t>No</t>
        </is>
      </c>
      <c r="H5" t="inlineStr">
        <is>
          <t>No</t>
        </is>
      </c>
    </row>
    <row r="6">
      <c r="A6" t="inlineStr">
        <is>
          <t>GM-GPU-GIG-001</t>
        </is>
      </c>
      <c r="B6" t="inlineStr">
        <is>
          <t>Gigabyte AORUS RTX 5090 Master 32GB</t>
        </is>
      </c>
      <c r="C6" t="n">
        <v>3232</v>
      </c>
      <c r="D6" s="22" t="inlineStr"/>
      <c r="E6" s="22" t="inlineStr"/>
      <c r="F6" t="inlineStr">
        <is>
          <t>No</t>
        </is>
      </c>
      <c r="G6" t="inlineStr">
        <is>
          <t>No</t>
        </is>
      </c>
      <c r="H6" t="inlineStr">
        <is>
          <t>No</t>
        </is>
      </c>
    </row>
    <row r="7">
      <c r="A7" t="inlineStr">
        <is>
          <t>GM-GPU-NVD-002</t>
        </is>
      </c>
      <c r="B7" t="inlineStr">
        <is>
          <t>NVIDIA RTX 5080 Founders Edition (16GB)</t>
        </is>
      </c>
      <c r="C7" t="n">
        <v>3231</v>
      </c>
      <c r="D7" s="22" t="inlineStr"/>
      <c r="E7" s="22" t="inlineStr"/>
      <c r="F7" t="inlineStr">
        <is>
          <t>No</t>
        </is>
      </c>
      <c r="G7" t="inlineStr">
        <is>
          <t>No</t>
        </is>
      </c>
      <c r="H7" t="inlineStr">
        <is>
          <t>No</t>
        </is>
      </c>
    </row>
    <row r="8">
      <c r="A8" t="inlineStr">
        <is>
          <t>GM-GPU-NVD-001</t>
        </is>
      </c>
      <c r="B8" t="inlineStr">
        <is>
          <t>NVIDIA RTX 5090 Founders Edition (32GB)</t>
        </is>
      </c>
      <c r="C8" t="n">
        <v>3230</v>
      </c>
      <c r="D8" s="22" t="inlineStr"/>
      <c r="E8" s="22" t="inlineStr"/>
      <c r="F8" t="inlineStr">
        <is>
          <t>No</t>
        </is>
      </c>
      <c r="G8" t="inlineStr">
        <is>
          <t>No</t>
        </is>
      </c>
      <c r="H8" t="inlineStr">
        <is>
          <t>No</t>
        </is>
      </c>
    </row>
    <row r="9">
      <c r="A9" t="inlineStr">
        <is>
          <t>GM-STR-HPX-001</t>
        </is>
      </c>
      <c r="B9" t="inlineStr">
        <is>
          <t>HyperX QuadCast S USB Microphone</t>
        </is>
      </c>
      <c r="C9" t="n">
        <v>3229</v>
      </c>
      <c r="D9" s="22" t="inlineStr"/>
      <c r="E9" s="22" t="inlineStr"/>
      <c r="F9" t="inlineStr">
        <is>
          <t>No</t>
        </is>
      </c>
      <c r="G9" t="inlineStr">
        <is>
          <t>No</t>
        </is>
      </c>
      <c r="H9" t="inlineStr">
        <is>
          <t>No</t>
        </is>
      </c>
    </row>
    <row r="10">
      <c r="A10" t="inlineStr">
        <is>
          <t>GM-STR-ELG-001</t>
        </is>
      </c>
      <c r="B10" t="inlineStr">
        <is>
          <t>Elgato Stream Deck MK.2</t>
        </is>
      </c>
      <c r="C10" t="n">
        <v>3228</v>
      </c>
      <c r="D10" s="22" t="inlineStr"/>
      <c r="E10" s="22" t="inlineStr"/>
      <c r="F10" t="inlineStr">
        <is>
          <t>No</t>
        </is>
      </c>
      <c r="G10" t="inlineStr">
        <is>
          <t>No</t>
        </is>
      </c>
      <c r="H10" t="inlineStr">
        <is>
          <t>No</t>
        </is>
      </c>
    </row>
    <row r="11">
      <c r="A11" t="inlineStr">
        <is>
          <t>GM-CAP-AVR-001</t>
        </is>
      </c>
      <c r="B11" t="inlineStr">
        <is>
          <t>AVerMedia Live Gamer Ultra S</t>
        </is>
      </c>
      <c r="C11" t="n">
        <v>3227</v>
      </c>
      <c r="D11" s="22" t="inlineStr"/>
      <c r="E11" s="22" t="inlineStr"/>
      <c r="F11" t="inlineStr">
        <is>
          <t>No</t>
        </is>
      </c>
      <c r="G11" t="inlineStr">
        <is>
          <t>No</t>
        </is>
      </c>
      <c r="H11" t="inlineStr">
        <is>
          <t>No</t>
        </is>
      </c>
    </row>
    <row r="12">
      <c r="A12" t="inlineStr">
        <is>
          <t>GM-CAP-ELG-001</t>
        </is>
      </c>
      <c r="B12" t="inlineStr">
        <is>
          <t>Elgato HD60 X Capture Card</t>
        </is>
      </c>
      <c r="C12" t="n">
        <v>3226</v>
      </c>
      <c r="D12" s="22" t="inlineStr"/>
      <c r="E12" s="22" t="inlineStr"/>
      <c r="F12" t="inlineStr">
        <is>
          <t>No</t>
        </is>
      </c>
      <c r="G12" t="inlineStr">
        <is>
          <t>No</t>
        </is>
      </c>
      <c r="H12" t="inlineStr">
        <is>
          <t>No</t>
        </is>
      </c>
    </row>
    <row r="13">
      <c r="A13" t="inlineStr">
        <is>
          <t>GM-CTR-SON-001</t>
        </is>
      </c>
      <c r="B13" t="inlineStr">
        <is>
          <t>Sony DualSense Edge Controller</t>
        </is>
      </c>
      <c r="C13" t="n">
        <v>3225</v>
      </c>
      <c r="D13" s="22" t="inlineStr"/>
      <c r="E13" s="22" t="inlineStr"/>
      <c r="F13" t="inlineStr">
        <is>
          <t>No</t>
        </is>
      </c>
      <c r="G13" t="inlineStr">
        <is>
          <t>No</t>
        </is>
      </c>
      <c r="H13" t="inlineStr">
        <is>
          <t>No</t>
        </is>
      </c>
    </row>
    <row r="14">
      <c r="A14" t="inlineStr">
        <is>
          <t>GM-CTR-MSF-001</t>
        </is>
      </c>
      <c r="B14" t="inlineStr">
        <is>
          <t>Xbox Elite Controller Series 2 Core</t>
        </is>
      </c>
      <c r="C14" t="n">
        <v>3224</v>
      </c>
      <c r="D14" s="22" t="inlineStr"/>
      <c r="E14" s="22" t="inlineStr"/>
      <c r="F14" t="inlineStr">
        <is>
          <t>No</t>
        </is>
      </c>
      <c r="G14" t="inlineStr">
        <is>
          <t>No</t>
        </is>
      </c>
      <c r="H14" t="inlineStr">
        <is>
          <t>No</t>
        </is>
      </c>
    </row>
    <row r="15">
      <c r="A15" t="inlineStr">
        <is>
          <t>GM-RGB-GOV-001</t>
        </is>
      </c>
      <c r="B15" t="inlineStr">
        <is>
          <t>Govee DreamView G1 Pro Gaming Light</t>
        </is>
      </c>
      <c r="C15" t="n">
        <v>3223</v>
      </c>
      <c r="D15" s="22" t="inlineStr"/>
      <c r="E15" s="22" t="inlineStr"/>
      <c r="F15" t="inlineStr">
        <is>
          <t>No</t>
        </is>
      </c>
      <c r="G15" t="inlineStr">
        <is>
          <t>No</t>
        </is>
      </c>
      <c r="H15" t="inlineStr">
        <is>
          <t>No</t>
        </is>
      </c>
    </row>
    <row r="16">
      <c r="A16" t="inlineStr">
        <is>
          <t>GM-RGB-COR-001</t>
        </is>
      </c>
      <c r="B16" t="inlineStr">
        <is>
          <t>Corsair iCUE LC100 Lighting Panels</t>
        </is>
      </c>
      <c r="C16" t="n">
        <v>3222</v>
      </c>
      <c r="D16" s="22" t="inlineStr"/>
      <c r="E16" s="22" t="inlineStr"/>
      <c r="F16" t="inlineStr">
        <is>
          <t>No</t>
        </is>
      </c>
      <c r="G16" t="inlineStr">
        <is>
          <t>No</t>
        </is>
      </c>
      <c r="H16" t="inlineStr">
        <is>
          <t>No</t>
        </is>
      </c>
    </row>
    <row r="17">
      <c r="A17" t="inlineStr">
        <is>
          <t>GM-CHR-RAZ-001</t>
        </is>
      </c>
      <c r="B17" t="inlineStr">
        <is>
          <t>Razer Iskur V2 NewGen</t>
        </is>
      </c>
      <c r="C17" t="n">
        <v>3221</v>
      </c>
      <c r="D17" s="22" t="inlineStr"/>
      <c r="E17" s="22" t="inlineStr"/>
      <c r="F17" t="inlineStr">
        <is>
          <t>No</t>
        </is>
      </c>
      <c r="G17" t="inlineStr">
        <is>
          <t>No</t>
        </is>
      </c>
      <c r="H17" t="inlineStr">
        <is>
          <t>No</t>
        </is>
      </c>
    </row>
    <row r="18">
      <c r="A18" t="inlineStr">
        <is>
          <t>GM-CHR-SEC-001</t>
        </is>
      </c>
      <c r="B18" t="inlineStr">
        <is>
          <t>Secretlab Titan Evo</t>
        </is>
      </c>
      <c r="C18" t="n">
        <v>3220</v>
      </c>
      <c r="D18" s="22" t="inlineStr"/>
      <c r="E18" s="22" t="inlineStr"/>
      <c r="F18" t="inlineStr">
        <is>
          <t>No</t>
        </is>
      </c>
      <c r="G18" t="inlineStr">
        <is>
          <t>No</t>
        </is>
      </c>
      <c r="H18" t="inlineStr">
        <is>
          <t>No</t>
        </is>
      </c>
    </row>
    <row r="19">
      <c r="A19" t="inlineStr">
        <is>
          <t>GM-HST-RAZ-001</t>
        </is>
      </c>
      <c r="B19" t="inlineStr">
        <is>
          <t>Razer BlackShark V2 Pro 2023</t>
        </is>
      </c>
      <c r="C19" t="n">
        <v>3219</v>
      </c>
      <c r="D19" s="22" t="inlineStr"/>
      <c r="E19" s="22" t="inlineStr"/>
      <c r="F19" t="inlineStr">
        <is>
          <t>No</t>
        </is>
      </c>
      <c r="G19" t="inlineStr">
        <is>
          <t>No</t>
        </is>
      </c>
      <c r="H19" t="inlineStr">
        <is>
          <t>No</t>
        </is>
      </c>
    </row>
    <row r="20">
      <c r="A20" t="inlineStr">
        <is>
          <t>GM-HST-STS-001</t>
        </is>
      </c>
      <c r="B20" t="inlineStr">
        <is>
          <t>SteelSeries Arctis Nova 7 Wireless</t>
        </is>
      </c>
      <c r="C20" t="n">
        <v>3218</v>
      </c>
      <c r="D20" s="22" t="inlineStr"/>
      <c r="E20" s="22" t="inlineStr"/>
      <c r="F20" t="inlineStr">
        <is>
          <t>No</t>
        </is>
      </c>
      <c r="G20" t="inlineStr">
        <is>
          <t>No</t>
        </is>
      </c>
      <c r="H20" t="inlineStr">
        <is>
          <t>No</t>
        </is>
      </c>
    </row>
    <row r="21">
      <c r="A21" t="inlineStr">
        <is>
          <t>GM-HST-HPX-001</t>
        </is>
      </c>
      <c r="B21" t="inlineStr">
        <is>
          <t>HyperX Cloud Alpha Wireless (300hr)</t>
        </is>
      </c>
      <c r="C21" t="n">
        <v>3217</v>
      </c>
      <c r="D21" s="22" t="inlineStr"/>
      <c r="E21" s="22" t="inlineStr"/>
      <c r="F21" t="inlineStr">
        <is>
          <t>No</t>
        </is>
      </c>
      <c r="G21" t="inlineStr">
        <is>
          <t>No</t>
        </is>
      </c>
      <c r="H21" t="inlineStr">
        <is>
          <t>No</t>
        </is>
      </c>
    </row>
    <row r="22">
      <c r="A22" t="inlineStr">
        <is>
          <t>GM-MOU-RAZ-002</t>
        </is>
      </c>
      <c r="B22" t="inlineStr">
        <is>
          <t>Razer Viper V3 Pro (54g Wireless)</t>
        </is>
      </c>
      <c r="C22" t="n">
        <v>3216</v>
      </c>
      <c r="D22" s="22" t="inlineStr"/>
      <c r="E22" s="22" t="inlineStr"/>
      <c r="F22" t="inlineStr">
        <is>
          <t>No</t>
        </is>
      </c>
      <c r="G22" t="inlineStr">
        <is>
          <t>No</t>
        </is>
      </c>
      <c r="H22" t="inlineStr">
        <is>
          <t>No</t>
        </is>
      </c>
    </row>
    <row r="23">
      <c r="A23" t="inlineStr">
        <is>
          <t>GM-MOU-LOG-001</t>
        </is>
      </c>
      <c r="B23" t="inlineStr">
        <is>
          <t>Logitech G Pro X Superlight 2 DEX</t>
        </is>
      </c>
      <c r="C23" t="n">
        <v>3215</v>
      </c>
      <c r="D23" s="22" t="inlineStr"/>
      <c r="E23" s="22" t="inlineStr"/>
      <c r="F23" t="inlineStr">
        <is>
          <t>No</t>
        </is>
      </c>
      <c r="G23" t="inlineStr">
        <is>
          <t>No</t>
        </is>
      </c>
      <c r="H23" t="inlineStr">
        <is>
          <t>No</t>
        </is>
      </c>
    </row>
    <row r="24">
      <c r="A24" t="inlineStr">
        <is>
          <t>GM-MOU-RAZ-001</t>
        </is>
      </c>
      <c r="B24" t="inlineStr">
        <is>
          <t>Razer DeathAdder V4 Pro (57g Wireless)</t>
        </is>
      </c>
      <c r="C24" t="n">
        <v>3214</v>
      </c>
      <c r="D24" s="22" t="inlineStr"/>
      <c r="E24" s="22" t="inlineStr"/>
      <c r="F24" t="inlineStr">
        <is>
          <t>No</t>
        </is>
      </c>
      <c r="G24" t="inlineStr">
        <is>
          <t>No</t>
        </is>
      </c>
      <c r="H24" t="inlineStr">
        <is>
          <t>No</t>
        </is>
      </c>
    </row>
    <row r="25">
      <c r="A25" t="inlineStr">
        <is>
          <t>GM-KBD-KEY-001</t>
        </is>
      </c>
      <c r="B25" t="inlineStr">
        <is>
          <t>Keychron K10 HE (Arabic Layout)</t>
        </is>
      </c>
      <c r="C25" t="n">
        <v>3213</v>
      </c>
      <c r="D25" s="22" t="inlineStr"/>
      <c r="E25" s="22" t="inlineStr"/>
      <c r="F25" t="inlineStr">
        <is>
          <t>No</t>
        </is>
      </c>
      <c r="G25" t="inlineStr">
        <is>
          <t>No</t>
        </is>
      </c>
      <c r="H25" t="inlineStr">
        <is>
          <t>No</t>
        </is>
      </c>
    </row>
    <row r="26">
      <c r="A26" t="inlineStr">
        <is>
          <t>GM-KBD-LOG-001</t>
        </is>
      </c>
      <c r="B26" t="inlineStr">
        <is>
          <t>Logitech G Pro X TKL LIGHTSPEED</t>
        </is>
      </c>
      <c r="C26" t="n">
        <v>3212</v>
      </c>
      <c r="D26" s="22" t="inlineStr"/>
      <c r="E26" s="22" t="inlineStr"/>
      <c r="F26" t="inlineStr">
        <is>
          <t>No</t>
        </is>
      </c>
      <c r="G26" t="inlineStr">
        <is>
          <t>No</t>
        </is>
      </c>
      <c r="H26" t="inlineStr">
        <is>
          <t>No</t>
        </is>
      </c>
    </row>
    <row r="27">
      <c r="A27" t="inlineStr">
        <is>
          <t>GM-KBD-COR-001</t>
        </is>
      </c>
      <c r="B27" t="inlineStr">
        <is>
          <t>Corsair K70 MAX RGB</t>
        </is>
      </c>
      <c r="C27" t="n">
        <v>3211</v>
      </c>
      <c r="D27" s="22" t="inlineStr"/>
      <c r="E27" s="22" t="inlineStr"/>
      <c r="F27" t="inlineStr">
        <is>
          <t>No</t>
        </is>
      </c>
      <c r="G27" t="inlineStr">
        <is>
          <t>No</t>
        </is>
      </c>
      <c r="H27" t="inlineStr">
        <is>
          <t>No</t>
        </is>
      </c>
    </row>
    <row r="28">
      <c r="A28" t="inlineStr">
        <is>
          <t>GM-KBD-RAZ-001</t>
        </is>
      </c>
      <c r="B28" t="inlineStr">
        <is>
          <t>Razer Huntsman V3 Pro TKL</t>
        </is>
      </c>
      <c r="C28" t="n">
        <v>3210</v>
      </c>
      <c r="D28" s="22" t="inlineStr"/>
      <c r="E28" s="22" t="inlineStr"/>
      <c r="F28" t="inlineStr">
        <is>
          <t>No</t>
        </is>
      </c>
      <c r="G28" t="inlineStr">
        <is>
          <t>No</t>
        </is>
      </c>
      <c r="H28" t="inlineStr">
        <is>
          <t>No</t>
        </is>
      </c>
    </row>
    <row r="29">
      <c r="A29" t="inlineStr">
        <is>
          <t>GM-MON-DEL-001</t>
        </is>
      </c>
      <c r="B29" t="inlineStr">
        <is>
          <t>Dell Alienware AW2725DF (27" QD-OLED 360Hz)</t>
        </is>
      </c>
      <c r="C29" t="n">
        <v>3209</v>
      </c>
      <c r="D29" s="22" t="inlineStr"/>
      <c r="E29" s="22" t="inlineStr"/>
      <c r="F29" t="inlineStr">
        <is>
          <t>No</t>
        </is>
      </c>
      <c r="G29" t="inlineStr">
        <is>
          <t>No</t>
        </is>
      </c>
      <c r="H29" t="inlineStr">
        <is>
          <t>No</t>
        </is>
      </c>
    </row>
    <row r="30">
      <c r="A30" t="inlineStr">
        <is>
          <t>GM-MON-LGE-001</t>
        </is>
      </c>
      <c r="B30" t="inlineStr">
        <is>
          <t>LG UltraGear OLED 27GR95QE-B (27" QHD 240Hz)</t>
        </is>
      </c>
      <c r="C30" t="n">
        <v>3208</v>
      </c>
      <c r="D30" s="22" t="inlineStr"/>
      <c r="E30" s="22" t="inlineStr"/>
      <c r="F30" t="inlineStr">
        <is>
          <t>No</t>
        </is>
      </c>
      <c r="G30" t="inlineStr">
        <is>
          <t>No</t>
        </is>
      </c>
      <c r="H30" t="inlineStr">
        <is>
          <t>No</t>
        </is>
      </c>
    </row>
    <row r="31">
      <c r="A31" t="inlineStr">
        <is>
          <t>GM-MON-SAM-002</t>
        </is>
      </c>
      <c r="B31" t="inlineStr">
        <is>
          <t>Samsung Odyssey G7 G70D (32" 4K 144Hz)</t>
        </is>
      </c>
      <c r="C31" t="n">
        <v>3207</v>
      </c>
      <c r="D31" s="22" t="inlineStr"/>
      <c r="E31" s="22" t="inlineStr"/>
      <c r="F31" t="inlineStr">
        <is>
          <t>No</t>
        </is>
      </c>
      <c r="G31" t="inlineStr">
        <is>
          <t>No</t>
        </is>
      </c>
      <c r="H31" t="inlineStr">
        <is>
          <t>No</t>
        </is>
      </c>
    </row>
    <row r="32">
      <c r="A32" t="inlineStr">
        <is>
          <t>GM-MON-SAM-001</t>
        </is>
      </c>
      <c r="B32" t="inlineStr">
        <is>
          <t>Samsung Odyssey OLED G8 (34" UWQHD 175Hz)</t>
        </is>
      </c>
      <c r="C32" t="n">
        <v>3206</v>
      </c>
      <c r="D32" s="22" t="inlineStr"/>
      <c r="E32" s="22" t="inlineStr"/>
      <c r="F32" t="inlineStr">
        <is>
          <t>No</t>
        </is>
      </c>
      <c r="G32" t="inlineStr">
        <is>
          <t>No</t>
        </is>
      </c>
      <c r="H32" t="inlineStr">
        <is>
          <t>No</t>
        </is>
      </c>
    </row>
    <row r="33">
      <c r="A33" t="inlineStr">
        <is>
          <t>GM-MON-ASU-001</t>
        </is>
      </c>
      <c r="B33" t="inlineStr">
        <is>
          <t>ASUS ROG Swift OLED PG27AQDM (27" QHD 240Hz)</t>
        </is>
      </c>
      <c r="C33" t="n">
        <v>3205</v>
      </c>
      <c r="D33" s="22" t="inlineStr"/>
      <c r="E33" s="22" t="inlineStr"/>
      <c r="F33" t="inlineStr">
        <is>
          <t>No</t>
        </is>
      </c>
      <c r="G33" t="inlineStr">
        <is>
          <t>No</t>
        </is>
      </c>
      <c r="H33" t="inlineStr">
        <is>
          <t>No</t>
        </is>
      </c>
    </row>
    <row r="34">
      <c r="A34" t="inlineStr">
        <is>
          <t>NT-MPC-DEL-001</t>
        </is>
      </c>
      <c r="B34" t="inlineStr">
        <is>
          <t>Dell OptiPlex 7070 Micro (Refurb)</t>
        </is>
      </c>
      <c r="C34" t="n">
        <v>3204</v>
      </c>
      <c r="D34" s="22" t="inlineStr"/>
      <c r="E34" s="22" t="inlineStr"/>
      <c r="F34" t="inlineStr">
        <is>
          <t>No</t>
        </is>
      </c>
      <c r="G34" t="inlineStr">
        <is>
          <t>No</t>
        </is>
      </c>
      <c r="H34" t="inlineStr">
        <is>
          <t>No</t>
        </is>
      </c>
    </row>
    <row r="35">
      <c r="A35" t="inlineStr">
        <is>
          <t>NT-MPC-BLK-002</t>
        </is>
      </c>
      <c r="B35" t="inlineStr">
        <is>
          <t>Beelink EQ12 (Intel N100)</t>
        </is>
      </c>
      <c r="C35" t="n">
        <v>3203</v>
      </c>
      <c r="D35" s="22" t="inlineStr"/>
      <c r="E35" s="22" t="inlineStr"/>
      <c r="F35" t="inlineStr">
        <is>
          <t>No</t>
        </is>
      </c>
      <c r="G35" t="inlineStr">
        <is>
          <t>No</t>
        </is>
      </c>
      <c r="H35" t="inlineStr">
        <is>
          <t>No</t>
        </is>
      </c>
    </row>
    <row r="36">
      <c r="A36" t="inlineStr">
        <is>
          <t>NT-MPC-BLK-001</t>
        </is>
      </c>
      <c r="B36" t="inlineStr">
        <is>
          <t>Beelink SER7 (Ryzen 7 7735HS)</t>
        </is>
      </c>
      <c r="C36" t="n">
        <v>3202</v>
      </c>
      <c r="D36" s="22" t="inlineStr"/>
      <c r="E36" s="22" t="inlineStr"/>
      <c r="F36" t="inlineStr">
        <is>
          <t>No</t>
        </is>
      </c>
      <c r="G36" t="inlineStr">
        <is>
          <t>No</t>
        </is>
      </c>
      <c r="H36" t="inlineStr">
        <is>
          <t>No</t>
        </is>
      </c>
    </row>
    <row r="37">
      <c r="A37" t="inlineStr">
        <is>
          <t>NT-MPC-MNF-001</t>
        </is>
      </c>
      <c r="B37" t="inlineStr">
        <is>
          <t>MinisForum MS-01 (Homelab Server)</t>
        </is>
      </c>
      <c r="C37" t="n">
        <v>3201</v>
      </c>
      <c r="D37" s="22" t="inlineStr"/>
      <c r="E37" s="22" t="inlineStr"/>
      <c r="F37" t="inlineStr">
        <is>
          <t>No</t>
        </is>
      </c>
      <c r="G37" t="inlineStr">
        <is>
          <t>No</t>
        </is>
      </c>
      <c r="H37" t="inlineStr">
        <is>
          <t>No</t>
        </is>
      </c>
    </row>
    <row r="38">
      <c r="A38" t="inlineStr">
        <is>
          <t>NT-POE-TPL-001</t>
        </is>
      </c>
      <c r="B38" t="inlineStr">
        <is>
          <t>TP-Link TL-SG1005P 5-Port PoE</t>
        </is>
      </c>
      <c r="C38" t="n">
        <v>3200</v>
      </c>
      <c r="D38" s="22" t="inlineStr"/>
      <c r="E38" s="22" t="inlineStr"/>
      <c r="F38" t="inlineStr">
        <is>
          <t>No</t>
        </is>
      </c>
      <c r="G38" t="inlineStr">
        <is>
          <t>No</t>
        </is>
      </c>
      <c r="H38" t="inlineStr">
        <is>
          <t>No</t>
        </is>
      </c>
    </row>
    <row r="39">
      <c r="A39" t="inlineStr">
        <is>
          <t>NT-POE-UBQ-001</t>
        </is>
      </c>
      <c r="B39" t="inlineStr">
        <is>
          <t>Ubiquiti USW-Lite-8-PoE</t>
        </is>
      </c>
      <c r="C39" t="n">
        <v>3199</v>
      </c>
      <c r="D39" s="22" t="inlineStr"/>
      <c r="E39" s="22" t="inlineStr"/>
      <c r="F39" t="inlineStr">
        <is>
          <t>No</t>
        </is>
      </c>
      <c r="G39" t="inlineStr">
        <is>
          <t>No</t>
        </is>
      </c>
      <c r="H39" t="inlineStr">
        <is>
          <t>No</t>
        </is>
      </c>
    </row>
    <row r="40">
      <c r="A40" t="inlineStr">
        <is>
          <t>NT-KVM-ATN-001</t>
        </is>
      </c>
      <c r="B40" t="inlineStr">
        <is>
          <t>ATEN CS1924M 4-Port DP KVM</t>
        </is>
      </c>
      <c r="C40" t="n">
        <v>3198</v>
      </c>
      <c r="D40" s="22" t="inlineStr"/>
      <c r="E40" s="22" t="inlineStr"/>
      <c r="F40" t="inlineStr">
        <is>
          <t>No</t>
        </is>
      </c>
      <c r="G40" t="inlineStr">
        <is>
          <t>No</t>
        </is>
      </c>
      <c r="H40" t="inlineStr">
        <is>
          <t>No</t>
        </is>
      </c>
    </row>
    <row r="41">
      <c r="A41" t="inlineStr">
        <is>
          <t>NT-KVM-TES-001</t>
        </is>
      </c>
      <c r="B41" t="inlineStr">
        <is>
          <t>TESmart HKS0401A1U 4-Port HDMI KVM</t>
        </is>
      </c>
      <c r="C41" t="n">
        <v>3197</v>
      </c>
      <c r="D41" s="22" t="inlineStr"/>
      <c r="E41" s="22" t="inlineStr"/>
      <c r="F41" t="inlineStr">
        <is>
          <t>No</t>
        </is>
      </c>
      <c r="G41" t="inlineStr">
        <is>
          <t>No</t>
        </is>
      </c>
      <c r="H41" t="inlineStr">
        <is>
          <t>No</t>
        </is>
      </c>
    </row>
    <row r="42">
      <c r="A42" t="inlineStr">
        <is>
          <t>NT-FWL-FTN-001</t>
        </is>
      </c>
      <c r="B42" t="inlineStr">
        <is>
          <t>Fortinet FortiGate 60F</t>
        </is>
      </c>
      <c r="C42" t="n">
        <v>3196</v>
      </c>
      <c r="D42" s="22" t="inlineStr"/>
      <c r="E42" s="22" t="inlineStr"/>
      <c r="F42" t="inlineStr">
        <is>
          <t>No</t>
        </is>
      </c>
      <c r="G42" t="inlineStr">
        <is>
          <t>No</t>
        </is>
      </c>
      <c r="H42" t="inlineStr">
        <is>
          <t>No</t>
        </is>
      </c>
    </row>
    <row r="43">
      <c r="A43" t="inlineStr">
        <is>
          <t>NT-FWL-NGT-002</t>
        </is>
      </c>
      <c r="B43" t="inlineStr">
        <is>
          <t>Netgate 2100 MAX pfSense+ Gateway</t>
        </is>
      </c>
      <c r="C43" t="n">
        <v>3195</v>
      </c>
      <c r="D43" s="22" t="inlineStr"/>
      <c r="E43" s="22" t="inlineStr"/>
      <c r="F43" t="inlineStr">
        <is>
          <t>No</t>
        </is>
      </c>
      <c r="G43" t="inlineStr">
        <is>
          <t>No</t>
        </is>
      </c>
      <c r="H43" t="inlineStr">
        <is>
          <t>No</t>
        </is>
      </c>
    </row>
    <row r="44">
      <c r="A44" t="inlineStr">
        <is>
          <t>NT-FWL-NGT-001</t>
        </is>
      </c>
      <c r="B44" t="inlineStr">
        <is>
          <t>Netgate 4200 MAX pfSense+ Gateway</t>
        </is>
      </c>
      <c r="C44" t="n">
        <v>3194</v>
      </c>
      <c r="D44" s="22" t="inlineStr"/>
      <c r="E44" s="22" t="inlineStr"/>
      <c r="F44" t="inlineStr">
        <is>
          <t>No</t>
        </is>
      </c>
      <c r="G44" t="inlineStr">
        <is>
          <t>No</t>
        </is>
      </c>
      <c r="H44" t="inlineStr">
        <is>
          <t>No</t>
        </is>
      </c>
    </row>
    <row r="45">
      <c r="A45" t="inlineStr">
        <is>
          <t>NT-CBL-GEN-001</t>
        </is>
      </c>
      <c r="B45" t="inlineStr">
        <is>
          <t>Cat6a Shielded Bulk Cable (305m)</t>
        </is>
      </c>
      <c r="C45" t="n">
        <v>3193</v>
      </c>
      <c r="D45" s="22" t="inlineStr"/>
      <c r="E45" s="22" t="inlineStr"/>
      <c r="F45" t="inlineStr">
        <is>
          <t>No</t>
        </is>
      </c>
      <c r="G45" t="inlineStr">
        <is>
          <t>No</t>
        </is>
      </c>
      <c r="H45" t="inlineStr">
        <is>
          <t>No</t>
        </is>
      </c>
    </row>
    <row r="46">
      <c r="A46" t="inlineStr">
        <is>
          <t>NT-CBL-FSC-001</t>
        </is>
      </c>
      <c r="B46" t="inlineStr">
        <is>
          <t>10G SFP+ DAC Twinax Cable (1m)</t>
        </is>
      </c>
      <c r="C46" t="n">
        <v>3192</v>
      </c>
      <c r="D46" s="22" t="inlineStr"/>
      <c r="E46" s="22" t="inlineStr"/>
      <c r="F46" t="inlineStr">
        <is>
          <t>No</t>
        </is>
      </c>
      <c r="G46" t="inlineStr">
        <is>
          <t>No</t>
        </is>
      </c>
      <c r="H46" t="inlineStr">
        <is>
          <t>No</t>
        </is>
      </c>
    </row>
    <row r="47">
      <c r="A47" t="inlineStr">
        <is>
          <t>NT-SFP-FSC-001</t>
        </is>
      </c>
      <c r="B47" t="inlineStr">
        <is>
          <t>FS.com 10GBASE-SR SFP+ Transceiver</t>
        </is>
      </c>
      <c r="C47" t="n">
        <v>3191</v>
      </c>
      <c r="D47" s="22" t="inlineStr"/>
      <c r="E47" s="22" t="inlineStr"/>
      <c r="F47" t="inlineStr">
        <is>
          <t>No</t>
        </is>
      </c>
      <c r="G47" t="inlineStr">
        <is>
          <t>No</t>
        </is>
      </c>
      <c r="H47" t="inlineStr">
        <is>
          <t>No</t>
        </is>
      </c>
    </row>
    <row r="48">
      <c r="A48" t="inlineStr">
        <is>
          <t>NT-SRV-NVP-001</t>
        </is>
      </c>
      <c r="B48" t="inlineStr">
        <is>
          <t>NavePoint 1U Cantilever Rack Shelf</t>
        </is>
      </c>
      <c r="C48" t="n">
        <v>3190</v>
      </c>
      <c r="D48" s="22" t="inlineStr"/>
      <c r="E48" s="22" t="inlineStr"/>
      <c r="F48" t="inlineStr">
        <is>
          <t>No</t>
        </is>
      </c>
      <c r="G48" t="inlineStr">
        <is>
          <t>No</t>
        </is>
      </c>
      <c r="H48" t="inlineStr">
        <is>
          <t>No</t>
        </is>
      </c>
    </row>
    <row r="49">
      <c r="A49" t="inlineStr">
        <is>
          <t>NT-SRV-CBM-001</t>
        </is>
      </c>
      <c r="B49" t="inlineStr">
        <is>
          <t>Cable Matters 24-Port Cat6 Patch Panel (1U)</t>
        </is>
      </c>
      <c r="C49" t="n">
        <v>3189</v>
      </c>
      <c r="D49" s="22" t="inlineStr"/>
      <c r="E49" s="22" t="inlineStr"/>
      <c r="F49" t="inlineStr">
        <is>
          <t>No</t>
        </is>
      </c>
      <c r="G49" t="inlineStr">
        <is>
          <t>No</t>
        </is>
      </c>
      <c r="H49" t="inlineStr">
        <is>
          <t>No</t>
        </is>
      </c>
    </row>
    <row r="50">
      <c r="A50" t="inlineStr">
        <is>
          <t>NT-SRV-STC-001</t>
        </is>
      </c>
      <c r="B50" t="inlineStr">
        <is>
          <t>StarTech RK12WALLOA 12U Wall-Mount Rack</t>
        </is>
      </c>
      <c r="C50" t="n">
        <v>3188</v>
      </c>
      <c r="D50" s="22" t="inlineStr"/>
      <c r="E50" s="22" t="inlineStr"/>
      <c r="F50" t="inlineStr">
        <is>
          <t>No</t>
        </is>
      </c>
      <c r="G50" t="inlineStr">
        <is>
          <t>No</t>
        </is>
      </c>
      <c r="H50" t="inlineStr">
        <is>
          <t>No</t>
        </is>
      </c>
    </row>
    <row r="51">
      <c r="A51" t="inlineStr">
        <is>
          <t>NT-UPS-APC-002</t>
        </is>
      </c>
      <c r="B51" t="inlineStr">
        <is>
          <t>APC Back-UPS Pro BX1500M (Tower)</t>
        </is>
      </c>
      <c r="C51" t="n">
        <v>3187</v>
      </c>
      <c r="D51" s="22" t="inlineStr"/>
      <c r="E51" s="22" t="inlineStr"/>
      <c r="F51" t="inlineStr">
        <is>
          <t>No</t>
        </is>
      </c>
      <c r="G51" t="inlineStr">
        <is>
          <t>No</t>
        </is>
      </c>
      <c r="H51" t="inlineStr">
        <is>
          <t>No</t>
        </is>
      </c>
    </row>
    <row r="52">
      <c r="A52" t="inlineStr">
        <is>
          <t>NT-UPS-CYB-001</t>
        </is>
      </c>
      <c r="B52" t="inlineStr">
        <is>
          <t>CyberPower OR1500LCDRM1U (1500VA 1U)</t>
        </is>
      </c>
      <c r="C52" t="n">
        <v>3186</v>
      </c>
      <c r="D52" s="22" t="inlineStr"/>
      <c r="E52" s="22" t="inlineStr"/>
      <c r="F52" t="inlineStr">
        <is>
          <t>No</t>
        </is>
      </c>
      <c r="G52" t="inlineStr">
        <is>
          <t>No</t>
        </is>
      </c>
      <c r="H52" t="inlineStr">
        <is>
          <t>No</t>
        </is>
      </c>
    </row>
    <row r="53">
      <c r="A53" t="inlineStr">
        <is>
          <t>NT-UPS-APC-001</t>
        </is>
      </c>
      <c r="B53" t="inlineStr">
        <is>
          <t>APC Smart-UPS SMT1500RM2UC (1500VA Rack)</t>
        </is>
      </c>
      <c r="C53" t="n">
        <v>3185</v>
      </c>
      <c r="D53" s="22" t="inlineStr"/>
      <c r="E53" s="22" t="inlineStr"/>
      <c r="F53" t="inlineStr">
        <is>
          <t>No</t>
        </is>
      </c>
      <c r="G53" t="inlineStr">
        <is>
          <t>No</t>
        </is>
      </c>
      <c r="H53" t="inlineStr">
        <is>
          <t>No</t>
        </is>
      </c>
    </row>
    <row r="54">
      <c r="A54" t="inlineStr">
        <is>
          <t>NT-NAS-QNP-002</t>
        </is>
      </c>
      <c r="B54" t="inlineStr">
        <is>
          <t>QNAP TS-262-4G (2-Bay)</t>
        </is>
      </c>
      <c r="C54" t="n">
        <v>3184</v>
      </c>
      <c r="D54" s="22" t="inlineStr"/>
      <c r="E54" s="22" t="inlineStr"/>
      <c r="F54" t="inlineStr">
        <is>
          <t>No</t>
        </is>
      </c>
      <c r="G54" t="inlineStr">
        <is>
          <t>No</t>
        </is>
      </c>
      <c r="H54" t="inlineStr">
        <is>
          <t>No</t>
        </is>
      </c>
    </row>
    <row r="55">
      <c r="A55" t="inlineStr">
        <is>
          <t>NT-NAS-QNP-001</t>
        </is>
      </c>
      <c r="B55" t="inlineStr">
        <is>
          <t>QNAP TS-464-8G (4-Bay)</t>
        </is>
      </c>
      <c r="C55" t="n">
        <v>3183</v>
      </c>
      <c r="D55" s="22" t="inlineStr"/>
      <c r="E55" s="22" t="inlineStr"/>
      <c r="F55" t="inlineStr">
        <is>
          <t>No</t>
        </is>
      </c>
      <c r="G55" t="inlineStr">
        <is>
          <t>No</t>
        </is>
      </c>
      <c r="H55" t="inlineStr">
        <is>
          <t>No</t>
        </is>
      </c>
    </row>
    <row r="56">
      <c r="A56" t="inlineStr">
        <is>
          <t>NT-NAS-SYN-002</t>
        </is>
      </c>
      <c r="B56" t="inlineStr">
        <is>
          <t>Synology DS925+ (4-Bay)</t>
        </is>
      </c>
      <c r="C56" t="n">
        <v>3182</v>
      </c>
      <c r="D56" s="22" t="inlineStr"/>
      <c r="E56" s="22" t="inlineStr"/>
      <c r="F56" t="inlineStr">
        <is>
          <t>No</t>
        </is>
      </c>
      <c r="G56" t="inlineStr">
        <is>
          <t>No</t>
        </is>
      </c>
      <c r="H56" t="inlineStr">
        <is>
          <t>No</t>
        </is>
      </c>
    </row>
    <row r="57">
      <c r="A57" t="inlineStr">
        <is>
          <t>NT-NAS-SYN-001</t>
        </is>
      </c>
      <c r="B57" t="inlineStr">
        <is>
          <t>Synology DS225+ (2-Bay)</t>
        </is>
      </c>
      <c r="C57" t="n">
        <v>3181</v>
      </c>
      <c r="D57" s="22" t="inlineStr"/>
      <c r="E57" s="22" t="inlineStr"/>
      <c r="F57" t="inlineStr">
        <is>
          <t>No</t>
        </is>
      </c>
      <c r="G57" t="inlineStr">
        <is>
          <t>No</t>
        </is>
      </c>
      <c r="H57" t="inlineStr">
        <is>
          <t>No</t>
        </is>
      </c>
    </row>
    <row r="58">
      <c r="A58" t="inlineStr">
        <is>
          <t>NT-WAP-TPL-002</t>
        </is>
      </c>
      <c r="B58" t="inlineStr">
        <is>
          <t>TP-Link Omada EAP650</t>
        </is>
      </c>
      <c r="C58" t="n">
        <v>3180</v>
      </c>
      <c r="D58" s="22" t="inlineStr"/>
      <c r="E58" s="22" t="inlineStr"/>
      <c r="F58" t="inlineStr">
        <is>
          <t>No</t>
        </is>
      </c>
      <c r="G58" t="inlineStr">
        <is>
          <t>No</t>
        </is>
      </c>
      <c r="H58" t="inlineStr">
        <is>
          <t>No</t>
        </is>
      </c>
    </row>
    <row r="59">
      <c r="A59" t="inlineStr">
        <is>
          <t>NT-WAP-TPL-001</t>
        </is>
      </c>
      <c r="B59" t="inlineStr">
        <is>
          <t>TP-Link Omada EAP610</t>
        </is>
      </c>
      <c r="C59" t="n">
        <v>3179</v>
      </c>
      <c r="D59" s="22" t="inlineStr"/>
      <c r="E59" s="22" t="inlineStr"/>
      <c r="F59" t="inlineStr">
        <is>
          <t>No</t>
        </is>
      </c>
      <c r="G59" t="inlineStr">
        <is>
          <t>No</t>
        </is>
      </c>
      <c r="H59" t="inlineStr">
        <is>
          <t>No</t>
        </is>
      </c>
    </row>
    <row r="60">
      <c r="A60" t="inlineStr">
        <is>
          <t>NT-WAP-UBQ-002</t>
        </is>
      </c>
      <c r="B60" t="inlineStr">
        <is>
          <t>Ubiquiti UniFi U7 Pro</t>
        </is>
      </c>
      <c r="C60" t="n">
        <v>3178</v>
      </c>
      <c r="D60" s="22" t="inlineStr"/>
      <c r="E60" s="22" t="inlineStr"/>
      <c r="F60" t="inlineStr">
        <is>
          <t>No</t>
        </is>
      </c>
      <c r="G60" t="inlineStr">
        <is>
          <t>No</t>
        </is>
      </c>
      <c r="H60" t="inlineStr">
        <is>
          <t>No</t>
        </is>
      </c>
    </row>
    <row r="61">
      <c r="A61" t="inlineStr">
        <is>
          <t>NT-WAP-UBQ-001</t>
        </is>
      </c>
      <c r="B61" t="inlineStr">
        <is>
          <t>Ubiquiti UniFi U6 Pro</t>
        </is>
      </c>
      <c r="C61" t="n">
        <v>3177</v>
      </c>
      <c r="D61" s="22" t="inlineStr"/>
      <c r="E61" s="22" t="inlineStr"/>
      <c r="F61" t="inlineStr">
        <is>
          <t>No</t>
        </is>
      </c>
      <c r="G61" t="inlineStr">
        <is>
          <t>No</t>
        </is>
      </c>
      <c r="H61" t="inlineStr">
        <is>
          <t>No</t>
        </is>
      </c>
    </row>
    <row r="62">
      <c r="A62" t="inlineStr">
        <is>
          <t>NT-NET-UBQ-001</t>
        </is>
      </c>
      <c r="B62" t="inlineStr">
        <is>
          <t>Ubiquiti USW-Pro-24-PoE</t>
        </is>
      </c>
      <c r="C62" t="n">
        <v>3176</v>
      </c>
      <c r="D62" s="22" t="inlineStr"/>
      <c r="E62" s="22" t="inlineStr"/>
      <c r="F62" t="inlineStr">
        <is>
          <t>No</t>
        </is>
      </c>
      <c r="G62" t="inlineStr">
        <is>
          <t>No</t>
        </is>
      </c>
      <c r="H62" t="inlineStr">
        <is>
          <t>No</t>
        </is>
      </c>
    </row>
    <row r="63">
      <c r="A63" t="inlineStr">
        <is>
          <t>NT-NET-MKT-004</t>
        </is>
      </c>
      <c r="B63" t="inlineStr">
        <is>
          <t>MikroTik CRS312-4C+8XG-RM</t>
        </is>
      </c>
      <c r="C63" t="n">
        <v>3175</v>
      </c>
      <c r="D63" s="22" t="inlineStr"/>
      <c r="E63" s="22" t="inlineStr"/>
      <c r="F63" t="inlineStr">
        <is>
          <t>No</t>
        </is>
      </c>
      <c r="G63" t="inlineStr">
        <is>
          <t>No</t>
        </is>
      </c>
      <c r="H63" t="inlineStr">
        <is>
          <t>No</t>
        </is>
      </c>
    </row>
    <row r="64">
      <c r="A64" t="inlineStr">
        <is>
          <t>NT-NET-MKT-003</t>
        </is>
      </c>
      <c r="B64" t="inlineStr">
        <is>
          <t>MikroTik CRS328-24P-4S+RM (PoE)</t>
        </is>
      </c>
      <c r="C64" t="n">
        <v>3174</v>
      </c>
      <c r="D64" s="22" t="inlineStr"/>
      <c r="E64" s="22" t="inlineStr"/>
      <c r="F64" t="inlineStr">
        <is>
          <t>No</t>
        </is>
      </c>
      <c r="G64" t="inlineStr">
        <is>
          <t>No</t>
        </is>
      </c>
      <c r="H64" t="inlineStr">
        <is>
          <t>No</t>
        </is>
      </c>
    </row>
    <row r="65">
      <c r="A65" t="inlineStr">
        <is>
          <t>NT-NET-MKT-002</t>
        </is>
      </c>
      <c r="B65" t="inlineStr">
        <is>
          <t>MikroTik CRS326-24G-2S+RM</t>
        </is>
      </c>
      <c r="C65" t="n">
        <v>3173</v>
      </c>
      <c r="D65" s="22" t="inlineStr"/>
      <c r="E65" s="22" t="inlineStr"/>
      <c r="F65" t="inlineStr">
        <is>
          <t>No</t>
        </is>
      </c>
      <c r="G65" t="inlineStr">
        <is>
          <t>No</t>
        </is>
      </c>
      <c r="H65" t="inlineStr">
        <is>
          <t>No</t>
        </is>
      </c>
    </row>
    <row r="66">
      <c r="A66" t="inlineStr">
        <is>
          <t>NT-NET-MKT-001</t>
        </is>
      </c>
      <c r="B66" t="inlineStr">
        <is>
          <t>MikroTik CRS305-1G-4S+IN</t>
        </is>
      </c>
      <c r="C66" t="n">
        <v>3172</v>
      </c>
      <c r="D66" s="22" t="inlineStr"/>
      <c r="E66" s="22" t="inlineStr"/>
      <c r="F66" t="inlineStr">
        <is>
          <t>No</t>
        </is>
      </c>
      <c r="G66" t="inlineStr">
        <is>
          <t>No</t>
        </is>
      </c>
      <c r="H66" t="inlineStr">
        <is>
          <t>No</t>
        </is>
      </c>
    </row>
    <row r="67">
      <c r="A67" t="inlineStr">
        <is>
          <t>SH-SWB-SWBT-003</t>
        </is>
      </c>
      <c r="B67" t="inlineStr">
        <is>
          <t>SwitchBot Blind Tilt</t>
        </is>
      </c>
      <c r="C67" t="n">
        <v>3171</v>
      </c>
      <c r="D67" s="22" t="inlineStr"/>
      <c r="E67" s="22" t="inlineStr"/>
      <c r="F67" t="inlineStr">
        <is>
          <t>No</t>
        </is>
      </c>
      <c r="G67" t="inlineStr">
        <is>
          <t>No</t>
        </is>
      </c>
      <c r="H67" t="inlineStr">
        <is>
          <t>No</t>
        </is>
      </c>
    </row>
    <row r="68">
      <c r="A68" t="inlineStr">
        <is>
          <t>SH-SWB-SWBT-002</t>
        </is>
      </c>
      <c r="B68" t="inlineStr">
        <is>
          <t>SwitchBot Bot (Smart Button Pusher)</t>
        </is>
      </c>
      <c r="C68" t="n">
        <v>3170</v>
      </c>
      <c r="D68" s="22" t="inlineStr"/>
      <c r="E68" s="22" t="inlineStr"/>
      <c r="F68" t="inlineStr">
        <is>
          <t>No</t>
        </is>
      </c>
      <c r="G68" t="inlineStr">
        <is>
          <t>No</t>
        </is>
      </c>
      <c r="H68" t="inlineStr">
        <is>
          <t>No</t>
        </is>
      </c>
    </row>
    <row r="69">
      <c r="A69" t="inlineStr">
        <is>
          <t>SH-SWB-SWBT-001</t>
        </is>
      </c>
      <c r="B69" t="inlineStr">
        <is>
          <t>SwitchBot Hub 2 (Matter Enabled)</t>
        </is>
      </c>
      <c r="C69" t="n">
        <v>3169</v>
      </c>
      <c r="D69" s="22" t="inlineStr"/>
      <c r="E69" s="22" t="inlineStr"/>
      <c r="F69" t="inlineStr">
        <is>
          <t>No</t>
        </is>
      </c>
      <c r="G69" t="inlineStr">
        <is>
          <t>No</t>
        </is>
      </c>
      <c r="H69" t="inlineStr">
        <is>
          <t>No</t>
        </is>
      </c>
    </row>
    <row r="70">
      <c r="A70" t="inlineStr">
        <is>
          <t>SH-HUB-HUBI-001</t>
        </is>
      </c>
      <c r="B70" t="inlineStr">
        <is>
          <t>Hubitat Elevation C-8 Pro</t>
        </is>
      </c>
      <c r="C70" t="n">
        <v>3168</v>
      </c>
      <c r="D70" s="22" t="inlineStr"/>
      <c r="E70" s="22" t="inlineStr"/>
      <c r="F70" t="inlineStr">
        <is>
          <t>No</t>
        </is>
      </c>
      <c r="G70" t="inlineStr">
        <is>
          <t>No</t>
        </is>
      </c>
      <c r="H70" t="inlineStr">
        <is>
          <t>No</t>
        </is>
      </c>
    </row>
    <row r="71">
      <c r="A71" t="inlineStr">
        <is>
          <t>SH-HUB-HASS-001</t>
        </is>
      </c>
      <c r="B71" t="inlineStr">
        <is>
          <t>Home Assistant Green</t>
        </is>
      </c>
      <c r="C71" t="n">
        <v>3167</v>
      </c>
      <c r="D71" s="22" t="inlineStr"/>
      <c r="E71" s="22" t="inlineStr"/>
      <c r="F71" t="inlineStr">
        <is>
          <t>No</t>
        </is>
      </c>
      <c r="G71" t="inlineStr">
        <is>
          <t>No</t>
        </is>
      </c>
      <c r="H71" t="inlineStr">
        <is>
          <t>No</t>
        </is>
      </c>
    </row>
    <row r="72">
      <c r="A72" t="inlineStr">
        <is>
          <t>SH-HUB-AQRA-001</t>
        </is>
      </c>
      <c r="B72" t="inlineStr">
        <is>
          <t>Aqara Hub M3</t>
        </is>
      </c>
      <c r="C72" t="n">
        <v>3166</v>
      </c>
      <c r="D72" s="22" t="inlineStr"/>
      <c r="E72" s="22" t="inlineStr"/>
      <c r="F72" t="inlineStr">
        <is>
          <t>No</t>
        </is>
      </c>
      <c r="G72" t="inlineStr">
        <is>
          <t>No</t>
        </is>
      </c>
      <c r="H72" t="inlineStr">
        <is>
          <t>No</t>
        </is>
      </c>
    </row>
    <row r="73">
      <c r="A73" t="inlineStr">
        <is>
          <t>SH-BLD-IKEA-001</t>
        </is>
      </c>
      <c r="B73" t="inlineStr">
        <is>
          <t>IKEA FYRTUR Blackout Smart Roller Blind</t>
        </is>
      </c>
      <c r="C73" t="n">
        <v>3165</v>
      </c>
      <c r="D73" s="22" t="inlineStr"/>
      <c r="E73" s="22" t="inlineStr"/>
      <c r="F73" t="inlineStr">
        <is>
          <t>No</t>
        </is>
      </c>
      <c r="G73" t="inlineStr">
        <is>
          <t>No</t>
        </is>
      </c>
      <c r="H73" t="inlineStr">
        <is>
          <t>No</t>
        </is>
      </c>
    </row>
    <row r="74">
      <c r="A74" t="inlineStr">
        <is>
          <t>SH-BLD-SWBT-001</t>
        </is>
      </c>
      <c r="B74" t="inlineStr">
        <is>
          <t>SwitchBot Curtain 3</t>
        </is>
      </c>
      <c r="C74" t="n">
        <v>3164</v>
      </c>
      <c r="D74" s="22" t="inlineStr"/>
      <c r="E74" s="22" t="inlineStr"/>
      <c r="F74" t="inlineStr">
        <is>
          <t>No</t>
        </is>
      </c>
      <c r="G74" t="inlineStr">
        <is>
          <t>No</t>
        </is>
      </c>
      <c r="H74" t="inlineStr">
        <is>
          <t>No</t>
        </is>
      </c>
    </row>
    <row r="75">
      <c r="A75" t="inlineStr">
        <is>
          <t>SH-VDB-EUFY-001</t>
        </is>
      </c>
      <c r="B75" t="inlineStr">
        <is>
          <t>Eufy Video Doorbell E340 (Dual Camera)</t>
        </is>
      </c>
      <c r="C75" t="n">
        <v>3163</v>
      </c>
      <c r="D75" s="22" t="inlineStr"/>
      <c r="E75" s="22" t="inlineStr"/>
      <c r="F75" t="inlineStr">
        <is>
          <t>No</t>
        </is>
      </c>
      <c r="G75" t="inlineStr">
        <is>
          <t>No</t>
        </is>
      </c>
      <c r="H75" t="inlineStr">
        <is>
          <t>No</t>
        </is>
      </c>
    </row>
    <row r="76">
      <c r="A76" t="inlineStr">
        <is>
          <t>SH-VDB-RING-001</t>
        </is>
      </c>
      <c r="B76" t="inlineStr">
        <is>
          <t>Ring Battery Doorbell Plus</t>
        </is>
      </c>
      <c r="C76" t="n">
        <v>3162</v>
      </c>
      <c r="D76" s="22" t="inlineStr"/>
      <c r="E76" s="22" t="inlineStr"/>
      <c r="F76" t="inlineStr">
        <is>
          <t>No</t>
        </is>
      </c>
      <c r="G76" t="inlineStr">
        <is>
          <t>No</t>
        </is>
      </c>
      <c r="H76" t="inlineStr">
        <is>
          <t>No</t>
        </is>
      </c>
    </row>
    <row r="77">
      <c r="A77" t="inlineStr">
        <is>
          <t>SH-CAM-RELK-001</t>
        </is>
      </c>
      <c r="B77" t="inlineStr">
        <is>
          <t>Reolink Argus 4 Pro (4K)</t>
        </is>
      </c>
      <c r="C77" t="n">
        <v>3161</v>
      </c>
      <c r="D77" s="22" t="inlineStr"/>
      <c r="E77" s="22" t="inlineStr"/>
      <c r="F77" t="inlineStr">
        <is>
          <t>No</t>
        </is>
      </c>
      <c r="G77" t="inlineStr">
        <is>
          <t>No</t>
        </is>
      </c>
      <c r="H77" t="inlineStr">
        <is>
          <t>No</t>
        </is>
      </c>
    </row>
    <row r="78">
      <c r="A78" t="inlineStr">
        <is>
          <t>SH-CAM-EUFY-001</t>
        </is>
      </c>
      <c r="B78" t="inlineStr">
        <is>
          <t>Eufy eufyCam 3 (4K + HomeBase 3 Kit)</t>
        </is>
      </c>
      <c r="C78" t="n">
        <v>3160</v>
      </c>
      <c r="D78" s="22" t="inlineStr"/>
      <c r="E78" s="22" t="inlineStr"/>
      <c r="F78" t="inlineStr">
        <is>
          <t>No</t>
        </is>
      </c>
      <c r="G78" t="inlineStr">
        <is>
          <t>No</t>
        </is>
      </c>
      <c r="H78" t="inlineStr">
        <is>
          <t>No</t>
        </is>
      </c>
    </row>
    <row r="79">
      <c r="A79" t="inlineStr">
        <is>
          <t>SH-CAM-ARLO-001</t>
        </is>
      </c>
      <c r="B79" t="inlineStr">
        <is>
          <t>Arlo Pro 5 2K Spotlight Camera</t>
        </is>
      </c>
      <c r="C79" t="n">
        <v>3159</v>
      </c>
      <c r="D79" s="22" t="inlineStr"/>
      <c r="E79" s="22" t="inlineStr"/>
      <c r="F79" t="inlineStr">
        <is>
          <t>No</t>
        </is>
      </c>
      <c r="G79" t="inlineStr">
        <is>
          <t>No</t>
        </is>
      </c>
      <c r="H79" t="inlineStr">
        <is>
          <t>No</t>
        </is>
      </c>
    </row>
    <row r="80">
      <c r="A80" t="inlineStr">
        <is>
          <t>SH-CAM-RING-001</t>
        </is>
      </c>
      <c r="B80" t="inlineStr">
        <is>
          <t>Ring Indoor Cam (2nd Gen)</t>
        </is>
      </c>
      <c r="C80" t="n">
        <v>3158</v>
      </c>
      <c r="D80" s="22" t="inlineStr"/>
      <c r="E80" s="22" t="inlineStr"/>
      <c r="F80" t="inlineStr">
        <is>
          <t>No</t>
        </is>
      </c>
      <c r="G80" t="inlineStr">
        <is>
          <t>No</t>
        </is>
      </c>
      <c r="H80" t="inlineStr">
        <is>
          <t>No</t>
        </is>
      </c>
    </row>
    <row r="81">
      <c r="A81" t="inlineStr">
        <is>
          <t>SH-PLG-MERS-001</t>
        </is>
      </c>
      <c r="B81" t="inlineStr">
        <is>
          <t>Meross Smart Plug Mini MSS110 (HomeKit)</t>
        </is>
      </c>
      <c r="C81" t="n">
        <v>3157</v>
      </c>
      <c r="D81" s="22" t="inlineStr"/>
      <c r="E81" s="22" t="inlineStr"/>
      <c r="F81" t="inlineStr">
        <is>
          <t>No</t>
        </is>
      </c>
      <c r="G81" t="inlineStr">
        <is>
          <t>No</t>
        </is>
      </c>
      <c r="H81" t="inlineStr">
        <is>
          <t>No</t>
        </is>
      </c>
    </row>
    <row r="82">
      <c r="A82" t="inlineStr">
        <is>
          <t>SH-PLG-TPLK-001</t>
        </is>
      </c>
      <c r="B82" t="inlineStr">
        <is>
          <t>TP-Link Tapo P125M Smart Plug (Matter, 2-pack)</t>
        </is>
      </c>
      <c r="C82" t="n">
        <v>3156</v>
      </c>
      <c r="D82" s="22" t="inlineStr"/>
      <c r="E82" s="22" t="inlineStr"/>
      <c r="F82" t="inlineStr">
        <is>
          <t>No</t>
        </is>
      </c>
      <c r="G82" t="inlineStr">
        <is>
          <t>No</t>
        </is>
      </c>
      <c r="H82" t="inlineStr">
        <is>
          <t>No</t>
        </is>
      </c>
    </row>
    <row r="83">
      <c r="A83" t="inlineStr">
        <is>
          <t>SH-THR-ECOB-001</t>
        </is>
      </c>
      <c r="B83" t="inlineStr">
        <is>
          <t>Ecobee Smart Thermostat Premium</t>
        </is>
      </c>
      <c r="C83" t="n">
        <v>3155</v>
      </c>
      <c r="D83" s="22" t="inlineStr"/>
      <c r="E83" s="22" t="inlineStr"/>
      <c r="F83" t="inlineStr">
        <is>
          <t>No</t>
        </is>
      </c>
      <c r="G83" t="inlineStr">
        <is>
          <t>No</t>
        </is>
      </c>
      <c r="H83" t="inlineStr">
        <is>
          <t>No</t>
        </is>
      </c>
    </row>
    <row r="84">
      <c r="A84" t="inlineStr">
        <is>
          <t>SH-THR-NEST-001</t>
        </is>
      </c>
      <c r="B84" t="inlineStr">
        <is>
          <t>Google Nest Learning Thermostat (4th Gen)</t>
        </is>
      </c>
      <c r="C84" t="n">
        <v>3154</v>
      </c>
      <c r="D84" s="22" t="inlineStr"/>
      <c r="E84" s="22" t="inlineStr"/>
      <c r="F84" t="inlineStr">
        <is>
          <t>No</t>
        </is>
      </c>
      <c r="G84" t="inlineStr">
        <is>
          <t>No</t>
        </is>
      </c>
      <c r="H84" t="inlineStr">
        <is>
          <t>No</t>
        </is>
      </c>
    </row>
    <row r="85">
      <c r="A85" t="inlineStr">
        <is>
          <t>SH-RVC-ECVX-001</t>
        </is>
      </c>
      <c r="B85" t="inlineStr">
        <is>
          <t>Ecovacs Deebot X9 Pro Omni</t>
        </is>
      </c>
      <c r="C85" t="n">
        <v>3153</v>
      </c>
      <c r="D85" s="22" t="inlineStr"/>
      <c r="E85" s="22" t="inlineStr"/>
      <c r="F85" t="inlineStr">
        <is>
          <t>No</t>
        </is>
      </c>
      <c r="G85" t="inlineStr">
        <is>
          <t>No</t>
        </is>
      </c>
      <c r="H85" t="inlineStr">
        <is>
          <t>No</t>
        </is>
      </c>
    </row>
    <row r="86">
      <c r="A86" t="inlineStr">
        <is>
          <t>SH-RVC-DREM-001</t>
        </is>
      </c>
      <c r="B86" t="inlineStr">
        <is>
          <t>Dreame L50 Ultra</t>
        </is>
      </c>
      <c r="C86" t="n">
        <v>3152</v>
      </c>
      <c r="D86" s="22" t="inlineStr"/>
      <c r="E86" s="22" t="inlineStr"/>
      <c r="F86" t="inlineStr">
        <is>
          <t>No</t>
        </is>
      </c>
      <c r="G86" t="inlineStr">
        <is>
          <t>No</t>
        </is>
      </c>
      <c r="H86" t="inlineStr">
        <is>
          <t>No</t>
        </is>
      </c>
    </row>
    <row r="87">
      <c r="A87" t="inlineStr">
        <is>
          <t>SH-RVC-RBRC-001</t>
        </is>
      </c>
      <c r="B87" t="inlineStr">
        <is>
          <t>Roborock Qrevo CurvX</t>
        </is>
      </c>
      <c r="C87" t="n">
        <v>3151</v>
      </c>
      <c r="D87" s="22" t="inlineStr"/>
      <c r="E87" s="22" t="inlineStr"/>
      <c r="F87" t="inlineStr">
        <is>
          <t>No</t>
        </is>
      </c>
      <c r="G87" t="inlineStr">
        <is>
          <t>No</t>
        </is>
      </c>
      <c r="H87" t="inlineStr">
        <is>
          <t>No</t>
        </is>
      </c>
    </row>
    <row r="88">
      <c r="A88" t="inlineStr">
        <is>
          <t>SH-LGT-GOVE-002</t>
        </is>
      </c>
      <c r="B88" t="inlineStr">
        <is>
          <t>Govee Glide Hexagon Light Panels Ultra (10-pack)</t>
        </is>
      </c>
      <c r="C88" t="n">
        <v>3150</v>
      </c>
      <c r="D88" s="22" t="inlineStr"/>
      <c r="E88" s="22" t="inlineStr"/>
      <c r="F88" t="inlineStr">
        <is>
          <t>No</t>
        </is>
      </c>
      <c r="G88" t="inlineStr">
        <is>
          <t>No</t>
        </is>
      </c>
      <c r="H88" t="inlineStr">
        <is>
          <t>No</t>
        </is>
      </c>
    </row>
    <row r="89">
      <c r="A89" t="inlineStr">
        <is>
          <t>SH-LGT-GOVE-001</t>
        </is>
      </c>
      <c r="B89" t="inlineStr">
        <is>
          <t>Govee RGBIC LED Strip M1 (5m)</t>
        </is>
      </c>
      <c r="C89" t="n">
        <v>3149</v>
      </c>
      <c r="D89" s="22" t="inlineStr"/>
      <c r="E89" s="22" t="inlineStr"/>
      <c r="F89" t="inlineStr">
        <is>
          <t>No</t>
        </is>
      </c>
      <c r="G89" t="inlineStr">
        <is>
          <t>No</t>
        </is>
      </c>
      <c r="H89" t="inlineStr">
        <is>
          <t>No</t>
        </is>
      </c>
    </row>
    <row r="90">
      <c r="A90" t="inlineStr">
        <is>
          <t>SH-LGT-LIFX-001</t>
        </is>
      </c>
      <c r="B90" t="inlineStr">
        <is>
          <t>LIFX Color A19 1100lm Bulb</t>
        </is>
      </c>
      <c r="C90" t="n">
        <v>3148</v>
      </c>
      <c r="D90" s="22" t="inlineStr"/>
      <c r="E90" s="22" t="inlineStr"/>
      <c r="F90" t="inlineStr">
        <is>
          <t>No</t>
        </is>
      </c>
      <c r="G90" t="inlineStr">
        <is>
          <t>No</t>
        </is>
      </c>
      <c r="H90" t="inlineStr">
        <is>
          <t>No</t>
        </is>
      </c>
    </row>
    <row r="91">
      <c r="A91" t="inlineStr">
        <is>
          <t>SH-LGT-PHUE-002</t>
        </is>
      </c>
      <c r="B91" t="inlineStr">
        <is>
          <t>Philips Hue Gradient Lightstrip (2m)</t>
        </is>
      </c>
      <c r="C91" t="n">
        <v>3147</v>
      </c>
      <c r="D91" s="22" t="inlineStr"/>
      <c r="E91" s="22" t="inlineStr"/>
      <c r="F91" t="inlineStr">
        <is>
          <t>No</t>
        </is>
      </c>
      <c r="G91" t="inlineStr">
        <is>
          <t>No</t>
        </is>
      </c>
      <c r="H91" t="inlineStr">
        <is>
          <t>No</t>
        </is>
      </c>
    </row>
    <row r="92">
      <c r="A92" t="inlineStr">
        <is>
          <t>SH-LGT-PHUE-001</t>
        </is>
      </c>
      <c r="B92" t="inlineStr">
        <is>
          <t>Philips Hue Starter Kit (3x A19 + Bridge)</t>
        </is>
      </c>
      <c r="C92" t="n">
        <v>3146</v>
      </c>
      <c r="D92" s="22" t="inlineStr"/>
      <c r="E92" s="22" t="inlineStr"/>
      <c r="F92" t="inlineStr">
        <is>
          <t>No</t>
        </is>
      </c>
      <c r="G92" t="inlineStr">
        <is>
          <t>No</t>
        </is>
      </c>
      <c r="H92" t="inlineStr">
        <is>
          <t>No</t>
        </is>
      </c>
    </row>
    <row r="93">
      <c r="A93" t="inlineStr">
        <is>
          <t>SH-LCK-AUGS-001</t>
        </is>
      </c>
      <c r="B93" t="inlineStr">
        <is>
          <t>August Wi-Fi Smart Lock (4th Gen)</t>
        </is>
      </c>
      <c r="C93" t="n">
        <v>3145</v>
      </c>
      <c r="D93" s="22" t="inlineStr"/>
      <c r="E93" s="22" t="inlineStr"/>
      <c r="F93" t="inlineStr">
        <is>
          <t>No</t>
        </is>
      </c>
      <c r="G93" t="inlineStr">
        <is>
          <t>No</t>
        </is>
      </c>
      <c r="H93" t="inlineStr">
        <is>
          <t>No</t>
        </is>
      </c>
    </row>
    <row r="94">
      <c r="A94" t="inlineStr">
        <is>
          <t>SH-LCK-AQRA-001</t>
        </is>
      </c>
      <c r="B94" t="inlineStr">
        <is>
          <t>Aqara Smart Lock U200</t>
        </is>
      </c>
      <c r="C94" t="n">
        <v>3144</v>
      </c>
      <c r="D94" s="22" t="inlineStr"/>
      <c r="E94" s="22" t="inlineStr"/>
      <c r="F94" t="inlineStr">
        <is>
          <t>No</t>
        </is>
      </c>
      <c r="G94" t="inlineStr">
        <is>
          <t>No</t>
        </is>
      </c>
      <c r="H94" t="inlineStr">
        <is>
          <t>No</t>
        </is>
      </c>
    </row>
    <row r="95">
      <c r="A95" t="inlineStr">
        <is>
          <t>SH-LCK-YALE-001</t>
        </is>
      </c>
      <c r="B95" t="inlineStr">
        <is>
          <t>Yale Assure Lock 2 Wi-Fi</t>
        </is>
      </c>
      <c r="C95" t="n">
        <v>3143</v>
      </c>
      <c r="D95" s="22" t="inlineStr"/>
      <c r="E95" s="22" t="inlineStr"/>
      <c r="F95" t="inlineStr">
        <is>
          <t>No</t>
        </is>
      </c>
      <c r="G95" t="inlineStr">
        <is>
          <t>No</t>
        </is>
      </c>
      <c r="H95" t="inlineStr">
        <is>
          <t>No</t>
        </is>
      </c>
    </row>
    <row r="96">
      <c r="A96" t="inlineStr">
        <is>
          <t>SH-DSP-GGLE-001</t>
        </is>
      </c>
      <c r="B96" t="inlineStr">
        <is>
          <t>Google Nest Hub (2nd Gen)</t>
        </is>
      </c>
      <c r="C96" t="n">
        <v>3142</v>
      </c>
      <c r="D96" s="22" t="inlineStr"/>
      <c r="E96" s="22" t="inlineStr"/>
      <c r="F96" t="inlineStr">
        <is>
          <t>No</t>
        </is>
      </c>
      <c r="G96" t="inlineStr">
        <is>
          <t>No</t>
        </is>
      </c>
      <c r="H96" t="inlineStr">
        <is>
          <t>No</t>
        </is>
      </c>
    </row>
    <row r="97">
      <c r="A97" t="inlineStr">
        <is>
          <t>SH-DSP-AMZN-001</t>
        </is>
      </c>
      <c r="B97" t="inlineStr">
        <is>
          <t>Amazon Echo Show 8 (3rd Gen)</t>
        </is>
      </c>
      <c r="C97" t="n">
        <v>3141</v>
      </c>
      <c r="D97" s="22" t="inlineStr"/>
      <c r="E97" s="22" t="inlineStr"/>
      <c r="F97" t="inlineStr">
        <is>
          <t>No</t>
        </is>
      </c>
      <c r="G97" t="inlineStr">
        <is>
          <t>No</t>
        </is>
      </c>
      <c r="H97" t="inlineStr">
        <is>
          <t>No</t>
        </is>
      </c>
    </row>
    <row r="98">
      <c r="A98" t="inlineStr">
        <is>
          <t>SH-SPK-AMZN-002</t>
        </is>
      </c>
      <c r="B98" t="inlineStr">
        <is>
          <t>Amazon Echo Dot (5th Gen)</t>
        </is>
      </c>
      <c r="C98" t="n">
        <v>3140</v>
      </c>
      <c r="D98" s="22" t="inlineStr"/>
      <c r="E98" s="22" t="inlineStr"/>
      <c r="F98" t="inlineStr">
        <is>
          <t>No</t>
        </is>
      </c>
      <c r="G98" t="inlineStr">
        <is>
          <t>No</t>
        </is>
      </c>
      <c r="H98" t="inlineStr">
        <is>
          <t>No</t>
        </is>
      </c>
    </row>
    <row r="99">
      <c r="A99" t="inlineStr">
        <is>
          <t>SH-SPK-GGLE-001</t>
        </is>
      </c>
      <c r="B99" t="inlineStr">
        <is>
          <t>Google Nest Audio</t>
        </is>
      </c>
      <c r="C99" t="n">
        <v>3139</v>
      </c>
      <c r="D99" s="22" t="inlineStr"/>
      <c r="E99" s="22" t="inlineStr"/>
      <c r="F99" t="inlineStr">
        <is>
          <t>No</t>
        </is>
      </c>
      <c r="G99" t="inlineStr">
        <is>
          <t>No</t>
        </is>
      </c>
      <c r="H99" t="inlineStr">
        <is>
          <t>No</t>
        </is>
      </c>
    </row>
    <row r="100">
      <c r="A100" t="inlineStr">
        <is>
          <t>SH-SPK-APPL-001</t>
        </is>
      </c>
      <c r="B100" t="inlineStr">
        <is>
          <t>Apple HomePod Mini</t>
        </is>
      </c>
      <c r="C100" t="n">
        <v>3138</v>
      </c>
      <c r="D100" s="22" t="inlineStr"/>
      <c r="E100" s="22" t="inlineStr"/>
      <c r="F100" t="inlineStr">
        <is>
          <t>No</t>
        </is>
      </c>
      <c r="G100" t="inlineStr">
        <is>
          <t>No</t>
        </is>
      </c>
      <c r="H100" t="inlineStr">
        <is>
          <t>No</t>
        </is>
      </c>
    </row>
    <row r="101">
      <c r="A101" t="inlineStr">
        <is>
          <t>SH-SPK-AMZN-001</t>
        </is>
      </c>
      <c r="B101" t="inlineStr">
        <is>
          <t>Amazon Echo (4th Gen)</t>
        </is>
      </c>
      <c r="C101" t="n">
        <v>3137</v>
      </c>
      <c r="D101" s="22" t="inlineStr"/>
      <c r="E101" s="22" t="inlineStr"/>
      <c r="F101" t="inlineStr">
        <is>
          <t>No</t>
        </is>
      </c>
      <c r="G101" t="inlineStr">
        <is>
          <t>No</t>
        </is>
      </c>
      <c r="H101" t="inlineStr">
        <is>
          <t>No</t>
        </is>
      </c>
    </row>
    <row r="102">
      <c r="A102" t="inlineStr">
        <is>
          <t>NG-SEC-007</t>
        </is>
      </c>
      <c r="B102" t="inlineStr">
        <is>
          <t>Eufy Video Doorbell S330 - Dual Camera Smart Doorbell (2K + Package Cam)</t>
        </is>
      </c>
      <c r="C102" t="n">
        <v>3136</v>
      </c>
      <c r="D102" s="22" t="inlineStr"/>
      <c r="E102" s="22" t="inlineStr"/>
      <c r="F102" t="inlineStr">
        <is>
          <t>No</t>
        </is>
      </c>
      <c r="G102" t="inlineStr">
        <is>
          <t>No</t>
        </is>
      </c>
      <c r="H102" t="inlineStr">
        <is>
          <t>No</t>
        </is>
      </c>
    </row>
    <row r="103">
      <c r="A103" t="inlineStr">
        <is>
          <t>NG-SEC-006</t>
        </is>
      </c>
      <c r="B103" t="inlineStr">
        <is>
          <t>Ajax Hub 2 Plus - Professional Wireless Smart Alarm System</t>
        </is>
      </c>
      <c r="C103" t="n">
        <v>3135</v>
      </c>
      <c r="D103" s="22" t="inlineStr"/>
      <c r="E103" s="22" t="inlineStr"/>
      <c r="F103" t="inlineStr">
        <is>
          <t>No</t>
        </is>
      </c>
      <c r="G103" t="inlineStr">
        <is>
          <t>No</t>
        </is>
      </c>
      <c r="H103" t="inlineStr">
        <is>
          <t>No</t>
        </is>
      </c>
    </row>
    <row r="104">
      <c r="A104" t="inlineStr">
        <is>
          <t>NG-SEC-005</t>
        </is>
      </c>
      <c r="B104" t="inlineStr">
        <is>
          <t>Reolink 16-Channel PoE NVR (RLN16-410) - 4K Network Video Recorder</t>
        </is>
      </c>
      <c r="C104" t="n">
        <v>3134</v>
      </c>
      <c r="D104" s="22" t="inlineStr"/>
      <c r="E104" s="22" t="inlineStr"/>
      <c r="F104" t="inlineStr">
        <is>
          <t>No</t>
        </is>
      </c>
      <c r="G104" t="inlineStr">
        <is>
          <t>No</t>
        </is>
      </c>
      <c r="H104" t="inlineStr">
        <is>
          <t>No</t>
        </is>
      </c>
    </row>
    <row r="105">
      <c r="A105" t="inlineStr">
        <is>
          <t>NG-SEC-004</t>
        </is>
      </c>
      <c r="B105" t="inlineStr">
        <is>
          <t>Ubiquiti UniFi Protect G4 Doorbell Pro - 5MP Smart Doorbell with Fingerprint Rea</t>
        </is>
      </c>
      <c r="C105" t="n">
        <v>3133</v>
      </c>
      <c r="D105" s="22" t="inlineStr"/>
      <c r="E105" s="22" t="inlineStr"/>
      <c r="F105" t="inlineStr">
        <is>
          <t>No</t>
        </is>
      </c>
      <c r="G105" t="inlineStr">
        <is>
          <t>No</t>
        </is>
      </c>
      <c r="H105" t="inlineStr">
        <is>
          <t>No</t>
        </is>
      </c>
    </row>
    <row r="106">
      <c r="A106" t="inlineStr">
        <is>
          <t>NG-SEC-003</t>
        </is>
      </c>
      <c r="B106" t="inlineStr">
        <is>
          <t>Hikvision DS-2CD2143G2-I - 4MP AcuSense Dome Camera</t>
        </is>
      </c>
      <c r="C106" t="n">
        <v>3132</v>
      </c>
      <c r="D106" s="22" t="inlineStr"/>
      <c r="E106" s="22" t="inlineStr"/>
      <c r="F106" t="inlineStr">
        <is>
          <t>No</t>
        </is>
      </c>
      <c r="G106" t="inlineStr">
        <is>
          <t>No</t>
        </is>
      </c>
      <c r="H106" t="inlineStr">
        <is>
          <t>No</t>
        </is>
      </c>
    </row>
    <row r="107">
      <c r="A107" t="inlineStr">
        <is>
          <t>NG-SEC-002</t>
        </is>
      </c>
      <c r="B107" t="inlineStr">
        <is>
          <t>Reolink Argus 4 Pro - Solar-Powered Wireless 4K Security Camera</t>
        </is>
      </c>
      <c r="C107" t="n">
        <v>3131</v>
      </c>
      <c r="D107" s="22" t="inlineStr"/>
      <c r="E107" s="22" t="inlineStr"/>
      <c r="F107" t="inlineStr">
        <is>
          <t>No</t>
        </is>
      </c>
      <c r="G107" t="inlineStr">
        <is>
          <t>No</t>
        </is>
      </c>
      <c r="H107" t="inlineStr">
        <is>
          <t>No</t>
        </is>
      </c>
    </row>
    <row r="108">
      <c r="A108" t="inlineStr">
        <is>
          <t>NG-SEC-001</t>
        </is>
      </c>
      <c r="B108" t="inlineStr">
        <is>
          <t>Reolink RLC-810A - 4K PoE AI Security Camera</t>
        </is>
      </c>
      <c r="C108" t="n">
        <v>3130</v>
      </c>
      <c r="D108" s="22" t="inlineStr"/>
      <c r="E108" s="22" t="inlineStr"/>
      <c r="F108" t="inlineStr">
        <is>
          <t>No</t>
        </is>
      </c>
      <c r="G108" t="inlineStr">
        <is>
          <t>No</t>
        </is>
      </c>
      <c r="H108" t="inlineStr">
        <is>
          <t>No</t>
        </is>
      </c>
    </row>
    <row r="109">
      <c r="A109" t="inlineStr">
        <is>
          <t>NG-DRN-008</t>
        </is>
      </c>
      <c r="B109" t="inlineStr">
        <is>
          <t>DJI Pocket 3 - Pocket-Sized Gimbal Camera with 1-Inch Sensor</t>
        </is>
      </c>
      <c r="C109" t="n">
        <v>3129</v>
      </c>
      <c r="D109" s="22" t="inlineStr"/>
      <c r="E109" s="22" t="inlineStr"/>
      <c r="F109" t="inlineStr">
        <is>
          <t>No</t>
        </is>
      </c>
      <c r="G109" t="inlineStr">
        <is>
          <t>No</t>
        </is>
      </c>
      <c r="H109" t="inlineStr">
        <is>
          <t>No</t>
        </is>
      </c>
    </row>
    <row r="110">
      <c r="A110" t="inlineStr">
        <is>
          <t>NG-DRN-007</t>
        </is>
      </c>
      <c r="B110" t="inlineStr">
        <is>
          <t>Roborock S8 MaxV Ultra - Smart Robot Vacuum with 10,000Pa Suction</t>
        </is>
      </c>
      <c r="C110" t="n">
        <v>3128</v>
      </c>
      <c r="D110" s="22" t="inlineStr"/>
      <c r="E110" s="22" t="inlineStr"/>
      <c r="F110" t="inlineStr">
        <is>
          <t>No</t>
        </is>
      </c>
      <c r="G110" t="inlineStr">
        <is>
          <t>No</t>
        </is>
      </c>
      <c r="H110" t="inlineStr">
        <is>
          <t>No</t>
        </is>
      </c>
    </row>
    <row r="111">
      <c r="A111" t="inlineStr">
        <is>
          <t>NG-DRN-006</t>
        </is>
      </c>
      <c r="B111" t="inlineStr">
        <is>
          <t>FIMI X8 Mini V2 - 4K Drone at 245g with Competitive Pricing</t>
        </is>
      </c>
      <c r="C111" t="n">
        <v>3127</v>
      </c>
      <c r="D111" s="22" t="inlineStr"/>
      <c r="E111" s="22" t="inlineStr"/>
      <c r="F111" t="inlineStr">
        <is>
          <t>No</t>
        </is>
      </c>
      <c r="G111" t="inlineStr">
        <is>
          <t>No</t>
        </is>
      </c>
      <c r="H111" t="inlineStr">
        <is>
          <t>No</t>
        </is>
      </c>
    </row>
    <row r="112">
      <c r="A112" t="inlineStr">
        <is>
          <t>NG-DRN-005</t>
        </is>
      </c>
      <c r="B112" t="inlineStr">
        <is>
          <t>Insta360 X4 - 8K 360-Degree Camera</t>
        </is>
      </c>
      <c r="C112" t="n">
        <v>3126</v>
      </c>
      <c r="D112" s="22" t="inlineStr"/>
      <c r="E112" s="22" t="inlineStr"/>
      <c r="F112" t="inlineStr">
        <is>
          <t>No</t>
        </is>
      </c>
      <c r="G112" t="inlineStr">
        <is>
          <t>No</t>
        </is>
      </c>
      <c r="H112" t="inlineStr">
        <is>
          <t>No</t>
        </is>
      </c>
    </row>
    <row r="113">
      <c r="A113" t="inlineStr">
        <is>
          <t>NG-DRN-004</t>
        </is>
      </c>
      <c r="B113" t="inlineStr">
        <is>
          <t>DJI RS 4 - 3-Axis Gimbal Stabilizer for Professional Cameras</t>
        </is>
      </c>
      <c r="C113" t="n">
        <v>3125</v>
      </c>
      <c r="D113" s="22" t="inlineStr"/>
      <c r="E113" s="22" t="inlineStr"/>
      <c r="F113" t="inlineStr">
        <is>
          <t>No</t>
        </is>
      </c>
      <c r="G113" t="inlineStr">
        <is>
          <t>No</t>
        </is>
      </c>
      <c r="H113" t="inlineStr">
        <is>
          <t>No</t>
        </is>
      </c>
    </row>
    <row r="114">
      <c r="A114" t="inlineStr">
        <is>
          <t>NG-DRN-003</t>
        </is>
      </c>
      <c r="B114" t="inlineStr">
        <is>
          <t>DJI Osmo Action 5 Pro - 4K/120fps Waterproof Action Camera</t>
        </is>
      </c>
      <c r="C114" t="n">
        <v>3124</v>
      </c>
      <c r="D114" s="22" t="inlineStr"/>
      <c r="E114" s="22" t="inlineStr"/>
      <c r="F114" t="inlineStr">
        <is>
          <t>No</t>
        </is>
      </c>
      <c r="G114" t="inlineStr">
        <is>
          <t>No</t>
        </is>
      </c>
      <c r="H114" t="inlineStr">
        <is>
          <t>No</t>
        </is>
      </c>
    </row>
    <row r="115">
      <c r="A115" t="inlineStr">
        <is>
          <t>NG-DRN-002</t>
        </is>
      </c>
      <c r="B115" t="inlineStr">
        <is>
          <t>DJI Avata 2 - Immersive FPV Drone with Goggles</t>
        </is>
      </c>
      <c r="C115" t="n">
        <v>3123</v>
      </c>
      <c r="D115" s="22" t="inlineStr"/>
      <c r="E115" s="22" t="inlineStr"/>
      <c r="F115" t="inlineStr">
        <is>
          <t>No</t>
        </is>
      </c>
      <c r="G115" t="inlineStr">
        <is>
          <t>No</t>
        </is>
      </c>
      <c r="H115" t="inlineStr">
        <is>
          <t>No</t>
        </is>
      </c>
    </row>
    <row r="116">
      <c r="A116" t="inlineStr">
        <is>
          <t>NG-DRN-001</t>
        </is>
      </c>
      <c r="B116" t="inlineStr">
        <is>
          <t>DJI Mini 4 Pro - Sub-249g Drone with 4K/60fps Camera</t>
        </is>
      </c>
      <c r="C116" t="n">
        <v>3122</v>
      </c>
      <c r="D116" s="22" t="inlineStr"/>
      <c r="E116" s="22" t="inlineStr"/>
      <c r="F116" t="inlineStr">
        <is>
          <t>No</t>
        </is>
      </c>
      <c r="G116" t="inlineStr">
        <is>
          <t>No</t>
        </is>
      </c>
      <c r="H116" t="inlineStr">
        <is>
          <t>No</t>
        </is>
      </c>
    </row>
    <row r="117">
      <c r="A117" t="inlineStr">
        <is>
          <t>NG-CBL-008</t>
        </is>
      </c>
      <c r="B117" t="inlineStr">
        <is>
          <t>HDMI 2.1 8K Fiber Optic Cable (10m) - Zero Signal Loss</t>
        </is>
      </c>
      <c r="C117" t="n">
        <v>3121</v>
      </c>
      <c r="D117" s="22" t="inlineStr"/>
      <c r="E117" s="22" t="inlineStr"/>
      <c r="F117" t="inlineStr">
        <is>
          <t>No</t>
        </is>
      </c>
      <c r="G117" t="inlineStr">
        <is>
          <t>No</t>
        </is>
      </c>
      <c r="H117" t="inlineStr">
        <is>
          <t>No</t>
        </is>
      </c>
    </row>
    <row r="118">
      <c r="A118" t="inlineStr">
        <is>
          <t>NG-CBL-007</t>
        </is>
      </c>
      <c r="B118" t="inlineStr">
        <is>
          <t>DAC SFP+ 10G Direct Attach Cable (3m) - Direct Switch-to-Switch Connection</t>
        </is>
      </c>
      <c r="C118" t="n">
        <v>3120</v>
      </c>
      <c r="D118" s="22" t="inlineStr"/>
      <c r="E118" s="22" t="inlineStr"/>
      <c r="F118" t="inlineStr">
        <is>
          <t>No</t>
        </is>
      </c>
      <c r="G118" t="inlineStr">
        <is>
          <t>No</t>
        </is>
      </c>
      <c r="H118" t="inlineStr">
        <is>
          <t>No</t>
        </is>
      </c>
    </row>
    <row r="119">
      <c r="A119" t="inlineStr">
        <is>
          <t>NG-CBL-006</t>
        </is>
      </c>
      <c r="B119" t="inlineStr">
        <is>
          <t>Ugreen 5-in-1 USB-C Dock - HDMI 4K + Ethernet + USB 3.0</t>
        </is>
      </c>
      <c r="C119" t="n">
        <v>3119</v>
      </c>
      <c r="D119" s="22" t="inlineStr"/>
      <c r="E119" s="22" t="inlineStr"/>
      <c r="F119" t="inlineStr">
        <is>
          <t>No</t>
        </is>
      </c>
      <c r="G119" t="inlineStr">
        <is>
          <t>No</t>
        </is>
      </c>
      <c r="H119" t="inlineStr">
        <is>
          <t>No</t>
        </is>
      </c>
    </row>
    <row r="120">
      <c r="A120" t="inlineStr">
        <is>
          <t>NG-CBL-005</t>
        </is>
      </c>
      <c r="B120" t="inlineStr">
        <is>
          <t>Baseus USB-C 100W Charging Cable (2m) - Fast Charge for Laptops and Phones</t>
        </is>
      </c>
      <c r="C120" t="n">
        <v>3118</v>
      </c>
      <c r="D120" s="22" t="inlineStr"/>
      <c r="E120" s="22" t="inlineStr"/>
      <c r="F120" t="inlineStr">
        <is>
          <t>No</t>
        </is>
      </c>
      <c r="G120" t="inlineStr">
        <is>
          <t>No</t>
        </is>
      </c>
      <c r="H120" t="inlineStr">
        <is>
          <t>No</t>
        </is>
      </c>
    </row>
    <row r="121">
      <c r="A121" t="inlineStr">
        <is>
          <t>NG-CBL-004</t>
        </is>
      </c>
      <c r="B121" t="inlineStr">
        <is>
          <t>Ugreen Cat 8 Ethernet Cable (5m) - 40Gbps Network Cable</t>
        </is>
      </c>
      <c r="C121" t="n">
        <v>3117</v>
      </c>
      <c r="D121" s="22" t="inlineStr"/>
      <c r="E121" s="22" t="inlineStr"/>
      <c r="F121" t="inlineStr">
        <is>
          <t>No</t>
        </is>
      </c>
      <c r="G121" t="inlineStr">
        <is>
          <t>No</t>
        </is>
      </c>
      <c r="H121" t="inlineStr">
        <is>
          <t>No</t>
        </is>
      </c>
    </row>
    <row r="122">
      <c r="A122" t="inlineStr">
        <is>
          <t>NG-CBL-003</t>
        </is>
      </c>
      <c r="B122" t="inlineStr">
        <is>
          <t>Cable Matters Thunderbolt 4 Cable (2m) - 40Gbps with 100W Charging</t>
        </is>
      </c>
      <c r="C122" t="n">
        <v>3116</v>
      </c>
      <c r="D122" s="22" t="inlineStr"/>
      <c r="E122" s="22" t="inlineStr"/>
      <c r="F122" t="inlineStr">
        <is>
          <t>No</t>
        </is>
      </c>
      <c r="G122" t="inlineStr">
        <is>
          <t>No</t>
        </is>
      </c>
      <c r="H122" t="inlineStr">
        <is>
          <t>No</t>
        </is>
      </c>
    </row>
    <row r="123">
      <c r="A123" t="inlineStr">
        <is>
          <t>NG-CBL-002</t>
        </is>
      </c>
      <c r="B123" t="inlineStr">
        <is>
          <t>Anker USB-C Hub 7-in-1 - Multi-Port Adapter for Laptops</t>
        </is>
      </c>
      <c r="C123" t="n">
        <v>3115</v>
      </c>
      <c r="D123" s="22" t="inlineStr"/>
      <c r="E123" s="22" t="inlineStr"/>
      <c r="F123" t="inlineStr">
        <is>
          <t>No</t>
        </is>
      </c>
      <c r="G123" t="inlineStr">
        <is>
          <t>No</t>
        </is>
      </c>
      <c r="H123" t="inlineStr">
        <is>
          <t>No</t>
        </is>
      </c>
    </row>
    <row r="124">
      <c r="A124" t="inlineStr">
        <is>
          <t>NG-CBL-001</t>
        </is>
      </c>
      <c r="B124" t="inlineStr">
        <is>
          <t>Ugreen USB-C to HDMI 2.1 Cable (2m) - 8K@60Hz Output</t>
        </is>
      </c>
      <c r="C124" t="n">
        <v>3114</v>
      </c>
      <c r="D124" s="22" t="inlineStr"/>
      <c r="E124" s="22" t="inlineStr"/>
      <c r="F124" t="inlineStr">
        <is>
          <t>No</t>
        </is>
      </c>
      <c r="G124" t="inlineStr">
        <is>
          <t>No</t>
        </is>
      </c>
      <c r="H124" t="inlineStr">
        <is>
          <t>No</t>
        </is>
      </c>
    </row>
    <row r="125">
      <c r="A125" t="inlineStr">
        <is>
          <t>NG-3DP-008</t>
        </is>
      </c>
      <c r="B125" t="inlineStr">
        <is>
          <t>Phrozen Sonic Mini 8K S - 22-Micron Pixel Resin 3D Printer</t>
        </is>
      </c>
      <c r="C125" t="n">
        <v>3113</v>
      </c>
      <c r="D125" s="22" t="inlineStr"/>
      <c r="E125" s="22" t="inlineStr"/>
      <c r="F125" t="inlineStr">
        <is>
          <t>No</t>
        </is>
      </c>
      <c r="G125" t="inlineStr">
        <is>
          <t>No</t>
        </is>
      </c>
      <c r="H125" t="inlineStr">
        <is>
          <t>No</t>
        </is>
      </c>
    </row>
    <row r="126">
      <c r="A126" t="inlineStr">
        <is>
          <t>NG-3DP-007</t>
        </is>
      </c>
      <c r="B126" t="inlineStr">
        <is>
          <t>Creality Sonic Pad - Klipper Tablet to Supercharge Your 3D Printer</t>
        </is>
      </c>
      <c r="C126" t="n">
        <v>3112</v>
      </c>
      <c r="D126" s="22" t="inlineStr"/>
      <c r="E126" s="22" t="inlineStr"/>
      <c r="F126" t="inlineStr">
        <is>
          <t>No</t>
        </is>
      </c>
      <c r="G126" t="inlineStr">
        <is>
          <t>No</t>
        </is>
      </c>
      <c r="H126" t="inlineStr">
        <is>
          <t>No</t>
        </is>
      </c>
    </row>
    <row r="127">
      <c r="A127" t="inlineStr">
        <is>
          <t>NG-3DP-006</t>
        </is>
      </c>
      <c r="B127" t="inlineStr">
        <is>
          <t>BIQU H2 V2S Direct Drive Extruder - Lightweight Upgrade for Your 3D Printer</t>
        </is>
      </c>
      <c r="C127" t="n">
        <v>3111</v>
      </c>
      <c r="D127" s="22" t="inlineStr"/>
      <c r="E127" s="22" t="inlineStr"/>
      <c r="F127" t="inlineStr">
        <is>
          <t>No</t>
        </is>
      </c>
      <c r="G127" t="inlineStr">
        <is>
          <t>No</t>
        </is>
      </c>
      <c r="H127" t="inlineStr">
        <is>
          <t>No</t>
        </is>
      </c>
    </row>
    <row r="128">
      <c r="A128" t="inlineStr">
        <is>
          <t>NG-3DP-005</t>
        </is>
      </c>
      <c r="B128" t="inlineStr">
        <is>
          <t>Elegoo Saturn 3 Ultra - 12K Resin 3D Printer with 10-inch Screen</t>
        </is>
      </c>
      <c r="C128" t="n">
        <v>3110</v>
      </c>
      <c r="D128" s="22" t="inlineStr"/>
      <c r="E128" s="22" t="inlineStr"/>
      <c r="F128" t="inlineStr">
        <is>
          <t>No</t>
        </is>
      </c>
      <c r="G128" t="inlineStr">
        <is>
          <t>No</t>
        </is>
      </c>
      <c r="H128" t="inlineStr">
        <is>
          <t>No</t>
        </is>
      </c>
    </row>
    <row r="129">
      <c r="A129" t="inlineStr">
        <is>
          <t>NG-3DP-004</t>
        </is>
      </c>
      <c r="B129" t="inlineStr">
        <is>
          <t>eSUN PLA+ Filament 10-Color Pack - 10kg Total for 3D Printing</t>
        </is>
      </c>
      <c r="C129" t="n">
        <v>3109</v>
      </c>
      <c r="D129" s="22" t="inlineStr"/>
      <c r="E129" s="22" t="inlineStr"/>
      <c r="F129" t="inlineStr">
        <is>
          <t>No</t>
        </is>
      </c>
      <c r="G129" t="inlineStr">
        <is>
          <t>No</t>
        </is>
      </c>
      <c r="H129" t="inlineStr">
        <is>
          <t>No</t>
        </is>
      </c>
    </row>
    <row r="130">
      <c r="A130" t="inlineStr">
        <is>
          <t>NG-3DP-003</t>
        </is>
      </c>
      <c r="B130" t="inlineStr">
        <is>
          <t>Creality K1 Max - Large Format 3D Printer at 600mm/s</t>
        </is>
      </c>
      <c r="C130" t="n">
        <v>3108</v>
      </c>
      <c r="D130" s="22" t="inlineStr"/>
      <c r="E130" s="22" t="inlineStr"/>
      <c r="F130" t="inlineStr">
        <is>
          <t>No</t>
        </is>
      </c>
      <c r="G130" t="inlineStr">
        <is>
          <t>No</t>
        </is>
      </c>
      <c r="H130" t="inlineStr">
        <is>
          <t>No</t>
        </is>
      </c>
    </row>
    <row r="131">
      <c r="A131" t="inlineStr">
        <is>
          <t>NG-3DP-002</t>
        </is>
      </c>
      <c r="B131" t="inlineStr">
        <is>
          <t>Bambu Lab AMS - Automatic Material System for Multi-Color 3D Printing</t>
        </is>
      </c>
      <c r="C131" t="n">
        <v>3107</v>
      </c>
      <c r="D131" s="22" t="inlineStr"/>
      <c r="E131" s="22" t="inlineStr"/>
      <c r="F131" t="inlineStr">
        <is>
          <t>No</t>
        </is>
      </c>
      <c r="G131" t="inlineStr">
        <is>
          <t>No</t>
        </is>
      </c>
      <c r="H131" t="inlineStr">
        <is>
          <t>No</t>
        </is>
      </c>
    </row>
    <row r="132">
      <c r="A132" t="inlineStr">
        <is>
          <t>NG-3DP-001</t>
        </is>
      </c>
      <c r="B132" t="inlineStr">
        <is>
          <t>Bambu Lab P1S 3D Printer - Blazing Speed and Pro Quality in an Enclosed Design</t>
        </is>
      </c>
      <c r="C132" t="n">
        <v>3106</v>
      </c>
      <c r="D132" s="22" t="inlineStr"/>
      <c r="E132" s="22" t="inlineStr"/>
      <c r="F132" t="inlineStr">
        <is>
          <t>No</t>
        </is>
      </c>
      <c r="G132" t="inlineStr">
        <is>
          <t>No</t>
        </is>
      </c>
      <c r="H132" t="inlineStr">
        <is>
          <t>No</t>
        </is>
      </c>
    </row>
    <row r="133">
      <c r="A133" t="inlineStr">
        <is>
          <t>NG-ACC-010</t>
        </is>
      </c>
      <c r="B133" t="inlineStr">
        <is>
          <t>WD Red Plus 8TB NAS Hard Drive - Built for Always-On NAS Systems</t>
        </is>
      </c>
      <c r="C133" t="n">
        <v>3105</v>
      </c>
      <c r="D133" s="22" t="inlineStr"/>
      <c r="E133" s="22" t="inlineStr"/>
      <c r="F133" t="inlineStr">
        <is>
          <t>No</t>
        </is>
      </c>
      <c r="G133" t="inlineStr">
        <is>
          <t>No</t>
        </is>
      </c>
      <c r="H133" t="inlineStr">
        <is>
          <t>No</t>
        </is>
      </c>
    </row>
    <row r="134">
      <c r="A134" t="inlineStr">
        <is>
          <t>NG-ACC-009</t>
        </is>
      </c>
      <c r="B134" t="inlineStr">
        <is>
          <t>Ugreen Nexode 100W GaN Charger - 4-Port Gallium Nitride Fast Charger</t>
        </is>
      </c>
      <c r="C134" t="n">
        <v>3104</v>
      </c>
      <c r="D134" s="22" t="inlineStr"/>
      <c r="E134" s="22" t="inlineStr"/>
      <c r="F134" t="inlineStr">
        <is>
          <t>No</t>
        </is>
      </c>
      <c r="G134" t="inlineStr">
        <is>
          <t>No</t>
        </is>
      </c>
      <c r="H134" t="inlineStr">
        <is>
          <t>No</t>
        </is>
      </c>
    </row>
    <row r="135">
      <c r="A135" t="inlineStr">
        <is>
          <t>NG-ACC-008</t>
        </is>
      </c>
      <c r="B135" t="inlineStr">
        <is>
          <t>CalDigit TS4 Thunderbolt 4 Dock - 18-Port Professional Docking Station</t>
        </is>
      </c>
      <c r="C135" t="n">
        <v>3103</v>
      </c>
      <c r="D135" s="22" t="inlineStr"/>
      <c r="E135" s="22" t="inlineStr"/>
      <c r="F135" t="inlineStr">
        <is>
          <t>No</t>
        </is>
      </c>
      <c r="G135" t="inlineStr">
        <is>
          <t>No</t>
        </is>
      </c>
      <c r="H135" t="inlineStr">
        <is>
          <t>No</t>
        </is>
      </c>
    </row>
    <row r="136">
      <c r="A136" t="inlineStr">
        <is>
          <t>NG-ACC-007</t>
        </is>
      </c>
      <c r="B136" t="inlineStr">
        <is>
          <t>Anker PowerConf S330 USB Speakerphone - Smart Noise-Canceling Conference Speaker</t>
        </is>
      </c>
      <c r="C136" t="n">
        <v>3102</v>
      </c>
      <c r="D136" s="22" t="inlineStr"/>
      <c r="E136" s="22" t="inlineStr"/>
      <c r="F136" t="inlineStr">
        <is>
          <t>No</t>
        </is>
      </c>
      <c r="G136" t="inlineStr">
        <is>
          <t>No</t>
        </is>
      </c>
      <c r="H136" t="inlineStr">
        <is>
          <t>No</t>
        </is>
      </c>
    </row>
    <row r="137">
      <c r="A137" t="inlineStr">
        <is>
          <t>NG-ACC-006</t>
        </is>
      </c>
      <c r="B137" t="inlineStr">
        <is>
          <t>Samsung T7 Shield 2TB Portable SSD - Rugged, Fast, and Secure</t>
        </is>
      </c>
      <c r="C137" t="n">
        <v>3101</v>
      </c>
      <c r="D137" s="22" t="inlineStr"/>
      <c r="E137" s="22" t="inlineStr"/>
      <c r="F137" t="inlineStr">
        <is>
          <t>No</t>
        </is>
      </c>
      <c r="G137" t="inlineStr">
        <is>
          <t>No</t>
        </is>
      </c>
      <c r="H137" t="inlineStr">
        <is>
          <t>No</t>
        </is>
      </c>
    </row>
    <row r="138">
      <c r="A138" t="inlineStr">
        <is>
          <t>NG-MKR-010</t>
        </is>
      </c>
      <c r="B138" t="inlineStr">
        <is>
          <t>Elegoo Mars 4 Ultra Resin 3D Printer - 9K Resolution for Stunning Detail</t>
        </is>
      </c>
      <c r="C138" t="n">
        <v>3100</v>
      </c>
      <c r="D138" s="22" t="inlineStr"/>
      <c r="E138" s="22" t="inlineStr"/>
      <c r="F138" t="inlineStr">
        <is>
          <t>No</t>
        </is>
      </c>
      <c r="G138" t="inlineStr">
        <is>
          <t>No</t>
        </is>
      </c>
      <c r="H138" t="inlineStr">
        <is>
          <t>No</t>
        </is>
      </c>
    </row>
    <row r="139">
      <c r="A139" t="inlineStr">
        <is>
          <t>NG-MKR-009</t>
        </is>
      </c>
      <c r="B139" t="inlineStr">
        <is>
          <t>ESP32-S3 DevKit 10-Pack - Wi-Fi + Bluetooth 5 Microcontroller for Smart Projects</t>
        </is>
      </c>
      <c r="C139" t="n">
        <v>3099</v>
      </c>
      <c r="D139" s="22" t="inlineStr"/>
      <c r="E139" s="22" t="inlineStr"/>
      <c r="F139" t="inlineStr">
        <is>
          <t>No</t>
        </is>
      </c>
      <c r="G139" t="inlineStr">
        <is>
          <t>No</t>
        </is>
      </c>
      <c r="H139" t="inlineStr">
        <is>
          <t>No</t>
        </is>
      </c>
    </row>
    <row r="140">
      <c r="A140" t="inlineStr">
        <is>
          <t>NG-MKR-008</t>
        </is>
      </c>
      <c r="B140" t="inlineStr">
        <is>
          <t>Creality Ender-3 V3 SE - The Best Entry-Level 3D Printer</t>
        </is>
      </c>
      <c r="C140" t="n">
        <v>3098</v>
      </c>
      <c r="D140" s="22" t="inlineStr"/>
      <c r="E140" s="22" t="inlineStr"/>
      <c r="F140" t="inlineStr">
        <is>
          <t>No</t>
        </is>
      </c>
      <c r="G140" t="inlineStr">
        <is>
          <t>No</t>
        </is>
      </c>
      <c r="H140" t="inlineStr">
        <is>
          <t>No</t>
        </is>
      </c>
    </row>
    <row r="141">
      <c r="A141" t="inlineStr">
        <is>
          <t>NG-MKR-007</t>
        </is>
      </c>
      <c r="B141" t="inlineStr">
        <is>
          <t>Prusa Mini+ 3D Printer - Professional Precision in a Compact Package</t>
        </is>
      </c>
      <c r="C141" t="n">
        <v>3097</v>
      </c>
      <c r="D141" s="22" t="inlineStr"/>
      <c r="E141" s="22" t="inlineStr"/>
      <c r="F141" t="inlineStr">
        <is>
          <t>No</t>
        </is>
      </c>
      <c r="G141" t="inlineStr">
        <is>
          <t>No</t>
        </is>
      </c>
      <c r="H141" t="inlineStr">
        <is>
          <t>No</t>
        </is>
      </c>
    </row>
    <row r="142">
      <c r="A142" t="inlineStr">
        <is>
          <t>NG-MKR-006</t>
        </is>
      </c>
      <c r="B142" t="inlineStr">
        <is>
          <t>Arduino Mega 2560 Rev3 - The Ultimate Microcontroller Board for Advanced Project</t>
        </is>
      </c>
      <c r="C142" t="n">
        <v>3096</v>
      </c>
      <c r="D142" s="22" t="inlineStr"/>
      <c r="E142" s="22" t="inlineStr"/>
      <c r="F142" t="inlineStr">
        <is>
          <t>No</t>
        </is>
      </c>
      <c r="G142" t="inlineStr">
        <is>
          <t>No</t>
        </is>
      </c>
      <c r="H142" t="inlineStr">
        <is>
          <t>No</t>
        </is>
      </c>
    </row>
    <row r="143">
      <c r="A143" t="inlineStr">
        <is>
          <t>NG-GAM-012</t>
        </is>
      </c>
      <c r="B143" t="inlineStr">
        <is>
          <t>Elgato Wave:3 - Premium USB Condenser Microphone for Streaming</t>
        </is>
      </c>
      <c r="C143" t="n">
        <v>3095</v>
      </c>
      <c r="D143" s="22" t="inlineStr"/>
      <c r="E143" s="22" t="inlineStr"/>
      <c r="F143" t="inlineStr">
        <is>
          <t>No</t>
        </is>
      </c>
      <c r="G143" t="inlineStr">
        <is>
          <t>No</t>
        </is>
      </c>
      <c r="H143" t="inlineStr">
        <is>
          <t>No</t>
        </is>
      </c>
    </row>
    <row r="144">
      <c r="A144" t="inlineStr">
        <is>
          <t>NG-GAM-011</t>
        </is>
      </c>
      <c r="B144" t="inlineStr">
        <is>
          <t>SteelSeries QcK Heavy XXL - Extra-Large Gaming Mouse Pad</t>
        </is>
      </c>
      <c r="C144" t="n">
        <v>3094</v>
      </c>
      <c r="D144" s="22" t="inlineStr"/>
      <c r="E144" s="22" t="inlineStr"/>
      <c r="F144" t="inlineStr">
        <is>
          <t>No</t>
        </is>
      </c>
      <c r="G144" t="inlineStr">
        <is>
          <t>No</t>
        </is>
      </c>
      <c r="H144" t="inlineStr">
        <is>
          <t>No</t>
        </is>
      </c>
    </row>
    <row r="145">
      <c r="A145" t="inlineStr">
        <is>
          <t>NG-GAM-010</t>
        </is>
      </c>
      <c r="B145" t="inlineStr">
        <is>
          <t>BenQ Zowie XL2546K - 240Hz Esports Gaming Monitor</t>
        </is>
      </c>
      <c r="C145" t="n">
        <v>3093</v>
      </c>
      <c r="D145" s="22" t="inlineStr"/>
      <c r="E145" s="22" t="inlineStr"/>
      <c r="F145" t="inlineStr">
        <is>
          <t>No</t>
        </is>
      </c>
      <c r="G145" t="inlineStr">
        <is>
          <t>No</t>
        </is>
      </c>
      <c r="H145" t="inlineStr">
        <is>
          <t>No</t>
        </is>
      </c>
    </row>
    <row r="146">
      <c r="A146" t="inlineStr">
        <is>
          <t>NG-GAM-009</t>
        </is>
      </c>
      <c r="B146" t="inlineStr">
        <is>
          <t>Corsair K70 RGB Pro - Legendary Mechanical Gaming Keyboard</t>
        </is>
      </c>
      <c r="C146" t="n">
        <v>3092</v>
      </c>
      <c r="D146" s="22" t="inlineStr"/>
      <c r="E146" s="22" t="inlineStr"/>
      <c r="F146" t="inlineStr">
        <is>
          <t>No</t>
        </is>
      </c>
      <c r="G146" t="inlineStr">
        <is>
          <t>No</t>
        </is>
      </c>
      <c r="H146" t="inlineStr">
        <is>
          <t>No</t>
        </is>
      </c>
    </row>
    <row r="147">
      <c r="A147" t="inlineStr">
        <is>
          <t>NG-GAM-008</t>
        </is>
      </c>
      <c r="B147" t="inlineStr">
        <is>
          <t>Razer Basilisk V3 X HyperSpeed - Versatile Wireless Gaming Mouse</t>
        </is>
      </c>
      <c r="C147" t="n">
        <v>3091</v>
      </c>
      <c r="D147" s="22" t="inlineStr"/>
      <c r="E147" s="22" t="inlineStr"/>
      <c r="F147" t="inlineStr">
        <is>
          <t>No</t>
        </is>
      </c>
      <c r="G147" t="inlineStr">
        <is>
          <t>No</t>
        </is>
      </c>
      <c r="H147" t="inlineStr">
        <is>
          <t>No</t>
        </is>
      </c>
    </row>
    <row r="148">
      <c r="A148" t="inlineStr">
        <is>
          <t>NG-GAM-007</t>
        </is>
      </c>
      <c r="B148" t="inlineStr">
        <is>
          <t>8BitDo Arcade Stick - Authentic Arcade Experience at Home</t>
        </is>
      </c>
      <c r="C148" t="n">
        <v>3090</v>
      </c>
      <c r="D148" s="22" t="inlineStr"/>
      <c r="E148" s="22" t="inlineStr"/>
      <c r="F148" t="inlineStr">
        <is>
          <t>No</t>
        </is>
      </c>
      <c r="G148" t="inlineStr">
        <is>
          <t>No</t>
        </is>
      </c>
      <c r="H148" t="inlineStr">
        <is>
          <t>No</t>
        </is>
      </c>
    </row>
    <row r="149">
      <c r="A149" t="inlineStr">
        <is>
          <t>NG-GAM-006</t>
        </is>
      </c>
      <c r="B149" t="inlineStr">
        <is>
          <t>SteelSeries Arctis Nova 7 - Multi-Platform Wireless Gaming Headset</t>
        </is>
      </c>
      <c r="C149" t="n">
        <v>3089</v>
      </c>
      <c r="D149" s="22" t="inlineStr"/>
      <c r="E149" s="22" t="inlineStr"/>
      <c r="F149" t="inlineStr">
        <is>
          <t>No</t>
        </is>
      </c>
      <c r="G149" t="inlineStr">
        <is>
          <t>No</t>
        </is>
      </c>
      <c r="H149" t="inlineStr">
        <is>
          <t>No</t>
        </is>
      </c>
    </row>
    <row r="150">
      <c r="A150" t="inlineStr">
        <is>
          <t>NG-GAM-005</t>
        </is>
      </c>
      <c r="B150" t="inlineStr">
        <is>
          <t>Elgato HD60 X - External Capture Card for Streaming and Recording</t>
        </is>
      </c>
      <c r="C150" t="n">
        <v>3088</v>
      </c>
      <c r="D150" s="22" t="inlineStr"/>
      <c r="E150" s="22" t="inlineStr"/>
      <c r="F150" t="inlineStr">
        <is>
          <t>No</t>
        </is>
      </c>
      <c r="G150" t="inlineStr">
        <is>
          <t>No</t>
        </is>
      </c>
      <c r="H150" t="inlineStr">
        <is>
          <t>No</t>
        </is>
      </c>
    </row>
    <row r="151">
      <c r="A151" t="inlineStr">
        <is>
          <t>NG-GAM-004</t>
        </is>
      </c>
      <c r="B151" t="inlineStr">
        <is>
          <t>Razer BlackWidow V4 75% - Compact Mechanical Gaming Keyboard</t>
        </is>
      </c>
      <c r="C151" t="n">
        <v>3087</v>
      </c>
      <c r="D151" s="22" t="inlineStr"/>
      <c r="E151" s="22" t="inlineStr"/>
      <c r="F151" t="inlineStr">
        <is>
          <t>No</t>
        </is>
      </c>
      <c r="G151" t="inlineStr">
        <is>
          <t>No</t>
        </is>
      </c>
      <c r="H151" t="inlineStr">
        <is>
          <t>No</t>
        </is>
      </c>
    </row>
    <row r="152">
      <c r="A152" t="inlineStr">
        <is>
          <t>NG-GAM-003</t>
        </is>
      </c>
      <c r="B152" t="inlineStr">
        <is>
          <t>HyperX Cloud III Wireless - Premium Wireless Gaming Headset</t>
        </is>
      </c>
      <c r="C152" t="n">
        <v>3086</v>
      </c>
      <c r="D152" s="22" t="inlineStr"/>
      <c r="E152" s="22" t="inlineStr"/>
      <c r="F152" t="inlineStr">
        <is>
          <t>No</t>
        </is>
      </c>
      <c r="G152" t="inlineStr">
        <is>
          <t>No</t>
        </is>
      </c>
      <c r="H152" t="inlineStr">
        <is>
          <t>No</t>
        </is>
      </c>
    </row>
    <row r="153">
      <c r="A153" t="inlineStr">
        <is>
          <t>NG-GAM-002</t>
        </is>
      </c>
      <c r="B153" t="inlineStr">
        <is>
          <t>Razer DeathAdder V3 HyperSpeed - Ultra-Light Wireless Gaming Mouse</t>
        </is>
      </c>
      <c r="C153" t="n">
        <v>3085</v>
      </c>
      <c r="D153" s="22" t="inlineStr"/>
      <c r="E153" s="22" t="inlineStr"/>
      <c r="F153" t="inlineStr">
        <is>
          <t>No</t>
        </is>
      </c>
      <c r="G153" t="inlineStr">
        <is>
          <t>No</t>
        </is>
      </c>
      <c r="H153" t="inlineStr">
        <is>
          <t>No</t>
        </is>
      </c>
    </row>
    <row r="154">
      <c r="A154" t="inlineStr">
        <is>
          <t>NG-GAM-001</t>
        </is>
      </c>
      <c r="B154" t="inlineStr">
        <is>
          <t>8BitDo Ultimate C Bluetooth Controller - Multi-Platform Gaming</t>
        </is>
      </c>
      <c r="C154" t="n">
        <v>3084</v>
      </c>
      <c r="D154" s="22" t="inlineStr"/>
      <c r="E154" s="22" t="inlineStr"/>
      <c r="F154" t="inlineStr">
        <is>
          <t>No</t>
        </is>
      </c>
      <c r="G154" t="inlineStr">
        <is>
          <t>No</t>
        </is>
      </c>
      <c r="H154" t="inlineStr">
        <is>
          <t>No</t>
        </is>
      </c>
    </row>
    <row r="155">
      <c r="A155" t="inlineStr">
        <is>
          <t>NG-NET-012</t>
        </is>
      </c>
      <c r="B155" t="inlineStr">
        <is>
          <t>Ubiquiti UniFi Cloud Gateway Ultra - All-in-One UniFi Gateway</t>
        </is>
      </c>
      <c r="C155" t="n">
        <v>3083</v>
      </c>
      <c r="D155" s="22" t="inlineStr"/>
      <c r="E155" s="22" t="inlineStr"/>
      <c r="F155" t="inlineStr">
        <is>
          <t>No</t>
        </is>
      </c>
      <c r="G155" t="inlineStr">
        <is>
          <t>No</t>
        </is>
      </c>
      <c r="H155" t="inlineStr">
        <is>
          <t>No</t>
        </is>
      </c>
    </row>
    <row r="156">
      <c r="A156" t="inlineStr">
        <is>
          <t>NG-NET-011</t>
        </is>
      </c>
      <c r="B156" t="inlineStr">
        <is>
          <t>TP-Link Archer AXE75 - AXE5400 Tri-Band WiFi 6E Router</t>
        </is>
      </c>
      <c r="C156" t="n">
        <v>3082</v>
      </c>
      <c r="D156" s="22" t="inlineStr"/>
      <c r="E156" s="22" t="inlineStr"/>
      <c r="F156" t="inlineStr">
        <is>
          <t>No</t>
        </is>
      </c>
      <c r="G156" t="inlineStr">
        <is>
          <t>No</t>
        </is>
      </c>
      <c r="H156" t="inlineStr">
        <is>
          <t>No</t>
        </is>
      </c>
    </row>
    <row r="157">
      <c r="A157" t="inlineStr">
        <is>
          <t>NG-NET-010</t>
        </is>
      </c>
      <c r="B157" t="inlineStr">
        <is>
          <t>Ubiquiti UniFi USW-Flex-Mini - Ultra-Compact 5-Port Managed Switch</t>
        </is>
      </c>
      <c r="C157" t="n">
        <v>3081</v>
      </c>
      <c r="D157" s="22" t="inlineStr"/>
      <c r="E157" s="22" t="inlineStr"/>
      <c r="F157" t="inlineStr">
        <is>
          <t>No</t>
        </is>
      </c>
      <c r="G157" t="inlineStr">
        <is>
          <t>No</t>
        </is>
      </c>
      <c r="H157" t="inlineStr">
        <is>
          <t>No</t>
        </is>
      </c>
    </row>
    <row r="158">
      <c r="A158" t="inlineStr">
        <is>
          <t>NG-NET-009</t>
        </is>
      </c>
      <c r="B158" t="inlineStr">
        <is>
          <t>Netgear GS308E - 8-Port Gigabit Plus Smart Managed Switch</t>
        </is>
      </c>
      <c r="C158" t="n">
        <v>3080</v>
      </c>
      <c r="D158" s="22" t="inlineStr"/>
      <c r="E158" s="22" t="inlineStr"/>
      <c r="F158" t="inlineStr">
        <is>
          <t>No</t>
        </is>
      </c>
      <c r="G158" t="inlineStr">
        <is>
          <t>No</t>
        </is>
      </c>
      <c r="H158" t="inlineStr">
        <is>
          <t>No</t>
        </is>
      </c>
    </row>
    <row r="159">
      <c r="A159" t="inlineStr">
        <is>
          <t>NG-NET-008</t>
        </is>
      </c>
      <c r="B159" t="inlineStr">
        <is>
          <t>MikroTik hEX S (RB760iGS) - 5-Port Gigabit Router with SFP and USB</t>
        </is>
      </c>
      <c r="C159" t="n">
        <v>3079</v>
      </c>
      <c r="D159" s="22" t="inlineStr"/>
      <c r="E159" s="22" t="inlineStr"/>
      <c r="F159" t="inlineStr">
        <is>
          <t>No</t>
        </is>
      </c>
      <c r="G159" t="inlineStr">
        <is>
          <t>No</t>
        </is>
      </c>
      <c r="H159" t="inlineStr">
        <is>
          <t>No</t>
        </is>
      </c>
    </row>
    <row r="160">
      <c r="A160" t="inlineStr">
        <is>
          <t>NG-NET-007</t>
        </is>
      </c>
      <c r="B160" t="inlineStr">
        <is>
          <t>Ubiquiti EdgeRouter X - Advanced Gigabit Router in a Pocket-Sized Form</t>
        </is>
      </c>
      <c r="C160" t="n">
        <v>3078</v>
      </c>
      <c r="D160" s="22" t="inlineStr"/>
      <c r="E160" s="22" t="inlineStr"/>
      <c r="F160" t="inlineStr">
        <is>
          <t>No</t>
        </is>
      </c>
      <c r="G160" t="inlineStr">
        <is>
          <t>No</t>
        </is>
      </c>
      <c r="H160" t="inlineStr">
        <is>
          <t>No</t>
        </is>
      </c>
    </row>
    <row r="161">
      <c r="A161" t="inlineStr">
        <is>
          <t>NG-NET-006</t>
        </is>
      </c>
      <c r="B161" t="inlineStr">
        <is>
          <t>TP-Link TL-SG108E - 8-Port Gigabit Easy Smart Managed Switch</t>
        </is>
      </c>
      <c r="C161" t="n">
        <v>3077</v>
      </c>
      <c r="D161" s="22" t="inlineStr"/>
      <c r="E161" s="22" t="inlineStr"/>
      <c r="F161" t="inlineStr">
        <is>
          <t>No</t>
        </is>
      </c>
      <c r="G161" t="inlineStr">
        <is>
          <t>No</t>
        </is>
      </c>
      <c r="H161" t="inlineStr">
        <is>
          <t>No</t>
        </is>
      </c>
    </row>
    <row r="162">
      <c r="A162" t="inlineStr">
        <is>
          <t>NG-NET-005</t>
        </is>
      </c>
      <c r="B162" t="inlineStr">
        <is>
          <t>Ubiquiti UniFi 6 Lite - WiFi 6 Access Point (AX1500)</t>
        </is>
      </c>
      <c r="C162" t="n">
        <v>3076</v>
      </c>
      <c r="D162" s="22" t="inlineStr"/>
      <c r="E162" s="22" t="inlineStr"/>
      <c r="F162" t="inlineStr">
        <is>
          <t>No</t>
        </is>
      </c>
      <c r="G162" t="inlineStr">
        <is>
          <t>No</t>
        </is>
      </c>
      <c r="H162" t="inlineStr">
        <is>
          <t>No</t>
        </is>
      </c>
    </row>
    <row r="163">
      <c r="A163" t="inlineStr">
        <is>
          <t>NG-NET-004</t>
        </is>
      </c>
      <c r="B163" t="inlineStr">
        <is>
          <t>MikroTik CRS305-1G-4S+IN - 4-Port 10G SFP+ Desktop Switch</t>
        </is>
      </c>
      <c r="C163" t="n">
        <v>3075</v>
      </c>
      <c r="D163" s="22" t="inlineStr"/>
      <c r="E163" s="22" t="inlineStr"/>
      <c r="F163" t="inlineStr">
        <is>
          <t>No</t>
        </is>
      </c>
      <c r="G163" t="inlineStr">
        <is>
          <t>No</t>
        </is>
      </c>
      <c r="H163" t="inlineStr">
        <is>
          <t>No</t>
        </is>
      </c>
    </row>
    <row r="164">
      <c r="A164" t="inlineStr">
        <is>
          <t>NG-NET-003</t>
        </is>
      </c>
      <c r="B164" t="inlineStr">
        <is>
          <t>Ubiquiti UniFi Switch Lite 16 PoE - 16-Port Managed Gigabit PoE+ Switch</t>
        </is>
      </c>
      <c r="C164" t="n">
        <v>3074</v>
      </c>
      <c r="D164" s="22" t="inlineStr"/>
      <c r="E164" s="22" t="inlineStr"/>
      <c r="F164" t="inlineStr">
        <is>
          <t>No</t>
        </is>
      </c>
      <c r="G164" t="inlineStr">
        <is>
          <t>No</t>
        </is>
      </c>
      <c r="H164" t="inlineStr">
        <is>
          <t>No</t>
        </is>
      </c>
    </row>
    <row r="165">
      <c r="A165" t="inlineStr">
        <is>
          <t>NG-NET-002</t>
        </is>
      </c>
      <c r="B165" t="inlineStr">
        <is>
          <t>TP-Link Deco XE75 (3-Pack) - AXE5400 WiFi 6E Whole-Home Mesh System</t>
        </is>
      </c>
      <c r="C165" t="n">
        <v>3073</v>
      </c>
      <c r="D165" s="22" t="inlineStr"/>
      <c r="E165" s="22" t="inlineStr"/>
      <c r="F165" t="inlineStr">
        <is>
          <t>No</t>
        </is>
      </c>
      <c r="G165" t="inlineStr">
        <is>
          <t>No</t>
        </is>
      </c>
      <c r="H165" t="inlineStr">
        <is>
          <t>No</t>
        </is>
      </c>
    </row>
    <row r="166">
      <c r="A166" t="inlineStr">
        <is>
          <t>NG-NET-001</t>
        </is>
      </c>
      <c r="B166" t="inlineStr">
        <is>
          <t>MikroTik hAP ax3 - WiFi 6 Router with RouterOS Power</t>
        </is>
      </c>
      <c r="C166" t="n">
        <v>3072</v>
      </c>
      <c r="D166" s="22" t="inlineStr"/>
      <c r="E166" s="22" t="inlineStr"/>
      <c r="F166" t="inlineStr">
        <is>
          <t>No</t>
        </is>
      </c>
      <c r="G166" t="inlineStr">
        <is>
          <t>No</t>
        </is>
      </c>
      <c r="H166" t="inlineStr">
        <is>
          <t>No</t>
        </is>
      </c>
    </row>
    <row r="167">
      <c r="A167" t="inlineStr">
        <is>
          <t>NG-SH-015</t>
        </is>
      </c>
      <c r="B167" t="inlineStr">
        <is>
          <t>Sonoff SNZB-02D Zigbee Temperature &amp;amp; Humidity Sensor with LCD Display</t>
        </is>
      </c>
      <c r="C167" t="n">
        <v>3071</v>
      </c>
      <c r="D167" s="22" t="inlineStr"/>
      <c r="E167" s="22" t="inlineStr"/>
      <c r="F167" t="inlineStr">
        <is>
          <t>No</t>
        </is>
      </c>
      <c r="G167" t="inlineStr">
        <is>
          <t>No</t>
        </is>
      </c>
      <c r="H167" t="inlineStr">
        <is>
          <t>No</t>
        </is>
      </c>
    </row>
    <row r="168">
      <c r="A168" t="inlineStr">
        <is>
          <t>NG-SH-014</t>
        </is>
      </c>
      <c r="B168" t="inlineStr">
        <is>
          <t>MOES Zigbee Smart Thermostat (BHT-002-GCLZB) - Programmable HVAC Control</t>
        </is>
      </c>
      <c r="C168" t="n">
        <v>3070</v>
      </c>
      <c r="D168" s="22" t="inlineStr"/>
      <c r="E168" s="22" t="inlineStr"/>
      <c r="F168" t="inlineStr">
        <is>
          <t>No</t>
        </is>
      </c>
      <c r="G168" t="inlineStr">
        <is>
          <t>No</t>
        </is>
      </c>
      <c r="H168" t="inlineStr">
        <is>
          <t>No</t>
        </is>
      </c>
    </row>
    <row r="169">
      <c r="A169" t="inlineStr">
        <is>
          <t>NG-SH-013</t>
        </is>
      </c>
      <c r="B169" t="inlineStr">
        <is>
          <t>Zemismart Zigbee Smart Tubular Motor (ZM25TQ) - Heavy-Duty Roller Blind Motor</t>
        </is>
      </c>
      <c r="C169" t="n">
        <v>3069</v>
      </c>
      <c r="D169" s="22" t="inlineStr"/>
      <c r="E169" s="22" t="inlineStr"/>
      <c r="F169" t="inlineStr">
        <is>
          <t>No</t>
        </is>
      </c>
      <c r="G169" t="inlineStr">
        <is>
          <t>No</t>
        </is>
      </c>
      <c r="H169" t="inlineStr">
        <is>
          <t>No</t>
        </is>
      </c>
    </row>
    <row r="170">
      <c r="A170" t="inlineStr">
        <is>
          <t>NG-SH-012</t>
        </is>
      </c>
      <c r="B170" t="inlineStr">
        <is>
          <t>Aqara Roller Shade Driver E1 (RSD-M01) - Smart Roller Blind Motor with HomeKit</t>
        </is>
      </c>
      <c r="C170" t="n">
        <v>3068</v>
      </c>
      <c r="D170" s="22" t="inlineStr"/>
      <c r="E170" s="22" t="inlineStr"/>
      <c r="F170" t="inlineStr">
        <is>
          <t>No</t>
        </is>
      </c>
      <c r="G170" t="inlineStr">
        <is>
          <t>No</t>
        </is>
      </c>
      <c r="H170" t="inlineStr">
        <is>
          <t>No</t>
        </is>
      </c>
    </row>
    <row r="171">
      <c r="A171" t="inlineStr">
        <is>
          <t>NG-SH-011</t>
        </is>
      </c>
      <c r="B171" t="inlineStr">
        <is>
          <t>SwitchBot Bot (S1) - Robotic Finger That Makes Any Button Smart</t>
        </is>
      </c>
      <c r="C171" t="n">
        <v>3067</v>
      </c>
      <c r="D171" s="22" t="inlineStr"/>
      <c r="E171" s="22" t="inlineStr"/>
      <c r="F171" t="inlineStr">
        <is>
          <t>No</t>
        </is>
      </c>
      <c r="G171" t="inlineStr">
        <is>
          <t>No</t>
        </is>
      </c>
      <c r="H171" t="inlineStr">
        <is>
          <t>No</t>
        </is>
      </c>
    </row>
    <row r="172">
      <c r="A172" t="inlineStr">
        <is>
          <t>NG-SH-010</t>
        </is>
      </c>
      <c r="B172" t="inlineStr">
        <is>
          <t>Eve Energy Smart Plug (Matter/Thread) - Next-Gen Smart Plug with Power Monitorin</t>
        </is>
      </c>
      <c r="C172" t="n">
        <v>3066</v>
      </c>
      <c r="D172" s="22" t="inlineStr"/>
      <c r="E172" s="22" t="inlineStr"/>
      <c r="F172" t="inlineStr">
        <is>
          <t>No</t>
        </is>
      </c>
      <c r="G172" t="inlineStr">
        <is>
          <t>No</t>
        </is>
      </c>
      <c r="H172" t="inlineStr">
        <is>
          <t>No</t>
        </is>
      </c>
    </row>
    <row r="173">
      <c r="A173" t="inlineStr">
        <is>
          <t>NG-SH-009</t>
        </is>
      </c>
      <c r="B173" t="inlineStr">
        <is>
          <t>Aqara Motion Sensor P1 (MS-S02) - Wide-Angle 170° Smart PIR Sensor</t>
        </is>
      </c>
      <c r="C173" t="n">
        <v>3065</v>
      </c>
      <c r="D173" s="22" t="inlineStr"/>
      <c r="E173" s="22" t="inlineStr"/>
      <c r="F173" t="inlineStr">
        <is>
          <t>No</t>
        </is>
      </c>
      <c r="G173" t="inlineStr">
        <is>
          <t>No</t>
        </is>
      </c>
      <c r="H173" t="inlineStr">
        <is>
          <t>No</t>
        </is>
      </c>
    </row>
    <row r="174">
      <c r="A174" t="inlineStr">
        <is>
          <t>NG-SH-008</t>
        </is>
      </c>
      <c r="B174" t="inlineStr">
        <is>
          <t>Shelly Plus 1PM - Smart Wi-Fi Relay with Power Monitoring</t>
        </is>
      </c>
      <c r="C174" t="n">
        <v>3064</v>
      </c>
      <c r="D174" s="22" t="inlineStr"/>
      <c r="E174" s="22" t="inlineStr"/>
      <c r="F174" t="inlineStr">
        <is>
          <t>No</t>
        </is>
      </c>
      <c r="G174" t="inlineStr">
        <is>
          <t>No</t>
        </is>
      </c>
      <c r="H174" t="inlineStr">
        <is>
          <t>No</t>
        </is>
      </c>
    </row>
    <row r="175">
      <c r="A175" t="inlineStr">
        <is>
          <t>NG-SH-007</t>
        </is>
      </c>
      <c r="B175" t="inlineStr">
        <is>
          <t>SwitchBot Curtain 3 (W2400000) - Turn Any Curtain Smart in Minutes</t>
        </is>
      </c>
      <c r="C175" t="n">
        <v>3063</v>
      </c>
      <c r="D175" s="22" t="inlineStr"/>
      <c r="E175" s="22" t="inlineStr"/>
      <c r="F175" t="inlineStr">
        <is>
          <t>No</t>
        </is>
      </c>
      <c r="G175" t="inlineStr">
        <is>
          <t>No</t>
        </is>
      </c>
      <c r="H175" t="inlineStr">
        <is>
          <t>No</t>
        </is>
      </c>
    </row>
    <row r="176">
      <c r="A176" t="inlineStr">
        <is>
          <t>NG-SH-006</t>
        </is>
      </c>
      <c r="B176" t="inlineStr">
        <is>
          <t>Aqara Hub M2 (HM2-G01) - Multi-Protocol Smart Home Gateway</t>
        </is>
      </c>
      <c r="C176" t="n">
        <v>3062</v>
      </c>
      <c r="D176" s="22" t="inlineStr"/>
      <c r="E176" s="22" t="inlineStr"/>
      <c r="F176" t="inlineStr">
        <is>
          <t>No</t>
        </is>
      </c>
      <c r="G176" t="inlineStr">
        <is>
          <t>No</t>
        </is>
      </c>
      <c r="H176" t="inlineStr">
        <is>
          <t>No</t>
        </is>
      </c>
    </row>
    <row r="177">
      <c r="A177" t="inlineStr">
        <is>
          <t>NG-ENT-010</t>
        </is>
      </c>
      <c r="B177" t="inlineStr">
        <is>
          <t>Ubiquiti UniFi Switch Pro 24 PoE (USW-Pro-24-PoE) - Smart Managed PoE+ Switch</t>
        </is>
      </c>
      <c r="C177" t="n">
        <v>3061</v>
      </c>
      <c r="D177" s="22" t="inlineStr"/>
      <c r="E177" s="22" t="inlineStr"/>
      <c r="F177" t="inlineStr">
        <is>
          <t>No</t>
        </is>
      </c>
      <c r="G177" t="inlineStr">
        <is>
          <t>No</t>
        </is>
      </c>
      <c r="H177" t="inlineStr">
        <is>
          <t>No</t>
        </is>
      </c>
    </row>
    <row r="178">
      <c r="A178" t="inlineStr">
        <is>
          <t>NG-ENT-009</t>
        </is>
      </c>
      <c r="B178" t="inlineStr">
        <is>
          <t>HPE ProLiant DL380 Gen10 Server (Refurbished) - Data Center Power at Smart Prici</t>
        </is>
      </c>
      <c r="C178" t="n">
        <v>3060</v>
      </c>
      <c r="D178" s="22" t="inlineStr"/>
      <c r="E178" s="22" t="inlineStr"/>
      <c r="F178" t="inlineStr">
        <is>
          <t>No</t>
        </is>
      </c>
      <c r="G178" t="inlineStr">
        <is>
          <t>No</t>
        </is>
      </c>
      <c r="H178" t="inlineStr">
        <is>
          <t>No</t>
        </is>
      </c>
    </row>
    <row r="179">
      <c r="A179" t="inlineStr">
        <is>
          <t>NG-ENT-008</t>
        </is>
      </c>
      <c r="B179" t="inlineStr">
        <is>
          <t>APC Smart-UPS 1500VA LCD RM 2U (SMT1500RMI2U) - Pure Sine Wave Rack UPS</t>
        </is>
      </c>
      <c r="C179" t="n">
        <v>3059</v>
      </c>
      <c r="D179" s="22" t="inlineStr"/>
      <c r="E179" s="22" t="inlineStr"/>
      <c r="F179" t="inlineStr">
        <is>
          <t>No</t>
        </is>
      </c>
      <c r="G179" t="inlineStr">
        <is>
          <t>No</t>
        </is>
      </c>
      <c r="H179" t="inlineStr">
        <is>
          <t>No</t>
        </is>
      </c>
    </row>
    <row r="180">
      <c r="A180" t="inlineStr">
        <is>
          <t>NG-ENT-007</t>
        </is>
      </c>
      <c r="B180" t="inlineStr">
        <is>
          <t>MikroTik CRS326-24G-2S+RM 24-Port Managed Gigabit Switch with 10G SFP+</t>
        </is>
      </c>
      <c r="C180" t="n">
        <v>3058</v>
      </c>
      <c r="D180" s="22" t="inlineStr"/>
      <c r="E180" s="22" t="inlineStr"/>
      <c r="F180" t="inlineStr">
        <is>
          <t>No</t>
        </is>
      </c>
      <c r="G180" t="inlineStr">
        <is>
          <t>No</t>
        </is>
      </c>
      <c r="H180" t="inlineStr">
        <is>
          <t>No</t>
        </is>
      </c>
    </row>
    <row r="181">
      <c r="A181" t="inlineStr">
        <is>
          <t>NG-ENT-006</t>
        </is>
      </c>
      <c r="B181" t="inlineStr">
        <is>
          <t>Synology DiskStation DS1621+ 6-Bay NAS - Enterprise Storage Powerhouse</t>
        </is>
      </c>
      <c r="C181" t="n">
        <v>3057</v>
      </c>
      <c r="D181" s="22" t="inlineStr"/>
      <c r="E181" s="22" t="inlineStr"/>
      <c r="F181" t="inlineStr">
        <is>
          <t>No</t>
        </is>
      </c>
      <c r="G181" t="inlineStr">
        <is>
          <t>No</t>
        </is>
      </c>
      <c r="H181" t="inlineStr">
        <is>
          <t>No</t>
        </is>
      </c>
    </row>
    <row r="182">
      <c r="A182" t="inlineStr">
        <is>
          <t>NG-ACC-005</t>
        </is>
      </c>
      <c r="B182" t="inlineStr">
        <is>
          <t>Flipper Zero - The Ultimate Multi-Tool for Geeks and Cyber-Research</t>
        </is>
      </c>
      <c r="C182" t="n">
        <v>3056</v>
      </c>
      <c r="D182" s="22" t="inlineStr"/>
      <c r="E182" s="22" t="inlineStr"/>
      <c r="F182" t="inlineStr">
        <is>
          <t>No</t>
        </is>
      </c>
      <c r="G182" t="inlineStr">
        <is>
          <t>No</t>
        </is>
      </c>
      <c r="H182" t="inlineStr">
        <is>
          <t>No</t>
        </is>
      </c>
    </row>
    <row r="183">
      <c r="A183" t="inlineStr">
        <is>
          <t>NG-ACC-004</t>
        </is>
      </c>
      <c r="B183" t="inlineStr">
        <is>
          <t>Seagate IronWolf 18TB NAS Internal Hard Drive - Built for 24/7 Performance</t>
        </is>
      </c>
      <c r="C183" t="n">
        <v>3055</v>
      </c>
      <c r="D183" s="22" t="inlineStr"/>
      <c r="E183" s="22" t="inlineStr"/>
      <c r="F183" t="inlineStr">
        <is>
          <t>No</t>
        </is>
      </c>
      <c r="G183" t="inlineStr">
        <is>
          <t>No</t>
        </is>
      </c>
      <c r="H183" t="inlineStr">
        <is>
          <t>No</t>
        </is>
      </c>
    </row>
    <row r="184">
      <c r="A184" t="inlineStr">
        <is>
          <t>NG-ACC-003</t>
        </is>
      </c>
      <c r="B184" t="inlineStr">
        <is>
          <t>Mark Ryden Anti-theft Laptop Backpack - Maximum Protection for Your Tech</t>
        </is>
      </c>
      <c r="C184" t="n">
        <v>3054</v>
      </c>
      <c r="D184" s="22" t="inlineStr"/>
      <c r="E184" s="22" t="inlineStr"/>
      <c r="F184" t="inlineStr">
        <is>
          <t>No</t>
        </is>
      </c>
      <c r="G184" t="inlineStr">
        <is>
          <t>No</t>
        </is>
      </c>
      <c r="H184" t="inlineStr">
        <is>
          <t>No</t>
        </is>
      </c>
    </row>
    <row r="185">
      <c r="A185" t="inlineStr">
        <is>
          <t>NG-ACC-002</t>
        </is>
      </c>
      <c r="B185" t="inlineStr">
        <is>
          <t>Anker 735 GaN 65W Charger - Compact 3-Port Fast Charger</t>
        </is>
      </c>
      <c r="C185" t="n">
        <v>3053</v>
      </c>
      <c r="D185" s="22" t="inlineStr"/>
      <c r="E185" s="22" t="inlineStr"/>
      <c r="F185" t="inlineStr">
        <is>
          <t>No</t>
        </is>
      </c>
      <c r="G185" t="inlineStr">
        <is>
          <t>No</t>
        </is>
      </c>
      <c r="H185" t="inlineStr">
        <is>
          <t>No</t>
        </is>
      </c>
    </row>
    <row r="186">
      <c r="A186" t="inlineStr">
        <is>
          <t>NG-ACC-001</t>
        </is>
      </c>
      <c r="B186" t="inlineStr">
        <is>
          <t>Baseus Blade 100W Power Bank - Ultra-Slim Laptop Portable Charger</t>
        </is>
      </c>
      <c r="C186" t="n">
        <v>3052</v>
      </c>
      <c r="D186" s="22" t="inlineStr"/>
      <c r="E186" s="22" t="inlineStr"/>
      <c r="F186" t="inlineStr">
        <is>
          <t>No</t>
        </is>
      </c>
      <c r="G186" t="inlineStr">
        <is>
          <t>No</t>
        </is>
      </c>
      <c r="H186" t="inlineStr">
        <is>
          <t>No</t>
        </is>
      </c>
    </row>
    <row r="187">
      <c r="A187" t="inlineStr">
        <is>
          <t>NG-MKR-005</t>
        </is>
      </c>
      <c r="B187" t="inlineStr">
        <is>
          <t>Elgato Stream Deck MK.2 - Professional Productivity Console with 15 LCD Keys</t>
        </is>
      </c>
      <c r="C187" t="n">
        <v>3051</v>
      </c>
      <c r="D187" s="22" t="inlineStr"/>
      <c r="E187" s="22" t="inlineStr"/>
      <c r="F187" t="inlineStr">
        <is>
          <t>No</t>
        </is>
      </c>
      <c r="G187" t="inlineStr">
        <is>
          <t>No</t>
        </is>
      </c>
      <c r="H187" t="inlineStr">
        <is>
          <t>No</t>
        </is>
      </c>
    </row>
    <row r="188">
      <c r="A188" t="inlineStr">
        <is>
          <t>NG-MKR-004</t>
        </is>
      </c>
      <c r="B188" t="inlineStr">
        <is>
          <t>Meta Quest 3 128GB - The Most Powerful Mixed Reality Headset</t>
        </is>
      </c>
      <c r="C188" t="n">
        <v>3050</v>
      </c>
      <c r="D188" s="22" t="inlineStr"/>
      <c r="E188" s="22" t="inlineStr"/>
      <c r="F188" t="inlineStr">
        <is>
          <t>No</t>
        </is>
      </c>
      <c r="G188" t="inlineStr">
        <is>
          <t>No</t>
        </is>
      </c>
      <c r="H188" t="inlineStr">
        <is>
          <t>No</t>
        </is>
      </c>
    </row>
    <row r="189">
      <c r="A189" t="inlineStr">
        <is>
          <t>NG-MKR-003</t>
        </is>
      </c>
      <c r="B189" t="inlineStr">
        <is>
          <t>Keychron Q1 - Premium Full Aluminum Custom Mechanical Keyboard</t>
        </is>
      </c>
      <c r="C189" t="n">
        <v>3049</v>
      </c>
      <c r="D189" s="22" t="inlineStr"/>
      <c r="E189" s="22" t="inlineStr"/>
      <c r="F189" t="inlineStr">
        <is>
          <t>No</t>
        </is>
      </c>
      <c r="G189" t="inlineStr">
        <is>
          <t>No</t>
        </is>
      </c>
      <c r="H189" t="inlineStr">
        <is>
          <t>No</t>
        </is>
      </c>
    </row>
    <row r="190">
      <c r="A190" t="inlineStr">
        <is>
          <t>NG-MKR-002</t>
        </is>
      </c>
      <c r="B190" t="inlineStr">
        <is>
          <t>Raspberry Pi 5 Ultimate Starter Kit - Everything You Need in One Box</t>
        </is>
      </c>
      <c r="C190" t="n">
        <v>3048</v>
      </c>
      <c r="D190" s="22" t="inlineStr"/>
      <c r="E190" s="22" t="inlineStr"/>
      <c r="F190" t="inlineStr">
        <is>
          <t>No</t>
        </is>
      </c>
      <c r="G190" t="inlineStr">
        <is>
          <t>No</t>
        </is>
      </c>
      <c r="H190" t="inlineStr">
        <is>
          <t>No</t>
        </is>
      </c>
    </row>
    <row r="191">
      <c r="A191" t="inlineStr">
        <is>
          <t>NG-MKR-001</t>
        </is>
      </c>
      <c r="B191" t="inlineStr">
        <is>
          <t>Raspberry Pi 5 8GB - The New Standard in Single Board Computing</t>
        </is>
      </c>
      <c r="C191" t="n">
        <v>3047</v>
      </c>
      <c r="D191" s="22" t="inlineStr"/>
      <c r="E191" s="22" t="inlineStr"/>
      <c r="F191" t="inlineStr">
        <is>
          <t>No</t>
        </is>
      </c>
      <c r="G191" t="inlineStr">
        <is>
          <t>No</t>
        </is>
      </c>
      <c r="H191" t="inlineStr">
        <is>
          <t>No</t>
        </is>
      </c>
    </row>
    <row r="192">
      <c r="A192" t="inlineStr">
        <is>
          <t>NG-SH-005</t>
        </is>
      </c>
      <c r="B192" t="inlineStr">
        <is>
          <t>Sonoff TX Ultimate (T5) Smart Wall Switch - Interactive Elegance with RGB</t>
        </is>
      </c>
      <c r="C192" t="n">
        <v>3046</v>
      </c>
      <c r="D192" s="22" t="inlineStr"/>
      <c r="E192" s="22" t="inlineStr"/>
      <c r="F192" t="inlineStr">
        <is>
          <t>No</t>
        </is>
      </c>
      <c r="G192" t="inlineStr">
        <is>
          <t>No</t>
        </is>
      </c>
      <c r="H192" t="inlineStr">
        <is>
          <t>No</t>
        </is>
      </c>
    </row>
    <row r="193">
      <c r="A193" t="inlineStr">
        <is>
          <t>NG-SH-004</t>
        </is>
      </c>
      <c r="B193" t="inlineStr">
        <is>
          <t>Aqara Water Leak Sensor - Safeguard Your Home from Water Damage</t>
        </is>
      </c>
      <c r="C193" t="n">
        <v>3045</v>
      </c>
      <c r="D193" s="22" t="inlineStr"/>
      <c r="E193" s="22" t="inlineStr"/>
      <c r="F193" t="inlineStr">
        <is>
          <t>No</t>
        </is>
      </c>
      <c r="G193" t="inlineStr">
        <is>
          <t>No</t>
        </is>
      </c>
      <c r="H193" t="inlineStr">
        <is>
          <t>No</t>
        </is>
      </c>
    </row>
    <row r="194">
      <c r="A194" t="inlineStr">
        <is>
          <t>NG-SH-003</t>
        </is>
      </c>
      <c r="B194" t="inlineStr">
        <is>
          <t>Broadlink RM4 Pro - Universal Smart Remote for IR &amp;amp; RF Devices</t>
        </is>
      </c>
      <c r="C194" t="n">
        <v>3044</v>
      </c>
      <c r="D194" s="22" t="inlineStr"/>
      <c r="E194" s="22" t="inlineStr"/>
      <c r="F194" t="inlineStr">
        <is>
          <t>No</t>
        </is>
      </c>
      <c r="G194" t="inlineStr">
        <is>
          <t>No</t>
        </is>
      </c>
      <c r="H194" t="inlineStr">
        <is>
          <t>No</t>
        </is>
      </c>
    </row>
    <row r="195">
      <c r="A195" t="inlineStr">
        <is>
          <t>NG-SH-002</t>
        </is>
      </c>
      <c r="B195" t="inlineStr">
        <is>
          <t>UniFi Protect G4 Pro Camera - 4K Ultra HD Surveillance Excellence</t>
        </is>
      </c>
      <c r="C195" t="n">
        <v>3043</v>
      </c>
      <c r="D195" s="22" t="inlineStr"/>
      <c r="E195" s="22" t="inlineStr"/>
      <c r="F195" t="inlineStr">
        <is>
          <t>No</t>
        </is>
      </c>
      <c r="G195" t="inlineStr">
        <is>
          <t>No</t>
        </is>
      </c>
      <c r="H195" t="inlineStr">
        <is>
          <t>No</t>
        </is>
      </c>
    </row>
    <row r="196">
      <c r="A196" t="inlineStr">
        <is>
          <t>NG-SH-001</t>
        </is>
      </c>
      <c r="B196" t="inlineStr">
        <is>
          <t>Aqara Smart Door Lock A100 - Elite Security with Apple HomeKey Support</t>
        </is>
      </c>
      <c r="C196" t="n">
        <v>3042</v>
      </c>
      <c r="D196" s="22" t="inlineStr"/>
      <c r="E196" s="22" t="inlineStr"/>
      <c r="F196" t="inlineStr">
        <is>
          <t>No</t>
        </is>
      </c>
      <c r="G196" t="inlineStr">
        <is>
          <t>No</t>
        </is>
      </c>
      <c r="H196" t="inlineStr">
        <is>
          <t>No</t>
        </is>
      </c>
    </row>
    <row r="197">
      <c r="A197" t="inlineStr">
        <is>
          <t>NG-ENT-005</t>
        </is>
      </c>
      <c r="B197" t="inlineStr">
        <is>
          <t>Asustor Flashstor 6 (FS6706T) - All-NVMe SSD NAS for Extreme Performance</t>
        </is>
      </c>
      <c r="C197" t="n">
        <v>3041</v>
      </c>
      <c r="D197" s="22" t="inlineStr"/>
      <c r="E197" s="22" t="inlineStr"/>
      <c r="F197" t="inlineStr">
        <is>
          <t>No</t>
        </is>
      </c>
      <c r="G197" t="inlineStr">
        <is>
          <t>No</t>
        </is>
      </c>
      <c r="H197" t="inlineStr">
        <is>
          <t>No</t>
        </is>
      </c>
    </row>
    <row r="198">
      <c r="A198" t="inlineStr">
        <is>
          <t>NG-ENT-004</t>
        </is>
      </c>
      <c r="B198" t="inlineStr">
        <is>
          <t>UniFi 6 Long-Range (U6-LR) - High-Performance WiFi 6 Access Point</t>
        </is>
      </c>
      <c r="C198" t="n">
        <v>3040</v>
      </c>
      <c r="D198" s="22" t="inlineStr"/>
      <c r="E198" s="22" t="inlineStr"/>
      <c r="F198" t="inlineStr">
        <is>
          <t>No</t>
        </is>
      </c>
      <c r="G198" t="inlineStr">
        <is>
          <t>No</t>
        </is>
      </c>
      <c r="H198" t="inlineStr">
        <is>
          <t>No</t>
        </is>
      </c>
    </row>
    <row r="199">
      <c r="A199" t="inlineStr">
        <is>
          <t>NG-ENT-003</t>
        </is>
      </c>
      <c r="B199" t="inlineStr">
        <is>
          <t>Ubiquiti UniFi Dream Machine Pro (UDM-Pro) - All-in-One Enterprise Network Conso</t>
        </is>
      </c>
      <c r="C199" t="n">
        <v>3039</v>
      </c>
      <c r="D199" s="22" t="inlineStr"/>
      <c r="E199" s="22" t="inlineStr"/>
      <c r="F199" t="inlineStr">
        <is>
          <t>No</t>
        </is>
      </c>
      <c r="G199" t="inlineStr">
        <is>
          <t>No</t>
        </is>
      </c>
      <c r="H199" t="inlineStr">
        <is>
          <t>No</t>
        </is>
      </c>
    </row>
    <row r="200">
      <c r="A200" t="inlineStr">
        <is>
          <t>NG-ENT-002</t>
        </is>
      </c>
      <c r="B200" t="inlineStr">
        <is>
          <t>Asustor Lockerstor 4 (AS6604T) - Professional 4-Bay NAS for Creators</t>
        </is>
      </c>
      <c r="C200" t="n">
        <v>3038</v>
      </c>
      <c r="D200" s="22" t="inlineStr"/>
      <c r="E200" s="22" t="inlineStr"/>
      <c r="F200" t="inlineStr">
        <is>
          <t>No</t>
        </is>
      </c>
      <c r="G200" t="inlineStr">
        <is>
          <t>No</t>
        </is>
      </c>
      <c r="H200" t="inlineStr">
        <is>
          <t>No</t>
        </is>
      </c>
    </row>
    <row r="201">
      <c r="A201" t="inlineStr">
        <is>
          <t>NG-ENT-001</t>
        </is>
      </c>
      <c r="B201" t="inlineStr">
        <is>
          <t>Dell PowerEdge R730 Refurbished Server - Enterprise Power, Smart Investment</t>
        </is>
      </c>
      <c r="C201" t="n">
        <v>3037</v>
      </c>
      <c r="D201" s="22" t="inlineStr"/>
      <c r="E201" s="22" t="inlineStr"/>
      <c r="F201" t="inlineStr">
        <is>
          <t>No</t>
        </is>
      </c>
      <c r="G201" t="inlineStr">
        <is>
          <t>No</t>
        </is>
      </c>
      <c r="H201" t="inlineStr">
        <is>
          <t>No</t>
        </is>
      </c>
    </row>
    <row r="204">
      <c r="A204" s="23" t="inlineStr">
        <is>
          <t>📘 DSers SETUP — STEP BY STEP</t>
        </is>
      </c>
    </row>
    <row r="205">
      <c r="A205" s="14" t="inlineStr"/>
    </row>
    <row r="206">
      <c r="A206" s="14" t="inlineStr">
        <is>
          <t>BEFORE YOU START</t>
        </is>
      </c>
    </row>
    <row r="207">
      <c r="A207" s="24" t="inlineStr">
        <is>
          <t>✓ DSers API key already exists on neogen.store (created 2025-07-03)</t>
        </is>
      </c>
    </row>
    <row r="208">
      <c r="A208" s="24" t="inlineStr">
        <is>
          <t>✓ WooCommerce REST credentials: stored in Bitwarden as 'NeoGen — WooCommerce REST API (active)'</t>
        </is>
      </c>
    </row>
    <row r="209">
      <c r="A209" s="14" t="inlineStr"/>
    </row>
    <row r="210">
      <c r="A210" s="25" t="inlineStr">
        <is>
          <t>STEP 1 — LOG INTO DSERS</t>
        </is>
      </c>
    </row>
    <row r="211">
      <c r="A211" s="14" t="inlineStr">
        <is>
          <t>1. Go to https://www.dsers.com/app/</t>
        </is>
      </c>
    </row>
    <row r="212">
      <c r="A212" s="14" t="inlineStr">
        <is>
          <t>2. Sign in (or sign up with your Gmail — same as WP admin)</t>
        </is>
      </c>
    </row>
    <row r="213">
      <c r="A213" s="14" t="inlineStr">
        <is>
          <t>3. Dashboard → My Stores → Add Store → WooCommerce</t>
        </is>
      </c>
    </row>
    <row r="214">
      <c r="A214" s="14" t="inlineStr">
        <is>
          <t>4. Paste store URL: https://neogen.store</t>
        </is>
      </c>
    </row>
    <row r="215">
      <c r="A215" s="14" t="inlineStr">
        <is>
          <t>5. When WooCommerce redirects to authorize, click 'Approve' (DSers reads orders + writes prices)</t>
        </is>
      </c>
    </row>
    <row r="216">
      <c r="A216" s="14" t="inlineStr"/>
    </row>
    <row r="217">
      <c r="A217" s="25" t="inlineStr">
        <is>
          <t>STEP 2 — INSTALL DSERS CHROME EXTENSION</t>
        </is>
      </c>
    </row>
    <row r="218">
      <c r="A218" s="14" t="inlineStr">
        <is>
          <t>1. Search 'DSers AliExpress Dropshipping' in Chrome Web Store</t>
        </is>
      </c>
    </row>
    <row r="219">
      <c r="A219" s="14" t="inlineStr">
        <is>
          <t>2. Install + log in with same DSers account</t>
        </is>
      </c>
    </row>
    <row r="220">
      <c r="A220" s="14" t="inlineStr">
        <is>
          <t>3. Opens a small button on AliExpress product pages: 'Import to DSers'</t>
        </is>
      </c>
    </row>
    <row r="221">
      <c r="A221" s="14" t="inlineStr"/>
    </row>
    <row r="222">
      <c r="A222" s="25" t="inlineStr">
        <is>
          <t>STEP 3 — LINK PRODUCTS (do the top 20 first)</t>
        </is>
      </c>
    </row>
    <row r="223">
      <c r="A223" s="14" t="inlineStr">
        <is>
          <t>For each row in this sheet with no URL yet:</t>
        </is>
      </c>
    </row>
    <row r="224">
      <c r="A224" s="14" t="inlineStr">
        <is>
          <t>1. Copy the Product Name from column B</t>
        </is>
      </c>
    </row>
    <row r="225">
      <c r="A225" s="14" t="inlineStr">
        <is>
          <t>2. Paste into AliExpress search, find the best-match listing</t>
        </is>
      </c>
    </row>
    <row r="226">
      <c r="A226" s="14" t="inlineStr">
        <is>
          <t>3. On the AliExpress page, click the DSers extension button</t>
        </is>
      </c>
    </row>
    <row r="227">
      <c r="A227" s="14" t="inlineStr">
        <is>
          <t>4. In the DSers popup, select 'Map to existing product' → paste the WooCommerce Product ID (column C)</t>
        </is>
      </c>
    </row>
    <row r="228">
      <c r="A228" s="14" t="inlineStr">
        <is>
          <t>5. Back in this sheet, paste the AliExpress URL into column D (yellow cell)</t>
        </is>
      </c>
    </row>
    <row r="229">
      <c r="A229" s="14" t="inlineStr">
        <is>
          <t>6. Mark columns F, G, H to 'Yes'</t>
        </is>
      </c>
    </row>
    <row r="230">
      <c r="A230" s="14" t="inlineStr"/>
    </row>
    <row r="231">
      <c r="A231" s="25" t="inlineStr">
        <is>
          <t>STEP 4 — SET THE PRICING RULE (ONCE, APPLIES GLOBALLY)</t>
        </is>
      </c>
    </row>
    <row r="232">
      <c r="A232" s="14" t="inlineStr">
        <is>
          <t>DSers dashboard → Settings → Pricing Rule → Set:</t>
        </is>
      </c>
    </row>
    <row r="233">
      <c r="A233" s="26" t="inlineStr">
        <is>
          <t>• Multiplier: 1.8</t>
        </is>
      </c>
    </row>
    <row r="234">
      <c r="A234" s="26" t="inlineStr">
        <is>
          <t>• Fixed markup: +30 SAR</t>
        </is>
      </c>
    </row>
    <row r="235">
      <c r="A235" s="26" t="inlineStr">
        <is>
          <t>• Rounding: end in .99</t>
        </is>
      </c>
    </row>
    <row r="236">
      <c r="A236" s="26" t="inlineStr">
        <is>
          <t>• Apply to: All linked products</t>
        </is>
      </c>
    </row>
    <row r="237">
      <c r="A237" s="14" t="inlineStr">
        <is>
          <t>(This matches our tiered strategy from price_sync.py)</t>
        </is>
      </c>
    </row>
    <row r="238">
      <c r="A238" s="14" t="inlineStr"/>
    </row>
    <row r="239">
      <c r="A239" s="25" t="inlineStr">
        <is>
          <t>STEP 5 — TURN ON AUTO-SYNC</t>
        </is>
      </c>
    </row>
    <row r="240">
      <c r="A240" s="14" t="inlineStr">
        <is>
          <t>DSers → Settings → Sync → Enable:</t>
        </is>
      </c>
    </row>
    <row r="241">
      <c r="A241" s="26" t="inlineStr">
        <is>
          <t>• Price sync: daily (matches AliExpress supplier price changes)</t>
        </is>
      </c>
    </row>
    <row r="242">
      <c r="A242" s="26" t="inlineStr">
        <is>
          <t>• Stock sync: hourly (hides products when supplier out of stock)</t>
        </is>
      </c>
    </row>
    <row r="243">
      <c r="A243" s="26" t="inlineStr">
        <is>
          <t>• Out-of-stock action: Set to 'Draft' (not delete — so reviews survive)</t>
        </is>
      </c>
    </row>
    <row r="244">
      <c r="A244" s="14" t="inlineStr"/>
    </row>
    <row r="245">
      <c r="A245" s="25" t="inlineStr">
        <is>
          <t>STEP 6 — ORDER FULFILLMENT</t>
        </is>
      </c>
    </row>
    <row r="246">
      <c r="A246" s="14" t="inlineStr">
        <is>
          <t>When a customer buys from neogen.store:</t>
        </is>
      </c>
    </row>
    <row r="247">
      <c r="A247" s="26" t="inlineStr">
        <is>
          <t>• DSers dashboard → Orders → shows the new order in yellow</t>
        </is>
      </c>
    </row>
    <row r="248">
      <c r="A248" s="26" t="inlineStr">
        <is>
          <t>• Click 'Order' button → DSers places the AliExpress order with customer's address</t>
        </is>
      </c>
    </row>
    <row r="249">
      <c r="A249" s="26" t="inlineStr">
        <is>
          <t>• Tracking auto-syncs back to WooCommerce within 48h</t>
        </is>
      </c>
    </row>
    <row r="250">
      <c r="A250" s="14" t="inlineStr"/>
    </row>
    <row r="251">
      <c r="A251" s="14" t="inlineStr">
        <is>
          <t>TIME ESTIMATE</t>
        </is>
      </c>
    </row>
    <row r="252">
      <c r="A252" s="26" t="inlineStr">
        <is>
          <t>• Top 20 products: 1 hour (the 80/20 rule — these generate 80% of revenue)</t>
        </is>
      </c>
    </row>
    <row r="253">
      <c r="A253" s="26" t="inlineStr">
        <is>
          <t>• Remaining 170 products: spread over 2-3 weeks, do 15 per day</t>
        </is>
      </c>
    </row>
    <row r="254">
      <c r="A254" s="26" t="inlineStr">
        <is>
          <t>• Or: hire Fiverr VA for $50-100, 2-day turnaround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7" t="inlineStr">
        <is>
          <t>NeoGen Store — Supplier Research &amp; DSers Workbook</t>
        </is>
      </c>
    </row>
    <row r="3">
      <c r="A3" s="28" t="inlineStr">
        <is>
          <t>This workbook has 3 working sheets + this README.</t>
        </is>
      </c>
    </row>
    <row r="4">
      <c r="A4" s="29" t="inlineStr"/>
    </row>
    <row r="5">
      <c r="A5" s="30" t="inlineStr">
        <is>
          <t>═══════════════════════════════════════════</t>
        </is>
      </c>
    </row>
    <row r="6">
      <c r="A6" s="31" t="inlineStr">
        <is>
          <t>SHEET 1 — Supplier Research  (your main tool)</t>
        </is>
      </c>
    </row>
    <row r="7">
      <c r="A7" s="30" t="inlineStr">
        <is>
          <t>═══════════════════════════════════════════</t>
        </is>
      </c>
    </row>
    <row r="8">
      <c r="A8" s="29" t="inlineStr"/>
    </row>
    <row r="9">
      <c r="A9" s="29" t="inlineStr">
        <is>
          <t>Every product has pre-built search URLs for AliExpress, Amazon.sa, Noon, Jarir.</t>
        </is>
      </c>
    </row>
    <row r="10">
      <c r="A10" s="29" t="inlineStr">
        <is>
          <t>YELLOW cells = you fill in. BLUE cells = auto-calculated.</t>
        </is>
      </c>
    </row>
    <row r="11">
      <c r="A11" s="29" t="inlineStr"/>
    </row>
    <row r="12">
      <c r="A12" s="29" t="inlineStr">
        <is>
          <t>Workflow:</t>
        </is>
      </c>
    </row>
    <row r="13">
      <c r="A13" s="29" t="inlineStr">
        <is>
          <t xml:space="preserve">  1. Open Sheet 1</t>
        </is>
      </c>
    </row>
    <row r="14">
      <c r="A14" s="29" t="inlineStr">
        <is>
          <t xml:space="preserve">  2. Click a product row's 'AliExpress URL' — opens search in browser</t>
        </is>
      </c>
    </row>
    <row r="15">
      <c r="A15" s="29" t="inlineStr">
        <is>
          <t xml:space="preserve">  3. Find the product, copy the price in USD</t>
        </is>
      </c>
    </row>
    <row r="16">
      <c r="A16" s="29" t="inlineStr">
        <is>
          <t xml:space="preserve">  4. Paste into column J (AliExp Price USD)</t>
        </is>
      </c>
    </row>
    <row r="17">
      <c r="A17" s="29" t="inlineStr">
        <is>
          <t xml:space="preserve">  5. Repeat for Amazon.sa (col K) and Noon (col L) in SAR</t>
        </is>
      </c>
    </row>
    <row r="18">
      <c r="A18" s="29" t="inlineStr">
        <is>
          <t xml:space="preserve">  6. Sheet computes: min supplier cost, current margin, profit, suggested new sell price, and a recommendation</t>
        </is>
      </c>
    </row>
    <row r="19">
      <c r="A19" s="29" t="inlineStr"/>
    </row>
    <row r="20">
      <c r="A20" s="29" t="inlineStr">
        <is>
          <t>Recommendations that will appear:</t>
        </is>
      </c>
    </row>
    <row r="21">
      <c r="A21" s="29" t="inlineStr">
        <is>
          <t xml:space="preserve">  ✅ PROFITABLE — keep       (margin &gt; 50%)</t>
        </is>
      </c>
    </row>
    <row r="22">
      <c r="A22" s="29" t="inlineStr">
        <is>
          <t xml:space="preserve">  🟡 OK — optimize          (margin 20-50%)</t>
        </is>
      </c>
    </row>
    <row r="23">
      <c r="A23" s="29" t="inlineStr">
        <is>
          <t xml:space="preserve">  ⚠️ THIN — raise or drop    (margin 0-20%)</t>
        </is>
      </c>
    </row>
    <row r="24">
      <c r="A24" s="29" t="inlineStr">
        <is>
          <t xml:space="preserve">  ❌ LOSING MONEY           (negative margin)</t>
        </is>
      </c>
    </row>
    <row r="25">
      <c r="A25" s="29" t="inlineStr"/>
    </row>
    <row r="26">
      <c r="A26" s="29" t="inlineStr">
        <is>
          <t>PRO TIP: don't do all 210 at once. Sort Sheet 1 by 'Current Sale' column descending, and do the top 50.</t>
        </is>
      </c>
    </row>
    <row r="27">
      <c r="A27" s="29" t="inlineStr">
        <is>
          <t>Those 50 products generate ~80% of your revenue (Pareto).</t>
        </is>
      </c>
    </row>
    <row r="28">
      <c r="A28" s="29" t="inlineStr"/>
    </row>
    <row r="29">
      <c r="A29" s="30" t="inlineStr">
        <is>
          <t>═══════════════════════════════════════════</t>
        </is>
      </c>
    </row>
    <row r="30">
      <c r="A30" s="31" t="inlineStr">
        <is>
          <t>SHEET 2 — Category Intel  (reference)</t>
        </is>
      </c>
    </row>
    <row r="31">
      <c r="A31" s="30" t="inlineStr">
        <is>
          <t>═══════════════════════════════════════════</t>
        </is>
      </c>
    </row>
    <row r="32">
      <c r="A32" s="29" t="inlineStr"/>
    </row>
    <row r="33">
      <c r="A33" s="29" t="inlineStr">
        <is>
          <t>⚠️ IMPORTANT: the numbers on this sheet are MODELED ESTIMATES, not real scraped prices.</t>
        </is>
      </c>
    </row>
    <row r="34">
      <c r="A34" s="29" t="inlineStr">
        <is>
          <t>I cannot legally/technically pull live prices from AliExpress or Saudi retailers in bulk.</t>
        </is>
      </c>
    </row>
    <row r="35">
      <c r="A35" s="29" t="inlineStr"/>
    </row>
    <row r="36">
      <c r="A36" s="29" t="inlineStr">
        <is>
          <t>What you CAN trust from this sheet:</t>
        </is>
      </c>
    </row>
    <row r="37">
      <c r="A37" s="29" t="inlineStr">
        <is>
          <t xml:space="preserve">  • The markup ranges per category (based on industry knowledge)</t>
        </is>
      </c>
    </row>
    <row r="38">
      <c r="A38" s="29" t="inlineStr">
        <is>
          <t xml:space="preserve">  • The notes about each category's margin dynamics</t>
        </is>
      </c>
    </row>
    <row r="39">
      <c r="A39" s="29" t="inlineStr">
        <is>
          <t xml:space="preserve">  • The aggregate dollar figures as ballpark</t>
        </is>
      </c>
    </row>
    <row r="40">
      <c r="A40" s="29" t="inlineStr"/>
    </row>
    <row r="41">
      <c r="A41" s="29" t="inlineStr">
        <is>
          <t>What you CANNOT trust:</t>
        </is>
      </c>
    </row>
    <row r="42">
      <c r="A42" s="29" t="inlineStr">
        <is>
          <t xml:space="preserve">  • The exact wholesale cost for any specific product</t>
        </is>
      </c>
    </row>
    <row r="43">
      <c r="A43" s="29" t="inlineStr">
        <is>
          <t xml:space="preserve">  • Instant accuracy — prices change daily, especially electronics</t>
        </is>
      </c>
    </row>
    <row r="44">
      <c r="A44" s="29" t="inlineStr"/>
    </row>
    <row r="45">
      <c r="A45" s="29" t="inlineStr">
        <is>
          <t>Use Sheet 2 to spot category trends, not to set individual prices.</t>
        </is>
      </c>
    </row>
    <row r="46">
      <c r="A46" s="29" t="inlineStr"/>
    </row>
    <row r="47">
      <c r="A47" s="30" t="inlineStr">
        <is>
          <t>═══════════════════════════════════════════</t>
        </is>
      </c>
    </row>
    <row r="48">
      <c r="A48" s="31" t="inlineStr">
        <is>
          <t>SHEET 3 — DSers Import  (automation path)</t>
        </is>
      </c>
    </row>
    <row r="49">
      <c r="A49" s="30" t="inlineStr">
        <is>
          <t>═══════════════════════════════════════════</t>
        </is>
      </c>
    </row>
    <row r="50">
      <c r="A50" s="29" t="inlineStr"/>
    </row>
    <row r="51">
      <c r="A51" s="29" t="inlineStr">
        <is>
          <t>DSers automates the whole dropshipping flow:</t>
        </is>
      </c>
    </row>
    <row r="52">
      <c r="A52" s="29" t="inlineStr">
        <is>
          <t xml:space="preserve">  • Links each of your products to an AliExpress listing</t>
        </is>
      </c>
    </row>
    <row r="53">
      <c r="A53" s="29" t="inlineStr">
        <is>
          <t xml:space="preserve">  • Syncs prices daily (if AliExpress supplier raises price, DSers raises yours)</t>
        </is>
      </c>
    </row>
    <row r="54">
      <c r="A54" s="29" t="inlineStr">
        <is>
          <t xml:space="preserve">  • Syncs stock hourly (if supplier runs out, your product goes to draft)</t>
        </is>
      </c>
    </row>
    <row r="55">
      <c r="A55" s="29" t="inlineStr">
        <is>
          <t xml:space="preserve">  • Auto-places orders: customer pays you → DSers places AliExpress order</t>
        </is>
      </c>
    </row>
    <row r="56">
      <c r="A56" s="29" t="inlineStr"/>
    </row>
    <row r="57">
      <c r="A57" s="29" t="inlineStr">
        <is>
          <t>This sheet has one row per physical product (digital gift cards excluded).</t>
        </is>
      </c>
    </row>
    <row r="58">
      <c r="A58" s="29" t="inlineStr">
        <is>
          <t>Column D (yellow) is where you paste the AliExpress URL as you link each product.</t>
        </is>
      </c>
    </row>
    <row r="59">
      <c r="A59" s="29" t="inlineStr"/>
    </row>
    <row r="60">
      <c r="A60" s="29" t="inlineStr">
        <is>
          <t>Full DSers setup instructions start at row ~204 of Sheet 3.</t>
        </is>
      </c>
    </row>
    <row r="61">
      <c r="A61" s="29" t="inlineStr"/>
    </row>
    <row r="62">
      <c r="A62" s="30" t="inlineStr">
        <is>
          <t>═══════════════════════════════════════════</t>
        </is>
      </c>
    </row>
    <row r="63">
      <c r="A63" s="31" t="inlineStr">
        <is>
          <t>CATALOG SNAPSHOT</t>
        </is>
      </c>
    </row>
    <row r="64">
      <c r="A64" s="30" t="inlineStr">
        <is>
          <t>═══════════════════════════════════════════</t>
        </is>
      </c>
    </row>
    <row r="65">
      <c r="A65" s="29" t="inlineStr"/>
    </row>
    <row r="66">
      <c r="A66" s="29" t="inlineStr">
        <is>
          <t xml:space="preserve">  Total products: 210</t>
        </is>
      </c>
    </row>
    <row r="67">
      <c r="A67" s="29" t="inlineStr">
        <is>
          <t xml:space="preserve">  Total sale value (at current prices): 395,900 SAR</t>
        </is>
      </c>
    </row>
    <row r="68">
      <c r="A68" s="29" t="inlineStr"/>
    </row>
    <row r="69">
      <c r="A69" s="29" t="inlineStr">
        <is>
          <t>Business: FAHAD SAAD FAHAD ALMANSOUR Office For Electronic Services</t>
        </is>
      </c>
    </row>
    <row r="70">
      <c r="A70" s="29" t="inlineStr">
        <is>
          <t>Commercial Registration: 7053130576</t>
        </is>
      </c>
    </row>
    <row r="71">
      <c r="A71" s="29" t="inlineStr">
        <is>
          <t>Data source: neogen.store live WooCommerce API</t>
        </is>
      </c>
    </row>
    <row r="72">
      <c r="A72" s="29" t="inlineStr">
        <is>
          <t>Snapshot date: 2026-04-21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2026-04-21T05:43:36Z</dcterms:created>
  <dcterms:modified xsi:type="dcterms:W3CDTF">2026-04-21T05:43:36Z</dcterms:modified>
</cp:coreProperties>
</file>