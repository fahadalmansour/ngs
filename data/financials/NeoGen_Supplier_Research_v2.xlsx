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esearch (Top 50 first)" sheetId="1" state="visible" r:id="rId1"/>
    <sheet name="2. Top 50 Shortlist" sheetId="2" state="visible" r:id="rId2"/>
    <sheet name="3. Supplier Strategy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SAR"/>
    <numFmt numFmtId="165" formatCode="$#,##0.00"/>
    <numFmt numFmtId="166" formatCode="0.0%"/>
  </numFmts>
  <fonts count="14">
    <font>
      <name val="Calibri"/>
      <family val="2"/>
      <color theme="1"/>
      <sz val="11"/>
      <scheme val="minor"/>
    </font>
    <font>
      <b val="1"/>
      <color rgb="00C89B47"/>
      <sz val="11"/>
    </font>
    <font>
      <color rgb="000066FF"/>
      <sz val="12"/>
      <u val="single"/>
    </font>
    <font>
      <b val="1"/>
    </font>
    <font>
      <b val="1"/>
      <sz val="12"/>
    </font>
    <font>
      <b val="1"/>
      <color rgb="00FFCC00"/>
    </font>
    <font>
      <b val="1"/>
      <color rgb="000066FF"/>
      <sz val="11"/>
    </font>
    <font>
      <color rgb="003E3E45"/>
      <sz val="10"/>
    </font>
    <font>
      <color rgb="000066FF"/>
      <sz val="10"/>
      <u val="single"/>
    </font>
    <font>
      <sz val="10"/>
    </font>
    <font>
      <b val="1"/>
      <color rgb="000066FF"/>
      <sz val="16"/>
    </font>
    <font>
      <sz val="11"/>
    </font>
    <font>
      <b val="1"/>
      <color rgb="00C89B47"/>
      <sz val="10"/>
    </font>
    <font>
      <b val="1"/>
      <color rgb="000066FF"/>
      <sz val="13"/>
    </font>
  </fonts>
  <fills count="7">
    <fill>
      <patternFill/>
    </fill>
    <fill>
      <patternFill patternType="gray125"/>
    </fill>
    <fill>
      <patternFill patternType="solid">
        <fgColor rgb="000A0A0B"/>
      </patternFill>
    </fill>
    <fill>
      <patternFill patternType="solid">
        <fgColor rgb="00FFECE0"/>
      </patternFill>
    </fill>
    <fill>
      <patternFill patternType="solid">
        <fgColor rgb="00FFF9E6"/>
      </patternFill>
    </fill>
    <fill>
      <patternFill patternType="solid">
        <fgColor rgb="00E8F4F8"/>
      </patternFill>
    </fill>
    <fill>
      <patternFill patternType="solid">
        <fgColor rgb="00FFE4B5"/>
      </patternFill>
    </fill>
  </fills>
  <borders count="2">
    <border>
      <left/>
      <right/>
      <top/>
      <bottom/>
      <diagonal/>
    </border>
    <border>
      <left style="thin">
        <color rgb="002A2519"/>
      </left>
      <right style="thin">
        <color rgb="002A2519"/>
      </right>
      <top style="medium">
        <color rgb="00C89B47"/>
      </top>
      <bottom style="medium">
        <color rgb="00C89B4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6" borderId="0" pivotButton="0" quotePrefix="0" xfId="0"/>
    <xf numFmtId="164" fontId="3" fillId="6" borderId="0" pivotButton="0" quotePrefix="0" xfId="0"/>
    <xf numFmtId="0" fontId="2" fillId="0" borderId="0" applyAlignment="1" pivotButton="0" quotePrefix="0" xfId="0">
      <alignment horizontal="center"/>
    </xf>
    <xf numFmtId="165" fontId="0" fillId="3" borderId="0" pivotButton="0" quotePrefix="0" xfId="0"/>
    <xf numFmtId="164" fontId="0" fillId="3" borderId="0" pivotButton="0" quotePrefix="0" xfId="0"/>
    <xf numFmtId="165" fontId="0" fillId="4" borderId="0" pivotButton="0" quotePrefix="0" xfId="0"/>
    <xf numFmtId="164" fontId="0" fillId="4" borderId="0" pivotButton="0" quotePrefix="0" xfId="0"/>
    <xf numFmtId="164" fontId="0" fillId="5" borderId="0" pivotButton="0" quotePrefix="0" xfId="0"/>
    <xf numFmtId="0" fontId="0" fillId="5" borderId="0" pivotButton="0" quotePrefix="0" xfId="0"/>
    <xf numFmtId="166" fontId="0" fillId="5" borderId="0" pivotButton="0" quotePrefix="0" xfId="0"/>
    <xf numFmtId="0" fontId="0" fillId="5" borderId="0" applyAlignment="1" pivotButton="0" quotePrefix="0" xfId="0">
      <alignment horizontal="center"/>
    </xf>
    <xf numFmtId="164" fontId="0" fillId="0" borderId="0" pivotButton="0" quotePrefix="0" xfId="0"/>
    <xf numFmtId="0" fontId="5" fillId="2" borderId="0" pivotButton="0" quotePrefix="0" xfId="0"/>
    <xf numFmtId="164" fontId="5" fillId="2" borderId="0" pivotButton="0" quotePrefix="0" xfId="0"/>
    <xf numFmtId="166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166" fontId="0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iexpress.com/w/wholesale-Gigabyte+AORUS+RTX+5090+Master+32GB.html" TargetMode="External" Id="rId1" /><Relationship Type="http://schemas.openxmlformats.org/officeDocument/2006/relationships/hyperlink" Target="https://www.ebay.com/sch/i.html?_nkw=Gigabyte+AORUS+RTX+5090+Master+32GB&amp;_sop=15" TargetMode="External" Id="rId2" /><Relationship Type="http://schemas.openxmlformats.org/officeDocument/2006/relationships/hyperlink" Target="https://www.amazon.sa/s?k=Gigabyte+AORUS+RTX+5090+Master+32GB" TargetMode="External" Id="rId3" /><Relationship Type="http://schemas.openxmlformats.org/officeDocument/2006/relationships/hyperlink" Target="https://www.noon.com/saudi-en/search/?q=Gigabyte+AORUS+RTX+5090+Master+32GB" TargetMode="External" Id="rId4" /><Relationship Type="http://schemas.openxmlformats.org/officeDocument/2006/relationships/hyperlink" Target="https://www.jarir.com/sa-en/catalogsearch/result/?q=Gigabyte+AORUS+RTX+5090+Master+32GB" TargetMode="External" Id="rId5" /><Relationship Type="http://schemas.openxmlformats.org/officeDocument/2006/relationships/hyperlink" Target="https://www.aliexpress.com/w/wholesale-NVIDIA+RTX+5090+Founders+Edition.html" TargetMode="External" Id="rId6" /><Relationship Type="http://schemas.openxmlformats.org/officeDocument/2006/relationships/hyperlink" Target="https://www.ebay.com/sch/i.html?_nkw=NVIDIA+RTX+5090+Founders+Edition&amp;_sop=15" TargetMode="External" Id="rId7" /><Relationship Type="http://schemas.openxmlformats.org/officeDocument/2006/relationships/hyperlink" Target="https://www.amazon.sa/s?k=NVIDIA+RTX+5090+Founders+Edition" TargetMode="External" Id="rId8" /><Relationship Type="http://schemas.openxmlformats.org/officeDocument/2006/relationships/hyperlink" Target="https://www.noon.com/saudi-en/search/?q=NVIDIA+RTX+5090+Founders+Edition" TargetMode="External" Id="rId9" /><Relationship Type="http://schemas.openxmlformats.org/officeDocument/2006/relationships/hyperlink" Target="https://www.jarir.com/sa-en/catalogsearch/result/?q=NVIDIA+RTX+5090+Founders+Edition" TargetMode="External" Id="rId10" /><Relationship Type="http://schemas.openxmlformats.org/officeDocument/2006/relationships/hyperlink" Target="https://www.aliexpress.com/w/wholesale-Dell+PowerEdge+R730+Refurbished+Server.html" TargetMode="External" Id="rId11" /><Relationship Type="http://schemas.openxmlformats.org/officeDocument/2006/relationships/hyperlink" Target="https://www.ebay.com/sch/i.html?_nkw=Dell+PowerEdge+R730+Refurbished+Server&amp;_sop=15" TargetMode="External" Id="rId12" /><Relationship Type="http://schemas.openxmlformats.org/officeDocument/2006/relationships/hyperlink" Target="https://www.amazon.sa/s?k=Dell+PowerEdge+R730+Refurbished+Server" TargetMode="External" Id="rId13" /><Relationship Type="http://schemas.openxmlformats.org/officeDocument/2006/relationships/hyperlink" Target="https://www.noon.com/saudi-en/search/?q=Dell+PowerEdge+R730+Refurbished+Server" TargetMode="External" Id="rId14" /><Relationship Type="http://schemas.openxmlformats.org/officeDocument/2006/relationships/hyperlink" Target="https://www.jarir.com/sa-en/catalogsearch/result/?q=Dell+PowerEdge+R730+Refurbished+Server" TargetMode="External" Id="rId15" /><Relationship Type="http://schemas.openxmlformats.org/officeDocument/2006/relationships/hyperlink" Target="https://www.aliexpress.com/w/wholesale-Samsung+Odyssey+OLED+G8.html" TargetMode="External" Id="rId16" /><Relationship Type="http://schemas.openxmlformats.org/officeDocument/2006/relationships/hyperlink" Target="https://www.ebay.com/sch/i.html?_nkw=Samsung+Odyssey+OLED+G8&amp;_sop=15" TargetMode="External" Id="rId17" /><Relationship Type="http://schemas.openxmlformats.org/officeDocument/2006/relationships/hyperlink" Target="https://www.amazon.sa/s?k=Samsung+Odyssey+OLED+G8" TargetMode="External" Id="rId18" /><Relationship Type="http://schemas.openxmlformats.org/officeDocument/2006/relationships/hyperlink" Target="https://www.noon.com/saudi-en/search/?q=Samsung+Odyssey+OLED+G8" TargetMode="External" Id="rId19" /><Relationship Type="http://schemas.openxmlformats.org/officeDocument/2006/relationships/hyperlink" Target="https://www.jarir.com/sa-en/catalogsearch/result/?q=Samsung+Odyssey+OLED+G8" TargetMode="External" Id="rId20" /><Relationship Type="http://schemas.openxmlformats.org/officeDocument/2006/relationships/hyperlink" Target="https://www.aliexpress.com/w/wholesale-Roborock+S8+MaxV+Ultra.html" TargetMode="External" Id="rId21" /><Relationship Type="http://schemas.openxmlformats.org/officeDocument/2006/relationships/hyperlink" Target="https://www.ebay.com/sch/i.html?_nkw=Roborock+S8+MaxV+Ultra&amp;_sop=15" TargetMode="External" Id="rId22" /><Relationship Type="http://schemas.openxmlformats.org/officeDocument/2006/relationships/hyperlink" Target="https://www.amazon.sa/s?k=Roborock+S8+MaxV+Ultra" TargetMode="External" Id="rId23" /><Relationship Type="http://schemas.openxmlformats.org/officeDocument/2006/relationships/hyperlink" Target="https://www.noon.com/saudi-en/search/?q=Roborock+S8+MaxV+Ultra" TargetMode="External" Id="rId24" /><Relationship Type="http://schemas.openxmlformats.org/officeDocument/2006/relationships/hyperlink" Target="https://www.jarir.com/sa-en/catalogsearch/result/?q=Roborock+S8+MaxV+Ultra" TargetMode="External" Id="rId25" /><Relationship Type="http://schemas.openxmlformats.org/officeDocument/2006/relationships/hyperlink" Target="https://www.aliexpress.com/w/wholesale-NVIDIA+RTX+5080+Founders+Edition.html" TargetMode="External" Id="rId26" /><Relationship Type="http://schemas.openxmlformats.org/officeDocument/2006/relationships/hyperlink" Target="https://www.ebay.com/sch/i.html?_nkw=NVIDIA+RTX+5080+Founders+Edition&amp;_sop=15" TargetMode="External" Id="rId27" /><Relationship Type="http://schemas.openxmlformats.org/officeDocument/2006/relationships/hyperlink" Target="https://www.amazon.sa/s?k=NVIDIA+RTX+5080+Founders+Edition" TargetMode="External" Id="rId28" /><Relationship Type="http://schemas.openxmlformats.org/officeDocument/2006/relationships/hyperlink" Target="https://www.noon.com/saudi-en/search/?q=NVIDIA+RTX+5080+Founders+Edition" TargetMode="External" Id="rId29" /><Relationship Type="http://schemas.openxmlformats.org/officeDocument/2006/relationships/hyperlink" Target="https://www.jarir.com/sa-en/catalogsearch/result/?q=NVIDIA+RTX+5080+Founders+Edition" TargetMode="External" Id="rId30" /><Relationship Type="http://schemas.openxmlformats.org/officeDocument/2006/relationships/hyperlink" Target="https://www.aliexpress.com/w/wholesale-HPE+ProLiant+DL380+Gen10+Server.html" TargetMode="External" Id="rId31" /><Relationship Type="http://schemas.openxmlformats.org/officeDocument/2006/relationships/hyperlink" Target="https://www.ebay.com/sch/i.html?_nkw=HPE+ProLiant+DL380+Gen10+Server&amp;_sop=15" TargetMode="External" Id="rId32" /><Relationship Type="http://schemas.openxmlformats.org/officeDocument/2006/relationships/hyperlink" Target="https://www.amazon.sa/s?k=HPE+ProLiant+DL380+Gen10+Server" TargetMode="External" Id="rId33" /><Relationship Type="http://schemas.openxmlformats.org/officeDocument/2006/relationships/hyperlink" Target="https://www.noon.com/saudi-en/search/?q=HPE+ProLiant+DL380+Gen10+Server" TargetMode="External" Id="rId34" /><Relationship Type="http://schemas.openxmlformats.org/officeDocument/2006/relationships/hyperlink" Target="https://www.jarir.com/sa-en/catalogsearch/result/?q=HPE+ProLiant+DL380+Gen10+Server" TargetMode="External" Id="rId35" /><Relationship Type="http://schemas.openxmlformats.org/officeDocument/2006/relationships/hyperlink" Target="https://www.aliexpress.com/w/wholesale-DJI+Mini+4+Pro.html" TargetMode="External" Id="rId36" /><Relationship Type="http://schemas.openxmlformats.org/officeDocument/2006/relationships/hyperlink" Target="https://www.ebay.com/sch/i.html?_nkw=DJI+Mini+4+Pro&amp;_sop=15" TargetMode="External" Id="rId37" /><Relationship Type="http://schemas.openxmlformats.org/officeDocument/2006/relationships/hyperlink" Target="https://www.amazon.sa/s?k=DJI+Mini+4+Pro" TargetMode="External" Id="rId38" /><Relationship Type="http://schemas.openxmlformats.org/officeDocument/2006/relationships/hyperlink" Target="https://www.noon.com/saudi-en/search/?q=DJI+Mini+4+Pro" TargetMode="External" Id="rId39" /><Relationship Type="http://schemas.openxmlformats.org/officeDocument/2006/relationships/hyperlink" Target="https://www.jarir.com/sa-en/catalogsearch/result/?q=DJI+Mini+4+Pro" TargetMode="External" Id="rId40" /><Relationship Type="http://schemas.openxmlformats.org/officeDocument/2006/relationships/hyperlink" Target="https://www.aliexpress.com/w/wholesale-Ecovacs+Deebot+X9+Pro+Omni.html" TargetMode="External" Id="rId41" /><Relationship Type="http://schemas.openxmlformats.org/officeDocument/2006/relationships/hyperlink" Target="https://www.ebay.com/sch/i.html?_nkw=Ecovacs+Deebot+X9+Pro+Omni&amp;_sop=15" TargetMode="External" Id="rId42" /><Relationship Type="http://schemas.openxmlformats.org/officeDocument/2006/relationships/hyperlink" Target="https://www.amazon.sa/s?k=Ecovacs+Deebot+X9+Pro+Omni" TargetMode="External" Id="rId43" /><Relationship Type="http://schemas.openxmlformats.org/officeDocument/2006/relationships/hyperlink" Target="https://www.noon.com/saudi-en/search/?q=Ecovacs+Deebot+X9+Pro+Omni" TargetMode="External" Id="rId44" /><Relationship Type="http://schemas.openxmlformats.org/officeDocument/2006/relationships/hyperlink" Target="https://www.jarir.com/sa-en/catalogsearch/result/?q=Ecovacs+Deebot+X9+Pro+Omni" TargetMode="External" Id="rId45" /><Relationship Type="http://schemas.openxmlformats.org/officeDocument/2006/relationships/hyperlink" Target="https://www.aliexpress.com/w/wholesale-Dell+Alienware+AW2725DF.html" TargetMode="External" Id="rId46" /><Relationship Type="http://schemas.openxmlformats.org/officeDocument/2006/relationships/hyperlink" Target="https://www.ebay.com/sch/i.html?_nkw=Dell+Alienware+AW2725DF&amp;_sop=15" TargetMode="External" Id="rId47" /><Relationship Type="http://schemas.openxmlformats.org/officeDocument/2006/relationships/hyperlink" Target="https://www.amazon.sa/s?k=Dell+Alienware+AW2725DF" TargetMode="External" Id="rId48" /><Relationship Type="http://schemas.openxmlformats.org/officeDocument/2006/relationships/hyperlink" Target="https://www.noon.com/saudi-en/search/?q=Dell+Alienware+AW2725DF" TargetMode="External" Id="rId49" /><Relationship Type="http://schemas.openxmlformats.org/officeDocument/2006/relationships/hyperlink" Target="https://www.jarir.com/sa-en/catalogsearch/result/?q=Dell+Alienware+AW2725DF" TargetMode="External" Id="rId50" /><Relationship Type="http://schemas.openxmlformats.org/officeDocument/2006/relationships/hyperlink" Target="https://www.aliexpress.com/w/wholesale-Synology+DiskStation+DS1621%2B+6-Bay+NAS.html" TargetMode="External" Id="rId51" /><Relationship Type="http://schemas.openxmlformats.org/officeDocument/2006/relationships/hyperlink" Target="https://www.ebay.com/sch/i.html?_nkw=Synology+DiskStation+DS1621%2B+6-Bay+NAS&amp;_sop=15" TargetMode="External" Id="rId52" /><Relationship Type="http://schemas.openxmlformats.org/officeDocument/2006/relationships/hyperlink" Target="https://www.amazon.sa/s?k=Synology+DiskStation+DS1621%2B+6-Bay+NAS" TargetMode="External" Id="rId53" /><Relationship Type="http://schemas.openxmlformats.org/officeDocument/2006/relationships/hyperlink" Target="https://www.noon.com/saudi-en/search/?q=Synology+DiskStation+DS1621%2B+6-Bay+NAS" TargetMode="External" Id="rId54" /><Relationship Type="http://schemas.openxmlformats.org/officeDocument/2006/relationships/hyperlink" Target="https://www.jarir.com/sa-en/catalogsearch/result/?q=Synology+DiskStation+DS1621%2B+6-Bay+NAS" TargetMode="External" Id="rId55" /><Relationship Type="http://schemas.openxmlformats.org/officeDocument/2006/relationships/hyperlink" Target="https://www.aliexpress.com/w/wholesale-Fortinet+FortiGate+60F.html" TargetMode="External" Id="rId56" /><Relationship Type="http://schemas.openxmlformats.org/officeDocument/2006/relationships/hyperlink" Target="https://www.ebay.com/sch/i.html?_nkw=Fortinet+FortiGate+60F&amp;_sop=15" TargetMode="External" Id="rId57" /><Relationship Type="http://schemas.openxmlformats.org/officeDocument/2006/relationships/hyperlink" Target="https://www.amazon.sa/s?k=Fortinet+FortiGate+60F" TargetMode="External" Id="rId58" /><Relationship Type="http://schemas.openxmlformats.org/officeDocument/2006/relationships/hyperlink" Target="https://www.noon.com/saudi-en/search/?q=Fortinet+FortiGate+60F" TargetMode="External" Id="rId59" /><Relationship Type="http://schemas.openxmlformats.org/officeDocument/2006/relationships/hyperlink" Target="https://www.jarir.com/sa-en/catalogsearch/result/?q=Fortinet+FortiGate+60F" TargetMode="External" Id="rId60" /><Relationship Type="http://schemas.openxmlformats.org/officeDocument/2006/relationships/hyperlink" Target="https://www.aliexpress.com/w/wholesale-ASUS+ROG+Swift+OLED+PG27AQDM.html" TargetMode="External" Id="rId61" /><Relationship Type="http://schemas.openxmlformats.org/officeDocument/2006/relationships/hyperlink" Target="https://www.ebay.com/sch/i.html?_nkw=ASUS+ROG+Swift+OLED+PG27AQDM&amp;_sop=15" TargetMode="External" Id="rId62" /><Relationship Type="http://schemas.openxmlformats.org/officeDocument/2006/relationships/hyperlink" Target="https://www.amazon.sa/s?k=ASUS+ROG+Swift+OLED+PG27AQDM" TargetMode="External" Id="rId63" /><Relationship Type="http://schemas.openxmlformats.org/officeDocument/2006/relationships/hyperlink" Target="https://www.noon.com/saudi-en/search/?q=ASUS+ROG+Swift+OLED+PG27AQDM" TargetMode="External" Id="rId64" /><Relationship Type="http://schemas.openxmlformats.org/officeDocument/2006/relationships/hyperlink" Target="https://www.jarir.com/sa-en/catalogsearch/result/?q=ASUS+ROG+Swift+OLED+PG27AQDM" TargetMode="External" Id="rId65" /><Relationship Type="http://schemas.openxmlformats.org/officeDocument/2006/relationships/hyperlink" Target="https://www.aliexpress.com/w/wholesale-Bambu+Lab+P1S+3D+Printer.html" TargetMode="External" Id="rId66" /><Relationship Type="http://schemas.openxmlformats.org/officeDocument/2006/relationships/hyperlink" Target="https://www.ebay.com/sch/i.html?_nkw=Bambu+Lab+P1S+3D+Printer&amp;_sop=15" TargetMode="External" Id="rId67" /><Relationship Type="http://schemas.openxmlformats.org/officeDocument/2006/relationships/hyperlink" Target="https://www.amazon.sa/s?k=Bambu+Lab+P1S+3D+Printer" TargetMode="External" Id="rId68" /><Relationship Type="http://schemas.openxmlformats.org/officeDocument/2006/relationships/hyperlink" Target="https://www.noon.com/saudi-en/search/?q=Bambu+Lab+P1S+3D+Printer" TargetMode="External" Id="rId69" /><Relationship Type="http://schemas.openxmlformats.org/officeDocument/2006/relationships/hyperlink" Target="https://www.jarir.com/sa-en/catalogsearch/result/?q=Bambu+Lab+P1S+3D+Printer" TargetMode="External" Id="rId70" /><Relationship Type="http://schemas.openxmlformats.org/officeDocument/2006/relationships/hyperlink" Target="https://www.aliexpress.com/w/wholesale-LG+UltraGear+OLED+27GR95QE-B.html" TargetMode="External" Id="rId71" /><Relationship Type="http://schemas.openxmlformats.org/officeDocument/2006/relationships/hyperlink" Target="https://www.ebay.com/sch/i.html?_nkw=LG+UltraGear+OLED+27GR95QE-B&amp;_sop=15" TargetMode="External" Id="rId72" /><Relationship Type="http://schemas.openxmlformats.org/officeDocument/2006/relationships/hyperlink" Target="https://www.amazon.sa/s?k=LG+UltraGear+OLED+27GR95QE-B" TargetMode="External" Id="rId73" /><Relationship Type="http://schemas.openxmlformats.org/officeDocument/2006/relationships/hyperlink" Target="https://www.noon.com/saudi-en/search/?q=LG+UltraGear+OLED+27GR95QE-B" TargetMode="External" Id="rId74" /><Relationship Type="http://schemas.openxmlformats.org/officeDocument/2006/relationships/hyperlink" Target="https://www.jarir.com/sa-en/catalogsearch/result/?q=LG+UltraGear+OLED+27GR95QE-B" TargetMode="External" Id="rId75" /><Relationship Type="http://schemas.openxmlformats.org/officeDocument/2006/relationships/hyperlink" Target="https://www.aliexpress.com/w/wholesale-APC+Smart-UPS+SMT1500RM2UC.html" TargetMode="External" Id="rId76" /><Relationship Type="http://schemas.openxmlformats.org/officeDocument/2006/relationships/hyperlink" Target="https://www.ebay.com/sch/i.html?_nkw=APC+Smart-UPS+SMT1500RM2UC&amp;_sop=15" TargetMode="External" Id="rId77" /><Relationship Type="http://schemas.openxmlformats.org/officeDocument/2006/relationships/hyperlink" Target="https://www.amazon.sa/s?k=APC+Smart-UPS+SMT1500RM2UC" TargetMode="External" Id="rId78" /><Relationship Type="http://schemas.openxmlformats.org/officeDocument/2006/relationships/hyperlink" Target="https://www.noon.com/saudi-en/search/?q=APC+Smart-UPS+SMT1500RM2UC" TargetMode="External" Id="rId79" /><Relationship Type="http://schemas.openxmlformats.org/officeDocument/2006/relationships/hyperlink" Target="https://www.jarir.com/sa-en/catalogsearch/result/?q=APC+Smart-UPS+SMT1500RM2UC" TargetMode="External" Id="rId80" /><Relationship Type="http://schemas.openxmlformats.org/officeDocument/2006/relationships/hyperlink" Target="https://www.aliexpress.com/w/wholesale-APC+Smart-UPS+1500VA+LCD+RM+2U.html" TargetMode="External" Id="rId81" /><Relationship Type="http://schemas.openxmlformats.org/officeDocument/2006/relationships/hyperlink" Target="https://www.ebay.com/sch/i.html?_nkw=APC+Smart-UPS+1500VA+LCD+RM+2U&amp;_sop=15" TargetMode="External" Id="rId82" /><Relationship Type="http://schemas.openxmlformats.org/officeDocument/2006/relationships/hyperlink" Target="https://www.amazon.sa/s?k=APC+Smart-UPS+1500VA+LCD+RM+2U" TargetMode="External" Id="rId83" /><Relationship Type="http://schemas.openxmlformats.org/officeDocument/2006/relationships/hyperlink" Target="https://www.noon.com/saudi-en/search/?q=APC+Smart-UPS+1500VA+LCD+RM+2U" TargetMode="External" Id="rId84" /><Relationship Type="http://schemas.openxmlformats.org/officeDocument/2006/relationships/hyperlink" Target="https://www.jarir.com/sa-en/catalogsearch/result/?q=APC+Smart-UPS+1500VA+LCD+RM+2U" TargetMode="External" Id="rId85" /><Relationship Type="http://schemas.openxmlformats.org/officeDocument/2006/relationships/hyperlink" Target="https://www.aliexpress.com/w/wholesale-ASUS+ROG+Rapture+GT-BE19000AI.html" TargetMode="External" Id="rId86" /><Relationship Type="http://schemas.openxmlformats.org/officeDocument/2006/relationships/hyperlink" Target="https://www.ebay.com/sch/i.html?_nkw=ASUS+ROG+Rapture+GT-BE19000AI&amp;_sop=15" TargetMode="External" Id="rId87" /><Relationship Type="http://schemas.openxmlformats.org/officeDocument/2006/relationships/hyperlink" Target="https://www.amazon.sa/s?k=ASUS+ROG+Rapture+GT-BE19000AI" TargetMode="External" Id="rId88" /><Relationship Type="http://schemas.openxmlformats.org/officeDocument/2006/relationships/hyperlink" Target="https://www.noon.com/saudi-en/search/?q=ASUS+ROG+Rapture+GT-BE19000AI" TargetMode="External" Id="rId89" /><Relationship Type="http://schemas.openxmlformats.org/officeDocument/2006/relationships/hyperlink" Target="https://www.jarir.com/sa-en/catalogsearch/result/?q=ASUS+ROG+Rapture+GT-BE19000AI" TargetMode="External" Id="rId90" /><Relationship Type="http://schemas.openxmlformats.org/officeDocument/2006/relationships/hyperlink" Target="https://www.aliexpress.com/w/wholesale-Dreame+L50+Ultra.html" TargetMode="External" Id="rId91" /><Relationship Type="http://schemas.openxmlformats.org/officeDocument/2006/relationships/hyperlink" Target="https://www.ebay.com/sch/i.html?_nkw=Dreame+L50+Ultra&amp;_sop=15" TargetMode="External" Id="rId92" /><Relationship Type="http://schemas.openxmlformats.org/officeDocument/2006/relationships/hyperlink" Target="https://www.amazon.sa/s?k=Dreame+L50+Ultra" TargetMode="External" Id="rId93" /><Relationship Type="http://schemas.openxmlformats.org/officeDocument/2006/relationships/hyperlink" Target="https://www.noon.com/saudi-en/search/?q=Dreame+L50+Ultra" TargetMode="External" Id="rId94" /><Relationship Type="http://schemas.openxmlformats.org/officeDocument/2006/relationships/hyperlink" Target="https://www.jarir.com/sa-en/catalogsearch/result/?q=Dreame+L50+Ultra" TargetMode="External" Id="rId95" /><Relationship Type="http://schemas.openxmlformats.org/officeDocument/2006/relationships/hyperlink" Target="https://www.aliexpress.com/w/wholesale-Roborock+Qrevo+CurvX.html" TargetMode="External" Id="rId96" /><Relationship Type="http://schemas.openxmlformats.org/officeDocument/2006/relationships/hyperlink" Target="https://www.ebay.com/sch/i.html?_nkw=Roborock+Qrevo+CurvX&amp;_sop=15" TargetMode="External" Id="rId97" /><Relationship Type="http://schemas.openxmlformats.org/officeDocument/2006/relationships/hyperlink" Target="https://www.amazon.sa/s?k=Roborock+Qrevo+CurvX" TargetMode="External" Id="rId98" /><Relationship Type="http://schemas.openxmlformats.org/officeDocument/2006/relationships/hyperlink" Target="https://www.noon.com/saudi-en/search/?q=Roborock+Qrevo+CurvX" TargetMode="External" Id="rId99" /><Relationship Type="http://schemas.openxmlformats.org/officeDocument/2006/relationships/hyperlink" Target="https://www.jarir.com/sa-en/catalogsearch/result/?q=Roborock+Qrevo+CurvX" TargetMode="External" Id="rId100" /><Relationship Type="http://schemas.openxmlformats.org/officeDocument/2006/relationships/hyperlink" Target="https://www.aliexpress.com/w/wholesale-Creality+K1+Max.html" TargetMode="External" Id="rId101" /><Relationship Type="http://schemas.openxmlformats.org/officeDocument/2006/relationships/hyperlink" Target="https://www.ebay.com/sch/i.html?_nkw=Creality+K1+Max&amp;_sop=15" TargetMode="External" Id="rId102" /><Relationship Type="http://schemas.openxmlformats.org/officeDocument/2006/relationships/hyperlink" Target="https://www.amazon.sa/s?k=Creality+K1+Max" TargetMode="External" Id="rId103" /><Relationship Type="http://schemas.openxmlformats.org/officeDocument/2006/relationships/hyperlink" Target="https://www.noon.com/saudi-en/search/?q=Creality+K1+Max" TargetMode="External" Id="rId104" /><Relationship Type="http://schemas.openxmlformats.org/officeDocument/2006/relationships/hyperlink" Target="https://www.jarir.com/sa-en/catalogsearch/result/?q=Creality+K1+Max" TargetMode="External" Id="rId105" /><Relationship Type="http://schemas.openxmlformats.org/officeDocument/2006/relationships/hyperlink" Target="https://www.aliexpress.com/w/wholesale-Ubiquiti+UniFi+Switch+Pro+24+PoE.html" TargetMode="External" Id="rId106" /><Relationship Type="http://schemas.openxmlformats.org/officeDocument/2006/relationships/hyperlink" Target="https://www.ebay.com/sch/i.html?_nkw=Ubiquiti+UniFi+Switch+Pro+24+PoE&amp;_sop=15" TargetMode="External" Id="rId107" /><Relationship Type="http://schemas.openxmlformats.org/officeDocument/2006/relationships/hyperlink" Target="https://www.amazon.sa/s?k=Ubiquiti+UniFi+Switch+Pro+24+PoE" TargetMode="External" Id="rId108" /><Relationship Type="http://schemas.openxmlformats.org/officeDocument/2006/relationships/hyperlink" Target="https://www.noon.com/saudi-en/search/?q=Ubiquiti+UniFi+Switch+Pro+24+PoE" TargetMode="External" Id="rId109" /><Relationship Type="http://schemas.openxmlformats.org/officeDocument/2006/relationships/hyperlink" Target="https://www.jarir.com/sa-en/catalogsearch/result/?q=Ubiquiti+UniFi+Switch+Pro+24+PoE" TargetMode="External" Id="rId110" /><Relationship Type="http://schemas.openxmlformats.org/officeDocument/2006/relationships/hyperlink" Target="https://www.aliexpress.com/w/wholesale-DJI+Avata+2.html" TargetMode="External" Id="rId111" /><Relationship Type="http://schemas.openxmlformats.org/officeDocument/2006/relationships/hyperlink" Target="https://www.ebay.com/sch/i.html?_nkw=DJI+Avata+2&amp;_sop=15" TargetMode="External" Id="rId112" /><Relationship Type="http://schemas.openxmlformats.org/officeDocument/2006/relationships/hyperlink" Target="https://www.amazon.sa/s?k=DJI+Avata+2" TargetMode="External" Id="rId113" /><Relationship Type="http://schemas.openxmlformats.org/officeDocument/2006/relationships/hyperlink" Target="https://www.noon.com/saudi-en/search/?q=DJI+Avata+2" TargetMode="External" Id="rId114" /><Relationship Type="http://schemas.openxmlformats.org/officeDocument/2006/relationships/hyperlink" Target="https://www.jarir.com/sa-en/catalogsearch/result/?q=DJI+Avata+2" TargetMode="External" Id="rId115" /><Relationship Type="http://schemas.openxmlformats.org/officeDocument/2006/relationships/hyperlink" Target="https://www.aliexpress.com/w/wholesale-MinisForum+MS-01.html" TargetMode="External" Id="rId116" /><Relationship Type="http://schemas.openxmlformats.org/officeDocument/2006/relationships/hyperlink" Target="https://www.ebay.com/sch/i.html?_nkw=MinisForum+MS-01&amp;_sop=15" TargetMode="External" Id="rId117" /><Relationship Type="http://schemas.openxmlformats.org/officeDocument/2006/relationships/hyperlink" Target="https://www.amazon.sa/s?k=MinisForum+MS-01" TargetMode="External" Id="rId118" /><Relationship Type="http://schemas.openxmlformats.org/officeDocument/2006/relationships/hyperlink" Target="https://www.noon.com/saudi-en/search/?q=MinisForum+MS-01" TargetMode="External" Id="rId119" /><Relationship Type="http://schemas.openxmlformats.org/officeDocument/2006/relationships/hyperlink" Target="https://www.jarir.com/sa-en/catalogsearch/result/?q=MinisForum+MS-01" TargetMode="External" Id="rId120" /><Relationship Type="http://schemas.openxmlformats.org/officeDocument/2006/relationships/hyperlink" Target="https://www.aliexpress.com/w/wholesale-Ubiquiti+USW-Pro-24-PoE.html" TargetMode="External" Id="rId121" /><Relationship Type="http://schemas.openxmlformats.org/officeDocument/2006/relationships/hyperlink" Target="https://www.ebay.com/sch/i.html?_nkw=Ubiquiti+USW-Pro-24-PoE&amp;_sop=15" TargetMode="External" Id="rId122" /><Relationship Type="http://schemas.openxmlformats.org/officeDocument/2006/relationships/hyperlink" Target="https://www.amazon.sa/s?k=Ubiquiti+USW-Pro-24-PoE" TargetMode="External" Id="rId123" /><Relationship Type="http://schemas.openxmlformats.org/officeDocument/2006/relationships/hyperlink" Target="https://www.noon.com/saudi-en/search/?q=Ubiquiti+USW-Pro-24-PoE" TargetMode="External" Id="rId124" /><Relationship Type="http://schemas.openxmlformats.org/officeDocument/2006/relationships/hyperlink" Target="https://www.jarir.com/sa-en/catalogsearch/result/?q=Ubiquiti+USW-Pro-24-PoE" TargetMode="External" Id="rId125" /><Relationship Type="http://schemas.openxmlformats.org/officeDocument/2006/relationships/hyperlink" Target="https://www.aliexpress.com/w/wholesale-Secretlab+Titan+Evo.html" TargetMode="External" Id="rId126" /><Relationship Type="http://schemas.openxmlformats.org/officeDocument/2006/relationships/hyperlink" Target="https://www.ebay.com/sch/i.html?_nkw=Secretlab+Titan+Evo&amp;_sop=15" TargetMode="External" Id="rId127" /><Relationship Type="http://schemas.openxmlformats.org/officeDocument/2006/relationships/hyperlink" Target="https://www.amazon.sa/s?k=Secretlab+Titan+Evo" TargetMode="External" Id="rId128" /><Relationship Type="http://schemas.openxmlformats.org/officeDocument/2006/relationships/hyperlink" Target="https://www.noon.com/saudi-en/search/?q=Secretlab+Titan+Evo" TargetMode="External" Id="rId129" /><Relationship Type="http://schemas.openxmlformats.org/officeDocument/2006/relationships/hyperlink" Target="https://www.jarir.com/sa-en/catalogsearch/result/?q=Secretlab+Titan+Evo" TargetMode="External" Id="rId130" /><Relationship Type="http://schemas.openxmlformats.org/officeDocument/2006/relationships/hyperlink" Target="https://www.aliexpress.com/w/wholesale-Samsung+Odyssey+G7+G70D.html" TargetMode="External" Id="rId131" /><Relationship Type="http://schemas.openxmlformats.org/officeDocument/2006/relationships/hyperlink" Target="https://www.ebay.com/sch/i.html?_nkw=Samsung+Odyssey+G7+G70D&amp;_sop=15" TargetMode="External" Id="rId132" /><Relationship Type="http://schemas.openxmlformats.org/officeDocument/2006/relationships/hyperlink" Target="https://www.amazon.sa/s?k=Samsung+Odyssey+G7+G70D" TargetMode="External" Id="rId133" /><Relationship Type="http://schemas.openxmlformats.org/officeDocument/2006/relationships/hyperlink" Target="https://www.noon.com/saudi-en/search/?q=Samsung+Odyssey+G7+G70D" TargetMode="External" Id="rId134" /><Relationship Type="http://schemas.openxmlformats.org/officeDocument/2006/relationships/hyperlink" Target="https://www.jarir.com/sa-en/catalogsearch/result/?q=Samsung+Odyssey+G7+G70D" TargetMode="External" Id="rId135" /><Relationship Type="http://schemas.openxmlformats.org/officeDocument/2006/relationships/hyperlink" Target="https://www.aliexpress.com/w/wholesale-Synology+DS925%2B.html" TargetMode="External" Id="rId136" /><Relationship Type="http://schemas.openxmlformats.org/officeDocument/2006/relationships/hyperlink" Target="https://www.ebay.com/sch/i.html?_nkw=Synology+DS925%2B&amp;_sop=15" TargetMode="External" Id="rId137" /><Relationship Type="http://schemas.openxmlformats.org/officeDocument/2006/relationships/hyperlink" Target="https://www.amazon.sa/s?k=Synology+DS925%2B" TargetMode="External" Id="rId138" /><Relationship Type="http://schemas.openxmlformats.org/officeDocument/2006/relationships/hyperlink" Target="https://www.noon.com/saudi-en/search/?q=Synology+DS925%2B" TargetMode="External" Id="rId139" /><Relationship Type="http://schemas.openxmlformats.org/officeDocument/2006/relationships/hyperlink" Target="https://www.jarir.com/sa-en/catalogsearch/result/?q=Synology+DS925%2B" TargetMode="External" Id="rId140" /><Relationship Type="http://schemas.openxmlformats.org/officeDocument/2006/relationships/hyperlink" Target="https://www.aliexpress.com/w/wholesale-Insta360+X4.html" TargetMode="External" Id="rId141" /><Relationship Type="http://schemas.openxmlformats.org/officeDocument/2006/relationships/hyperlink" Target="https://www.ebay.com/sch/i.html?_nkw=Insta360+X4&amp;_sop=15" TargetMode="External" Id="rId142" /><Relationship Type="http://schemas.openxmlformats.org/officeDocument/2006/relationships/hyperlink" Target="https://www.amazon.sa/s?k=Insta360+X4" TargetMode="External" Id="rId143" /><Relationship Type="http://schemas.openxmlformats.org/officeDocument/2006/relationships/hyperlink" Target="https://www.noon.com/saudi-en/search/?q=Insta360+X4" TargetMode="External" Id="rId144" /><Relationship Type="http://schemas.openxmlformats.org/officeDocument/2006/relationships/hyperlink" Target="https://www.jarir.com/sa-en/catalogsearch/result/?q=Insta360+X4" TargetMode="External" Id="rId145" /><Relationship Type="http://schemas.openxmlformats.org/officeDocument/2006/relationships/hyperlink" Target="https://www.aliexpress.com/w/wholesale-Elegoo+Saturn+3+Ultra.html" TargetMode="External" Id="rId146" /><Relationship Type="http://schemas.openxmlformats.org/officeDocument/2006/relationships/hyperlink" Target="https://www.ebay.com/sch/i.html?_nkw=Elegoo+Saturn+3+Ultra&amp;_sop=15" TargetMode="External" Id="rId147" /><Relationship Type="http://schemas.openxmlformats.org/officeDocument/2006/relationships/hyperlink" Target="https://www.amazon.sa/s?k=Elegoo+Saturn+3+Ultra" TargetMode="External" Id="rId148" /><Relationship Type="http://schemas.openxmlformats.org/officeDocument/2006/relationships/hyperlink" Target="https://www.noon.com/saudi-en/search/?q=Elegoo+Saturn+3+Ultra" TargetMode="External" Id="rId149" /><Relationship Type="http://schemas.openxmlformats.org/officeDocument/2006/relationships/hyperlink" Target="https://www.jarir.com/sa-en/catalogsearch/result/?q=Elegoo+Saturn+3+Ultra" TargetMode="External" Id="rId150" /><Relationship Type="http://schemas.openxmlformats.org/officeDocument/2006/relationships/hyperlink" Target="https://www.aliexpress.com/w/wholesale-Netgate+4200+MAX+pfSense%2B+Gateway.html" TargetMode="External" Id="rId151" /><Relationship Type="http://schemas.openxmlformats.org/officeDocument/2006/relationships/hyperlink" Target="https://www.ebay.com/sch/i.html?_nkw=Netgate+4200+MAX+pfSense%2B+Gateway&amp;_sop=15" TargetMode="External" Id="rId152" /><Relationship Type="http://schemas.openxmlformats.org/officeDocument/2006/relationships/hyperlink" Target="https://www.amazon.sa/s?k=Netgate+4200+MAX+pfSense%2B+Gateway" TargetMode="External" Id="rId153" /><Relationship Type="http://schemas.openxmlformats.org/officeDocument/2006/relationships/hyperlink" Target="https://www.noon.com/saudi-en/search/?q=Netgate+4200+MAX+pfSense%2B+Gateway" TargetMode="External" Id="rId154" /><Relationship Type="http://schemas.openxmlformats.org/officeDocument/2006/relationships/hyperlink" Target="https://www.jarir.com/sa-en/catalogsearch/result/?q=Netgate+4200+MAX+pfSense%2B+Gateway" TargetMode="External" Id="rId155" /><Relationship Type="http://schemas.openxmlformats.org/officeDocument/2006/relationships/hyperlink" Target="https://www.aliexpress.com/w/wholesale-Prusa+Mini%2B+3D+Printer.html" TargetMode="External" Id="rId156" /><Relationship Type="http://schemas.openxmlformats.org/officeDocument/2006/relationships/hyperlink" Target="https://www.ebay.com/sch/i.html?_nkw=Prusa+Mini%2B+3D+Printer&amp;_sop=15" TargetMode="External" Id="rId157" /><Relationship Type="http://schemas.openxmlformats.org/officeDocument/2006/relationships/hyperlink" Target="https://www.amazon.sa/s?k=Prusa+Mini%2B+3D+Printer" TargetMode="External" Id="rId158" /><Relationship Type="http://schemas.openxmlformats.org/officeDocument/2006/relationships/hyperlink" Target="https://www.noon.com/saudi-en/search/?q=Prusa+Mini%2B+3D+Printer" TargetMode="External" Id="rId159" /><Relationship Type="http://schemas.openxmlformats.org/officeDocument/2006/relationships/hyperlink" Target="https://www.jarir.com/sa-en/catalogsearch/result/?q=Prusa+Mini%2B+3D+Printer" TargetMode="External" Id="rId160" /><Relationship Type="http://schemas.openxmlformats.org/officeDocument/2006/relationships/hyperlink" Target="https://www.aliexpress.com/w/wholesale-Meta+Quest+3+128GB.html" TargetMode="External" Id="rId161" /><Relationship Type="http://schemas.openxmlformats.org/officeDocument/2006/relationships/hyperlink" Target="https://www.ebay.com/sch/i.html?_nkw=Meta+Quest+3+128GB&amp;_sop=15" TargetMode="External" Id="rId162" /><Relationship Type="http://schemas.openxmlformats.org/officeDocument/2006/relationships/hyperlink" Target="https://www.amazon.sa/s?k=Meta+Quest+3+128GB" TargetMode="External" Id="rId163" /><Relationship Type="http://schemas.openxmlformats.org/officeDocument/2006/relationships/hyperlink" Target="https://www.noon.com/saudi-en/search/?q=Meta+Quest+3+128GB" TargetMode="External" Id="rId164" /><Relationship Type="http://schemas.openxmlformats.org/officeDocument/2006/relationships/hyperlink" Target="https://www.jarir.com/sa-en/catalogsearch/result/?q=Meta+Quest+3+128GB" TargetMode="External" Id="rId165" /><Relationship Type="http://schemas.openxmlformats.org/officeDocument/2006/relationships/hyperlink" Target="https://www.aliexpress.com/w/wholesale-Razer+Iskur+V2+NewGen.html" TargetMode="External" Id="rId166" /><Relationship Type="http://schemas.openxmlformats.org/officeDocument/2006/relationships/hyperlink" Target="https://www.ebay.com/sch/i.html?_nkw=Razer+Iskur+V2+NewGen&amp;_sop=15" TargetMode="External" Id="rId167" /><Relationship Type="http://schemas.openxmlformats.org/officeDocument/2006/relationships/hyperlink" Target="https://www.amazon.sa/s?k=Razer+Iskur+V2+NewGen" TargetMode="External" Id="rId168" /><Relationship Type="http://schemas.openxmlformats.org/officeDocument/2006/relationships/hyperlink" Target="https://www.noon.com/saudi-en/search/?q=Razer+Iskur+V2+NewGen" TargetMode="External" Id="rId169" /><Relationship Type="http://schemas.openxmlformats.org/officeDocument/2006/relationships/hyperlink" Target="https://www.jarir.com/sa-en/catalogsearch/result/?q=Razer+Iskur+V2+NewGen" TargetMode="External" Id="rId170" /><Relationship Type="http://schemas.openxmlformats.org/officeDocument/2006/relationships/hyperlink" Target="https://www.aliexpress.com/w/wholesale-DJI+RS+4.html" TargetMode="External" Id="rId171" /><Relationship Type="http://schemas.openxmlformats.org/officeDocument/2006/relationships/hyperlink" Target="https://www.ebay.com/sch/i.html?_nkw=DJI+RS+4&amp;_sop=15" TargetMode="External" Id="rId172" /><Relationship Type="http://schemas.openxmlformats.org/officeDocument/2006/relationships/hyperlink" Target="https://www.amazon.sa/s?k=DJI+RS+4" TargetMode="External" Id="rId173" /><Relationship Type="http://schemas.openxmlformats.org/officeDocument/2006/relationships/hyperlink" Target="https://www.noon.com/saudi-en/search/?q=DJI+RS+4" TargetMode="External" Id="rId174" /><Relationship Type="http://schemas.openxmlformats.org/officeDocument/2006/relationships/hyperlink" Target="https://www.jarir.com/sa-en/catalogsearch/result/?q=DJI+RS+4" TargetMode="External" Id="rId175" /><Relationship Type="http://schemas.openxmlformats.org/officeDocument/2006/relationships/hyperlink" Target="https://www.aliexpress.com/w/wholesale-Asustor+Flashstor+6.html" TargetMode="External" Id="rId176" /><Relationship Type="http://schemas.openxmlformats.org/officeDocument/2006/relationships/hyperlink" Target="https://www.ebay.com/sch/i.html?_nkw=Asustor+Flashstor+6&amp;_sop=15" TargetMode="External" Id="rId177" /><Relationship Type="http://schemas.openxmlformats.org/officeDocument/2006/relationships/hyperlink" Target="https://www.amazon.sa/s?k=Asustor+Flashstor+6" TargetMode="External" Id="rId178" /><Relationship Type="http://schemas.openxmlformats.org/officeDocument/2006/relationships/hyperlink" Target="https://www.noon.com/saudi-en/search/?q=Asustor+Flashstor+6" TargetMode="External" Id="rId179" /><Relationship Type="http://schemas.openxmlformats.org/officeDocument/2006/relationships/hyperlink" Target="https://www.jarir.com/sa-en/catalogsearch/result/?q=Asustor+Flashstor+6" TargetMode="External" Id="rId180" /><Relationship Type="http://schemas.openxmlformats.org/officeDocument/2006/relationships/hyperlink" Target="https://www.aliexpress.com/w/wholesale-Ubiquiti+UniFi+Dream+Machine+Pro.html" TargetMode="External" Id="rId181" /><Relationship Type="http://schemas.openxmlformats.org/officeDocument/2006/relationships/hyperlink" Target="https://www.ebay.com/sch/i.html?_nkw=Ubiquiti+UniFi+Dream+Machine+Pro&amp;_sop=15" TargetMode="External" Id="rId182" /><Relationship Type="http://schemas.openxmlformats.org/officeDocument/2006/relationships/hyperlink" Target="https://www.amazon.sa/s?k=Ubiquiti+UniFi+Dream+Machine+Pro" TargetMode="External" Id="rId183" /><Relationship Type="http://schemas.openxmlformats.org/officeDocument/2006/relationships/hyperlink" Target="https://www.noon.com/saudi-en/search/?q=Ubiquiti+UniFi+Dream+Machine+Pro" TargetMode="External" Id="rId184" /><Relationship Type="http://schemas.openxmlformats.org/officeDocument/2006/relationships/hyperlink" Target="https://www.jarir.com/sa-en/catalogsearch/result/?q=Ubiquiti+UniFi+Dream+Machine+Pro" TargetMode="External" Id="rId185" /><Relationship Type="http://schemas.openxmlformats.org/officeDocument/2006/relationships/hyperlink" Target="https://www.aliexpress.com/w/wholesale-Asustor+Lockerstor+4.html" TargetMode="External" Id="rId186" /><Relationship Type="http://schemas.openxmlformats.org/officeDocument/2006/relationships/hyperlink" Target="https://www.ebay.com/sch/i.html?_nkw=Asustor+Lockerstor+4&amp;_sop=15" TargetMode="External" Id="rId187" /><Relationship Type="http://schemas.openxmlformats.org/officeDocument/2006/relationships/hyperlink" Target="https://www.amazon.sa/s?k=Asustor+Lockerstor+4" TargetMode="External" Id="rId188" /><Relationship Type="http://schemas.openxmlformats.org/officeDocument/2006/relationships/hyperlink" Target="https://www.noon.com/saudi-en/search/?q=Asustor+Lockerstor+4" TargetMode="External" Id="rId189" /><Relationship Type="http://schemas.openxmlformats.org/officeDocument/2006/relationships/hyperlink" Target="https://www.jarir.com/sa-en/catalogsearch/result/?q=Asustor+Lockerstor+4" TargetMode="External" Id="rId190" /><Relationship Type="http://schemas.openxmlformats.org/officeDocument/2006/relationships/hyperlink" Target="https://www.aliexpress.com/w/wholesale-DJI+Pocket+3.html" TargetMode="External" Id="rId191" /><Relationship Type="http://schemas.openxmlformats.org/officeDocument/2006/relationships/hyperlink" Target="https://www.ebay.com/sch/i.html?_nkw=DJI+Pocket+3&amp;_sop=15" TargetMode="External" Id="rId192" /><Relationship Type="http://schemas.openxmlformats.org/officeDocument/2006/relationships/hyperlink" Target="https://www.amazon.sa/s?k=DJI+Pocket+3" TargetMode="External" Id="rId193" /><Relationship Type="http://schemas.openxmlformats.org/officeDocument/2006/relationships/hyperlink" Target="https://www.noon.com/saudi-en/search/?q=DJI+Pocket+3" TargetMode="External" Id="rId194" /><Relationship Type="http://schemas.openxmlformats.org/officeDocument/2006/relationships/hyperlink" Target="https://www.jarir.com/sa-en/catalogsearch/result/?q=DJI+Pocket+3" TargetMode="External" Id="rId195" /><Relationship Type="http://schemas.openxmlformats.org/officeDocument/2006/relationships/hyperlink" Target="https://www.aliexpress.com/w/wholesale-BenQ+Zowie+XL2546K.html" TargetMode="External" Id="rId196" /><Relationship Type="http://schemas.openxmlformats.org/officeDocument/2006/relationships/hyperlink" Target="https://www.ebay.com/sch/i.html?_nkw=BenQ+Zowie+XL2546K&amp;_sop=15" TargetMode="External" Id="rId197" /><Relationship Type="http://schemas.openxmlformats.org/officeDocument/2006/relationships/hyperlink" Target="https://www.amazon.sa/s?k=BenQ+Zowie+XL2546K" TargetMode="External" Id="rId198" /><Relationship Type="http://schemas.openxmlformats.org/officeDocument/2006/relationships/hyperlink" Target="https://www.noon.com/saudi-en/search/?q=BenQ+Zowie+XL2546K" TargetMode="External" Id="rId199" /><Relationship Type="http://schemas.openxmlformats.org/officeDocument/2006/relationships/hyperlink" Target="https://www.jarir.com/sa-en/catalogsearch/result/?q=BenQ+Zowie+XL2546K" TargetMode="External" Id="rId200" /><Relationship Type="http://schemas.openxmlformats.org/officeDocument/2006/relationships/hyperlink" Target="https://www.aliexpress.com/w/wholesale-Phrozen+Sonic+Mini+8K+S.html" TargetMode="External" Id="rId201" /><Relationship Type="http://schemas.openxmlformats.org/officeDocument/2006/relationships/hyperlink" Target="https://www.ebay.com/sch/i.html?_nkw=Phrozen+Sonic+Mini+8K+S&amp;_sop=15" TargetMode="External" Id="rId202" /><Relationship Type="http://schemas.openxmlformats.org/officeDocument/2006/relationships/hyperlink" Target="https://www.amazon.sa/s?k=Phrozen+Sonic+Mini+8K+S" TargetMode="External" Id="rId203" /><Relationship Type="http://schemas.openxmlformats.org/officeDocument/2006/relationships/hyperlink" Target="https://www.noon.com/saudi-en/search/?q=Phrozen+Sonic+Mini+8K+S" TargetMode="External" Id="rId204" /><Relationship Type="http://schemas.openxmlformats.org/officeDocument/2006/relationships/hyperlink" Target="https://www.jarir.com/sa-en/catalogsearch/result/?q=Phrozen+Sonic+Mini+8K+S" TargetMode="External" Id="rId205" /><Relationship Type="http://schemas.openxmlformats.org/officeDocument/2006/relationships/hyperlink" Target="https://www.aliexpress.com/w/wholesale-CalDigit+TS4+Thunderbolt+4+Dock.html" TargetMode="External" Id="rId206" /><Relationship Type="http://schemas.openxmlformats.org/officeDocument/2006/relationships/hyperlink" Target="https://www.ebay.com/sch/i.html?_nkw=CalDigit+TS4+Thunderbolt+4+Dock&amp;_sop=15" TargetMode="External" Id="rId207" /><Relationship Type="http://schemas.openxmlformats.org/officeDocument/2006/relationships/hyperlink" Target="https://www.amazon.sa/s?k=CalDigit+TS4+Thunderbolt+4+Dock" TargetMode="External" Id="rId208" /><Relationship Type="http://schemas.openxmlformats.org/officeDocument/2006/relationships/hyperlink" Target="https://www.noon.com/saudi-en/search/?q=CalDigit+TS4+Thunderbolt+4+Dock" TargetMode="External" Id="rId209" /><Relationship Type="http://schemas.openxmlformats.org/officeDocument/2006/relationships/hyperlink" Target="https://www.jarir.com/sa-en/catalogsearch/result/?q=CalDigit+TS4+Thunderbolt+4+Dock" TargetMode="External" Id="rId210" /><Relationship Type="http://schemas.openxmlformats.org/officeDocument/2006/relationships/hyperlink" Target="https://www.aliexpress.com/w/wholesale-UniFi+Protect+G4+Pro+Camera.html" TargetMode="External" Id="rId211" /><Relationship Type="http://schemas.openxmlformats.org/officeDocument/2006/relationships/hyperlink" Target="https://www.ebay.com/sch/i.html?_nkw=UniFi+Protect+G4+Pro+Camera&amp;_sop=15" TargetMode="External" Id="rId212" /><Relationship Type="http://schemas.openxmlformats.org/officeDocument/2006/relationships/hyperlink" Target="https://www.amazon.sa/s?k=UniFi+Protect+G4+Pro+Camera" TargetMode="External" Id="rId213" /><Relationship Type="http://schemas.openxmlformats.org/officeDocument/2006/relationships/hyperlink" Target="https://www.noon.com/saudi-en/search/?q=UniFi+Protect+G4+Pro+Camera" TargetMode="External" Id="rId214" /><Relationship Type="http://schemas.openxmlformats.org/officeDocument/2006/relationships/hyperlink" Target="https://www.jarir.com/sa-en/catalogsearch/result/?q=UniFi+Protect+G4+Pro+Camera" TargetMode="External" Id="rId215" /><Relationship Type="http://schemas.openxmlformats.org/officeDocument/2006/relationships/hyperlink" Target="https://www.aliexpress.com/w/wholesale-QNAP+TS-464-8G.html" TargetMode="External" Id="rId216" /><Relationship Type="http://schemas.openxmlformats.org/officeDocument/2006/relationships/hyperlink" Target="https://www.ebay.com/sch/i.html?_nkw=QNAP+TS-464-8G&amp;_sop=15" TargetMode="External" Id="rId217" /><Relationship Type="http://schemas.openxmlformats.org/officeDocument/2006/relationships/hyperlink" Target="https://www.amazon.sa/s?k=QNAP+TS-464-8G" TargetMode="External" Id="rId218" /><Relationship Type="http://schemas.openxmlformats.org/officeDocument/2006/relationships/hyperlink" Target="https://www.noon.com/saudi-en/search/?q=QNAP+TS-464-8G" TargetMode="External" Id="rId219" /><Relationship Type="http://schemas.openxmlformats.org/officeDocument/2006/relationships/hyperlink" Target="https://www.jarir.com/sa-en/catalogsearch/result/?q=QNAP+TS-464-8G" TargetMode="External" Id="rId220" /><Relationship Type="http://schemas.openxmlformats.org/officeDocument/2006/relationships/hyperlink" Target="https://www.aliexpress.com/w/wholesale-MikroTik+CRS312-4C%2B8XG-RM.html" TargetMode="External" Id="rId221" /><Relationship Type="http://schemas.openxmlformats.org/officeDocument/2006/relationships/hyperlink" Target="https://www.ebay.com/sch/i.html?_nkw=MikroTik+CRS312-4C%2B8XG-RM&amp;_sop=15" TargetMode="External" Id="rId222" /><Relationship Type="http://schemas.openxmlformats.org/officeDocument/2006/relationships/hyperlink" Target="https://www.amazon.sa/s?k=MikroTik+CRS312-4C%2B8XG-RM" TargetMode="External" Id="rId223" /><Relationship Type="http://schemas.openxmlformats.org/officeDocument/2006/relationships/hyperlink" Target="https://www.noon.com/saudi-en/search/?q=MikroTik+CRS312-4C%2B8XG-RM" TargetMode="External" Id="rId224" /><Relationship Type="http://schemas.openxmlformats.org/officeDocument/2006/relationships/hyperlink" Target="https://www.jarir.com/sa-en/catalogsearch/result/?q=MikroTik+CRS312-4C%2B8XG-RM" TargetMode="External" Id="rId225" /><Relationship Type="http://schemas.openxmlformats.org/officeDocument/2006/relationships/hyperlink" Target="https://www.aliexpress.com/w/wholesale-MikroTik+CRS328-24P-4S%2BRM.html" TargetMode="External" Id="rId226" /><Relationship Type="http://schemas.openxmlformats.org/officeDocument/2006/relationships/hyperlink" Target="https://www.ebay.com/sch/i.html?_nkw=MikroTik+CRS328-24P-4S%2BRM&amp;_sop=15" TargetMode="External" Id="rId227" /><Relationship Type="http://schemas.openxmlformats.org/officeDocument/2006/relationships/hyperlink" Target="https://www.amazon.sa/s?k=MikroTik+CRS328-24P-4S%2BRM" TargetMode="External" Id="rId228" /><Relationship Type="http://schemas.openxmlformats.org/officeDocument/2006/relationships/hyperlink" Target="https://www.noon.com/saudi-en/search/?q=MikroTik+CRS328-24P-4S%2BRM" TargetMode="External" Id="rId229" /><Relationship Type="http://schemas.openxmlformats.org/officeDocument/2006/relationships/hyperlink" Target="https://www.jarir.com/sa-en/catalogsearch/result/?q=MikroTik+CRS328-24P-4S%2BRM" TargetMode="External" Id="rId230" /><Relationship Type="http://schemas.openxmlformats.org/officeDocument/2006/relationships/hyperlink" Target="https://www.aliexpress.com/w/wholesale-Seagate+IronWolf+18TB+NAS+Internal+Hard+Drive.html" TargetMode="External" Id="rId231" /><Relationship Type="http://schemas.openxmlformats.org/officeDocument/2006/relationships/hyperlink" Target="https://www.ebay.com/sch/i.html?_nkw=Seagate+IronWolf+18TB+NAS+Internal+Hard+Drive&amp;_sop=15" TargetMode="External" Id="rId232" /><Relationship Type="http://schemas.openxmlformats.org/officeDocument/2006/relationships/hyperlink" Target="https://www.amazon.sa/s?k=Seagate+IronWolf+18TB+NAS+Internal+Hard+Drive" TargetMode="External" Id="rId233" /><Relationship Type="http://schemas.openxmlformats.org/officeDocument/2006/relationships/hyperlink" Target="https://www.noon.com/saudi-en/search/?q=Seagate+IronWolf+18TB+NAS+Internal+Hard+Drive" TargetMode="External" Id="rId234" /><Relationship Type="http://schemas.openxmlformats.org/officeDocument/2006/relationships/hyperlink" Target="https://www.jarir.com/sa-en/catalogsearch/result/?q=Seagate+IronWolf+18TB+NAS+Internal+Hard+Drive" TargetMode="External" Id="rId235" /><Relationship Type="http://schemas.openxmlformats.org/officeDocument/2006/relationships/hyperlink" Target="https://www.aliexpress.com/w/wholesale-Netgate+2100+MAX+pfSense%2B+Gateway.html" TargetMode="External" Id="rId236" /><Relationship Type="http://schemas.openxmlformats.org/officeDocument/2006/relationships/hyperlink" Target="https://www.ebay.com/sch/i.html?_nkw=Netgate+2100+MAX+pfSense%2B+Gateway&amp;_sop=15" TargetMode="External" Id="rId237" /><Relationship Type="http://schemas.openxmlformats.org/officeDocument/2006/relationships/hyperlink" Target="https://www.amazon.sa/s?k=Netgate+2100+MAX+pfSense%2B+Gateway" TargetMode="External" Id="rId238" /><Relationship Type="http://schemas.openxmlformats.org/officeDocument/2006/relationships/hyperlink" Target="https://www.noon.com/saudi-en/search/?q=Netgate+2100+MAX+pfSense%2B+Gateway" TargetMode="External" Id="rId239" /><Relationship Type="http://schemas.openxmlformats.org/officeDocument/2006/relationships/hyperlink" Target="https://www.jarir.com/sa-en/catalogsearch/result/?q=Netgate+2100+MAX+pfSense%2B+Gateway" TargetMode="External" Id="rId240" /><Relationship Type="http://schemas.openxmlformats.org/officeDocument/2006/relationships/hyperlink" Target="https://www.aliexpress.com/w/wholesale-Ajax+Hub+2+Plus.html" TargetMode="External" Id="rId241" /><Relationship Type="http://schemas.openxmlformats.org/officeDocument/2006/relationships/hyperlink" Target="https://www.ebay.com/sch/i.html?_nkw=Ajax+Hub+2+Plus&amp;_sop=15" TargetMode="External" Id="rId242" /><Relationship Type="http://schemas.openxmlformats.org/officeDocument/2006/relationships/hyperlink" Target="https://www.amazon.sa/s?k=Ajax+Hub+2+Plus" TargetMode="External" Id="rId243" /><Relationship Type="http://schemas.openxmlformats.org/officeDocument/2006/relationships/hyperlink" Target="https://www.noon.com/saudi-en/search/?q=Ajax+Hub+2+Plus" TargetMode="External" Id="rId244" /><Relationship Type="http://schemas.openxmlformats.org/officeDocument/2006/relationships/hyperlink" Target="https://www.jarir.com/sa-en/catalogsearch/result/?q=Ajax+Hub+2+Plus" TargetMode="External" Id="rId245" /><Relationship Type="http://schemas.openxmlformats.org/officeDocument/2006/relationships/hyperlink" Target="https://www.aliexpress.com/w/wholesale-DJI+Osmo+Action+5+Pro.html" TargetMode="External" Id="rId246" /><Relationship Type="http://schemas.openxmlformats.org/officeDocument/2006/relationships/hyperlink" Target="https://www.ebay.com/sch/i.html?_nkw=DJI+Osmo+Action+5+Pro&amp;_sop=15" TargetMode="External" Id="rId247" /><Relationship Type="http://schemas.openxmlformats.org/officeDocument/2006/relationships/hyperlink" Target="https://www.amazon.sa/s?k=DJI+Osmo+Action+5+Pro" TargetMode="External" Id="rId248" /><Relationship Type="http://schemas.openxmlformats.org/officeDocument/2006/relationships/hyperlink" Target="https://www.noon.com/saudi-en/search/?q=DJI+Osmo+Action+5+Pro" TargetMode="External" Id="rId249" /><Relationship Type="http://schemas.openxmlformats.org/officeDocument/2006/relationships/hyperlink" Target="https://www.jarir.com/sa-en/catalogsearch/result/?q=DJI+Osmo+Action+5+Pro" TargetMode="External" Id="rId250" /><Relationship Type="http://schemas.openxmlformats.org/officeDocument/2006/relationships/hyperlink" Target="https://www.aliexpress.com/w/wholesale-Beelink+SER7.html" TargetMode="External" Id="rId251" /><Relationship Type="http://schemas.openxmlformats.org/officeDocument/2006/relationships/hyperlink" Target="https://www.ebay.com/sch/i.html?_nkw=Beelink+SER7&amp;_sop=15" TargetMode="External" Id="rId252" /><Relationship Type="http://schemas.openxmlformats.org/officeDocument/2006/relationships/hyperlink" Target="https://www.amazon.sa/s?k=Beelink+SER7" TargetMode="External" Id="rId253" /><Relationship Type="http://schemas.openxmlformats.org/officeDocument/2006/relationships/hyperlink" Target="https://www.noon.com/saudi-en/search/?q=Beelink+SER7" TargetMode="External" Id="rId254" /><Relationship Type="http://schemas.openxmlformats.org/officeDocument/2006/relationships/hyperlink" Target="https://www.jarir.com/sa-en/catalogsearch/result/?q=Beelink+SER7" TargetMode="External" Id="rId255" /><Relationship Type="http://schemas.openxmlformats.org/officeDocument/2006/relationships/hyperlink" Target="https://www.aliexpress.com/w/wholesale-ATEN+CS1924M+4-Port+DP+KVM.html" TargetMode="External" Id="rId256" /><Relationship Type="http://schemas.openxmlformats.org/officeDocument/2006/relationships/hyperlink" Target="https://www.ebay.com/sch/i.html?_nkw=ATEN+CS1924M+4-Port+DP+KVM&amp;_sop=15" TargetMode="External" Id="rId257" /><Relationship Type="http://schemas.openxmlformats.org/officeDocument/2006/relationships/hyperlink" Target="https://www.amazon.sa/s?k=ATEN+CS1924M+4-Port+DP+KVM" TargetMode="External" Id="rId258" /><Relationship Type="http://schemas.openxmlformats.org/officeDocument/2006/relationships/hyperlink" Target="https://www.noon.com/saudi-en/search/?q=ATEN+CS1924M+4-Port+DP+KVM" TargetMode="External" Id="rId259" /><Relationship Type="http://schemas.openxmlformats.org/officeDocument/2006/relationships/hyperlink" Target="https://www.jarir.com/sa-en/catalogsearch/result/?q=ATEN+CS1924M+4-Port+DP+KVM" TargetMode="External" Id="rId260" /><Relationship Type="http://schemas.openxmlformats.org/officeDocument/2006/relationships/hyperlink" Target="https://www.aliexpress.com/w/wholesale-FIMI+X8+Mini+V2.html" TargetMode="External" Id="rId261" /><Relationship Type="http://schemas.openxmlformats.org/officeDocument/2006/relationships/hyperlink" Target="https://www.ebay.com/sch/i.html?_nkw=FIMI+X8+Mini+V2&amp;_sop=15" TargetMode="External" Id="rId262" /><Relationship Type="http://schemas.openxmlformats.org/officeDocument/2006/relationships/hyperlink" Target="https://www.amazon.sa/s?k=FIMI+X8+Mini+V2" TargetMode="External" Id="rId263" /><Relationship Type="http://schemas.openxmlformats.org/officeDocument/2006/relationships/hyperlink" Target="https://www.noon.com/saudi-en/search/?q=FIMI+X8+Mini+V2" TargetMode="External" Id="rId264" /><Relationship Type="http://schemas.openxmlformats.org/officeDocument/2006/relationships/hyperlink" Target="https://www.jarir.com/sa-en/catalogsearch/result/?q=FIMI+X8+Mini+V2" TargetMode="External" Id="rId265" /><Relationship Type="http://schemas.openxmlformats.org/officeDocument/2006/relationships/hyperlink" Target="https://www.aliexpress.com/w/wholesale-Elegoo+Mars+4+Ultra+Resin+3D+Printer.html" TargetMode="External" Id="rId266" /><Relationship Type="http://schemas.openxmlformats.org/officeDocument/2006/relationships/hyperlink" Target="https://www.ebay.com/sch/i.html?_nkw=Elegoo+Mars+4+Ultra+Resin+3D+Printer&amp;_sop=15" TargetMode="External" Id="rId267" /><Relationship Type="http://schemas.openxmlformats.org/officeDocument/2006/relationships/hyperlink" Target="https://www.amazon.sa/s?k=Elegoo+Mars+4+Ultra+Resin+3D+Printer" TargetMode="External" Id="rId268" /><Relationship Type="http://schemas.openxmlformats.org/officeDocument/2006/relationships/hyperlink" Target="https://www.noon.com/saudi-en/search/?q=Elegoo+Mars+4+Ultra+Resin+3D+Printer" TargetMode="External" Id="rId269" /><Relationship Type="http://schemas.openxmlformats.org/officeDocument/2006/relationships/hyperlink" Target="https://www.jarir.com/sa-en/catalogsearch/result/?q=Elegoo+Mars+4+Ultra+Resin+3D+Printer" TargetMode="External" Id="rId270" /><Relationship Type="http://schemas.openxmlformats.org/officeDocument/2006/relationships/hyperlink" Target="https://www.aliexpress.com/w/wholesale-Ubiquiti+UniFi+Protect+G4+Doorbell+Pro.html" TargetMode="External" Id="rId271" /><Relationship Type="http://schemas.openxmlformats.org/officeDocument/2006/relationships/hyperlink" Target="https://www.ebay.com/sch/i.html?_nkw=Ubiquiti+UniFi+Protect+G4+Doorbell+Pro&amp;_sop=15" TargetMode="External" Id="rId272" /><Relationship Type="http://schemas.openxmlformats.org/officeDocument/2006/relationships/hyperlink" Target="https://www.amazon.sa/s?k=Ubiquiti+UniFi+Protect+G4+Doorbell+Pro" TargetMode="External" Id="rId273" /><Relationship Type="http://schemas.openxmlformats.org/officeDocument/2006/relationships/hyperlink" Target="https://www.noon.com/saudi-en/search/?q=Ubiquiti+UniFi+Protect+G4+Doorbell+Pro" TargetMode="External" Id="rId274" /><Relationship Type="http://schemas.openxmlformats.org/officeDocument/2006/relationships/hyperlink" Target="https://www.jarir.com/sa-en/catalogsearch/result/?q=Ubiquiti+UniFi+Protect+G4+Doorbell+Pro" TargetMode="External" Id="rId275" /><Relationship Type="http://schemas.openxmlformats.org/officeDocument/2006/relationships/hyperlink" Target="https://www.aliexpress.com/w/wholesale-CyberPower+OR1500LCDRM1U.html" TargetMode="External" Id="rId276" /><Relationship Type="http://schemas.openxmlformats.org/officeDocument/2006/relationships/hyperlink" Target="https://www.ebay.com/sch/i.html?_nkw=CyberPower+OR1500LCDRM1U&amp;_sop=15" TargetMode="External" Id="rId277" /><Relationship Type="http://schemas.openxmlformats.org/officeDocument/2006/relationships/hyperlink" Target="https://www.amazon.sa/s?k=CyberPower+OR1500LCDRM1U" TargetMode="External" Id="rId278" /><Relationship Type="http://schemas.openxmlformats.org/officeDocument/2006/relationships/hyperlink" Target="https://www.noon.com/saudi-en/search/?q=CyberPower+OR1500LCDRM1U" TargetMode="External" Id="rId279" /><Relationship Type="http://schemas.openxmlformats.org/officeDocument/2006/relationships/hyperlink" Target="https://www.jarir.com/sa-en/catalogsearch/result/?q=CyberPower+OR1500LCDRM1U" TargetMode="External" Id="rId280" /><Relationship Type="http://schemas.openxmlformats.org/officeDocument/2006/relationships/hyperlink" Target="https://www.aliexpress.com/w/wholesale-Synology+DS225%2B.html" TargetMode="External" Id="rId281" /><Relationship Type="http://schemas.openxmlformats.org/officeDocument/2006/relationships/hyperlink" Target="https://www.ebay.com/sch/i.html?_nkw=Synology+DS225%2B&amp;_sop=15" TargetMode="External" Id="rId282" /><Relationship Type="http://schemas.openxmlformats.org/officeDocument/2006/relationships/hyperlink" Target="https://www.amazon.sa/s?k=Synology+DS225%2B" TargetMode="External" Id="rId283" /><Relationship Type="http://schemas.openxmlformats.org/officeDocument/2006/relationships/hyperlink" Target="https://www.noon.com/saudi-en/search/?q=Synology+DS225%2B" TargetMode="External" Id="rId284" /><Relationship Type="http://schemas.openxmlformats.org/officeDocument/2006/relationships/hyperlink" Target="https://www.jarir.com/sa-en/catalogsearch/result/?q=Synology+DS225%2B" TargetMode="External" Id="rId285" /><Relationship Type="http://schemas.openxmlformats.org/officeDocument/2006/relationships/hyperlink" Target="https://www.aliexpress.com/w/wholesale-TP-Link+Deco+XE75.html" TargetMode="External" Id="rId286" /><Relationship Type="http://schemas.openxmlformats.org/officeDocument/2006/relationships/hyperlink" Target="https://www.ebay.com/sch/i.html?_nkw=TP-Link+Deco+XE75&amp;_sop=15" TargetMode="External" Id="rId287" /><Relationship Type="http://schemas.openxmlformats.org/officeDocument/2006/relationships/hyperlink" Target="https://www.amazon.sa/s?k=TP-Link+Deco+XE75" TargetMode="External" Id="rId288" /><Relationship Type="http://schemas.openxmlformats.org/officeDocument/2006/relationships/hyperlink" Target="https://www.noon.com/saudi-en/search/?q=TP-Link+Deco+XE75" TargetMode="External" Id="rId289" /><Relationship Type="http://schemas.openxmlformats.org/officeDocument/2006/relationships/hyperlink" Target="https://www.jarir.com/sa-en/catalogsearch/result/?q=TP-Link+Deco+XE75" TargetMode="External" Id="rId290" /><Relationship Type="http://schemas.openxmlformats.org/officeDocument/2006/relationships/hyperlink" Target="https://www.aliexpress.com/w/wholesale-Adobe+Creative+Cloud+1+Year.html" TargetMode="External" Id="rId291" /><Relationship Type="http://schemas.openxmlformats.org/officeDocument/2006/relationships/hyperlink" Target="https://www.ebay.com/sch/i.html?_nkw=Adobe+Creative+Cloud+1+Year&amp;_sop=15" TargetMode="External" Id="rId292" /><Relationship Type="http://schemas.openxmlformats.org/officeDocument/2006/relationships/hyperlink" Target="https://www.amazon.sa/s?k=Adobe+Creative+Cloud+1+Year" TargetMode="External" Id="rId293" /><Relationship Type="http://schemas.openxmlformats.org/officeDocument/2006/relationships/hyperlink" Target="https://www.noon.com/saudi-en/search/?q=Adobe+Creative+Cloud+1+Year" TargetMode="External" Id="rId294" /><Relationship Type="http://schemas.openxmlformats.org/officeDocument/2006/relationships/hyperlink" Target="https://www.jarir.com/sa-en/catalogsearch/result/?q=Adobe+Creative+Cloud+1+Year" TargetMode="External" Id="rId295" /><Relationship Type="http://schemas.openxmlformats.org/officeDocument/2006/relationships/hyperlink" Target="https://www.aliexpress.com/w/wholesale-Bambu+Lab+AMS.html" TargetMode="External" Id="rId296" /><Relationship Type="http://schemas.openxmlformats.org/officeDocument/2006/relationships/hyperlink" Target="https://www.ebay.com/sch/i.html?_nkw=Bambu+Lab+AMS&amp;_sop=15" TargetMode="External" Id="rId297" /><Relationship Type="http://schemas.openxmlformats.org/officeDocument/2006/relationships/hyperlink" Target="https://www.amazon.sa/s?k=Bambu+Lab+AMS" TargetMode="External" Id="rId298" /><Relationship Type="http://schemas.openxmlformats.org/officeDocument/2006/relationships/hyperlink" Target="https://www.noon.com/saudi-en/search/?q=Bambu+Lab+AMS" TargetMode="External" Id="rId299" /><Relationship Type="http://schemas.openxmlformats.org/officeDocument/2006/relationships/hyperlink" Target="https://www.jarir.com/sa-en/catalogsearch/result/?q=Bambu+Lab+AMS" TargetMode="External" Id="rId300" /><Relationship Type="http://schemas.openxmlformats.org/officeDocument/2006/relationships/hyperlink" Target="https://www.aliexpress.com/w/wholesale-QNAP+TS-262-4G.html" TargetMode="External" Id="rId301" /><Relationship Type="http://schemas.openxmlformats.org/officeDocument/2006/relationships/hyperlink" Target="https://www.ebay.com/sch/i.html?_nkw=QNAP+TS-262-4G&amp;_sop=15" TargetMode="External" Id="rId302" /><Relationship Type="http://schemas.openxmlformats.org/officeDocument/2006/relationships/hyperlink" Target="https://www.amazon.sa/s?k=QNAP+TS-262-4G" TargetMode="External" Id="rId303" /><Relationship Type="http://schemas.openxmlformats.org/officeDocument/2006/relationships/hyperlink" Target="https://www.noon.com/saudi-en/search/?q=QNAP+TS-262-4G" TargetMode="External" Id="rId304" /><Relationship Type="http://schemas.openxmlformats.org/officeDocument/2006/relationships/hyperlink" Target="https://www.jarir.com/sa-en/catalogsearch/result/?q=QNAP+TS-262-4G" TargetMode="External" Id="rId305" /><Relationship Type="http://schemas.openxmlformats.org/officeDocument/2006/relationships/hyperlink" Target="https://www.aliexpress.com/w/wholesale-Flipper+Zero.html" TargetMode="External" Id="rId306" /><Relationship Type="http://schemas.openxmlformats.org/officeDocument/2006/relationships/hyperlink" Target="https://www.ebay.com/sch/i.html?_nkw=Flipper+Zero&amp;_sop=15" TargetMode="External" Id="rId307" /><Relationship Type="http://schemas.openxmlformats.org/officeDocument/2006/relationships/hyperlink" Target="https://www.amazon.sa/s?k=Flipper+Zero" TargetMode="External" Id="rId308" /><Relationship Type="http://schemas.openxmlformats.org/officeDocument/2006/relationships/hyperlink" Target="https://www.noon.com/saudi-en/search/?q=Flipper+Zero" TargetMode="External" Id="rId309" /><Relationship Type="http://schemas.openxmlformats.org/officeDocument/2006/relationships/hyperlink" Target="https://www.jarir.com/sa-en/catalogsearch/result/?q=Flipper+Zero" TargetMode="External" Id="rId310" /><Relationship Type="http://schemas.openxmlformats.org/officeDocument/2006/relationships/hyperlink" Target="https://www.aliexpress.com/w/wholesale-Google+Nest+Learning+Thermostat.html" TargetMode="External" Id="rId311" /><Relationship Type="http://schemas.openxmlformats.org/officeDocument/2006/relationships/hyperlink" Target="https://www.ebay.com/sch/i.html?_nkw=Google+Nest+Learning+Thermostat&amp;_sop=15" TargetMode="External" Id="rId312" /><Relationship Type="http://schemas.openxmlformats.org/officeDocument/2006/relationships/hyperlink" Target="https://www.amazon.sa/s?k=Google+Nest+Learning+Thermostat" TargetMode="External" Id="rId313" /><Relationship Type="http://schemas.openxmlformats.org/officeDocument/2006/relationships/hyperlink" Target="https://www.noon.com/saudi-en/search/?q=Google+Nest+Learning+Thermostat" TargetMode="External" Id="rId314" /><Relationship Type="http://schemas.openxmlformats.org/officeDocument/2006/relationships/hyperlink" Target="https://www.jarir.com/sa-en/catalogsearch/result/?q=Google+Nest+Learning+Thermostat" TargetMode="External" Id="rId315" /><Relationship Type="http://schemas.openxmlformats.org/officeDocument/2006/relationships/hyperlink" Target="https://www.aliexpress.com/w/wholesale-Eufy+eufyCam+3.html" TargetMode="External" Id="rId316" /><Relationship Type="http://schemas.openxmlformats.org/officeDocument/2006/relationships/hyperlink" Target="https://www.ebay.com/sch/i.html?_nkw=Eufy+eufyCam+3&amp;_sop=15" TargetMode="External" Id="rId317" /><Relationship Type="http://schemas.openxmlformats.org/officeDocument/2006/relationships/hyperlink" Target="https://www.amazon.sa/s?k=Eufy+eufyCam+3" TargetMode="External" Id="rId318" /><Relationship Type="http://schemas.openxmlformats.org/officeDocument/2006/relationships/hyperlink" Target="https://www.noon.com/saudi-en/search/?q=Eufy+eufyCam+3" TargetMode="External" Id="rId319" /><Relationship Type="http://schemas.openxmlformats.org/officeDocument/2006/relationships/hyperlink" Target="https://www.jarir.com/sa-en/catalogsearch/result/?q=Eufy+eufyCam+3" TargetMode="External" Id="rId320" /><Relationship Type="http://schemas.openxmlformats.org/officeDocument/2006/relationships/hyperlink" Target="https://www.aliexpress.com/w/wholesale-MikroTik+CRS326-24G-2S%2BRM+24-Port+Managed+Gigabit+Switch+with+10G+SFP%2B.html" TargetMode="External" Id="rId321" /><Relationship Type="http://schemas.openxmlformats.org/officeDocument/2006/relationships/hyperlink" Target="https://www.ebay.com/sch/i.html?_nkw=MikroTik+CRS326-24G-2S%2BRM+24-Port+Managed+Gigabit+Switch+with+10G+SFP%2B&amp;_sop=15" TargetMode="External" Id="rId322" /><Relationship Type="http://schemas.openxmlformats.org/officeDocument/2006/relationships/hyperlink" Target="https://www.amazon.sa/s?k=MikroTik+CRS326-24G-2S%2BRM+24-Port+Managed+Gigabit+Switch+with+10G+SFP%2B" TargetMode="External" Id="rId323" /><Relationship Type="http://schemas.openxmlformats.org/officeDocument/2006/relationships/hyperlink" Target="https://www.noon.com/saudi-en/search/?q=MikroTik+CRS326-24G-2S%2BRM+24-Port+Managed+Gigabit+Switch+with+10G+SFP%2B" TargetMode="External" Id="rId324" /><Relationship Type="http://schemas.openxmlformats.org/officeDocument/2006/relationships/hyperlink" Target="https://www.jarir.com/sa-en/catalogsearch/result/?q=MikroTik+CRS326-24G-2S%2BRM+24-Port+Managed+Gigabit+Switch+with+10G+SFP%2B" TargetMode="External" Id="rId325" /><Relationship Type="http://schemas.openxmlformats.org/officeDocument/2006/relationships/hyperlink" Target="https://www.aliexpress.com/w/wholesale-Aqara+Smart+Door+Lock+A100.html" TargetMode="External" Id="rId326" /><Relationship Type="http://schemas.openxmlformats.org/officeDocument/2006/relationships/hyperlink" Target="https://www.ebay.com/sch/i.html?_nkw=Aqara+Smart+Door+Lock+A100&amp;_sop=15" TargetMode="External" Id="rId327" /><Relationship Type="http://schemas.openxmlformats.org/officeDocument/2006/relationships/hyperlink" Target="https://www.amazon.sa/s?k=Aqara+Smart+Door+Lock+A100" TargetMode="External" Id="rId328" /><Relationship Type="http://schemas.openxmlformats.org/officeDocument/2006/relationships/hyperlink" Target="https://www.noon.com/saudi-en/search/?q=Aqara+Smart+Door+Lock+A100" TargetMode="External" Id="rId329" /><Relationship Type="http://schemas.openxmlformats.org/officeDocument/2006/relationships/hyperlink" Target="https://www.jarir.com/sa-en/catalogsearch/result/?q=Aqara+Smart+Door+Lock+A100" TargetMode="External" Id="rId330" /><Relationship Type="http://schemas.openxmlformats.org/officeDocument/2006/relationships/hyperlink" Target="https://www.aliexpress.com/w/wholesale-UniFi+6+Long-Range.html" TargetMode="External" Id="rId331" /><Relationship Type="http://schemas.openxmlformats.org/officeDocument/2006/relationships/hyperlink" Target="https://www.ebay.com/sch/i.html?_nkw=UniFi+6+Long-Range&amp;_sop=15" TargetMode="External" Id="rId332" /><Relationship Type="http://schemas.openxmlformats.org/officeDocument/2006/relationships/hyperlink" Target="https://www.amazon.sa/s?k=UniFi+6+Long-Range" TargetMode="External" Id="rId333" /><Relationship Type="http://schemas.openxmlformats.org/officeDocument/2006/relationships/hyperlink" Target="https://www.noon.com/saudi-en/search/?q=UniFi+6+Long-Range" TargetMode="External" Id="rId334" /><Relationship Type="http://schemas.openxmlformats.org/officeDocument/2006/relationships/hyperlink" Target="https://www.jarir.com/sa-en/catalogsearch/result/?q=UniFi+6+Long-Range" TargetMode="External" Id="rId335" /><Relationship Type="http://schemas.openxmlformats.org/officeDocument/2006/relationships/hyperlink" Target="https://www.aliexpress.com/w/wholesale-APC+Back-UPS+Pro+BX1500M.html" TargetMode="External" Id="rId336" /><Relationship Type="http://schemas.openxmlformats.org/officeDocument/2006/relationships/hyperlink" Target="https://www.ebay.com/sch/i.html?_nkw=APC+Back-UPS+Pro+BX1500M&amp;_sop=15" TargetMode="External" Id="rId337" /><Relationship Type="http://schemas.openxmlformats.org/officeDocument/2006/relationships/hyperlink" Target="https://www.amazon.sa/s?k=APC+Back-UPS+Pro+BX1500M" TargetMode="External" Id="rId338" /><Relationship Type="http://schemas.openxmlformats.org/officeDocument/2006/relationships/hyperlink" Target="https://www.noon.com/saudi-en/search/?q=APC+Back-UPS+Pro+BX1500M" TargetMode="External" Id="rId339" /><Relationship Type="http://schemas.openxmlformats.org/officeDocument/2006/relationships/hyperlink" Target="https://www.jarir.com/sa-en/catalogsearch/result/?q=APC+Back-UPS+Pro+BX1500M" TargetMode="External" Id="rId340" /><Relationship Type="http://schemas.openxmlformats.org/officeDocument/2006/relationships/hyperlink" Target="https://www.aliexpress.com/w/wholesale-Reolink+16-Channel+PoE+NVR.html" TargetMode="External" Id="rId341" /><Relationship Type="http://schemas.openxmlformats.org/officeDocument/2006/relationships/hyperlink" Target="https://www.ebay.com/sch/i.html?_nkw=Reolink+16-Channel+PoE+NVR&amp;_sop=15" TargetMode="External" Id="rId342" /><Relationship Type="http://schemas.openxmlformats.org/officeDocument/2006/relationships/hyperlink" Target="https://www.amazon.sa/s?k=Reolink+16-Channel+PoE+NVR" TargetMode="External" Id="rId343" /><Relationship Type="http://schemas.openxmlformats.org/officeDocument/2006/relationships/hyperlink" Target="https://www.noon.com/saudi-en/search/?q=Reolink+16-Channel+PoE+NVR" TargetMode="External" Id="rId344" /><Relationship Type="http://schemas.openxmlformats.org/officeDocument/2006/relationships/hyperlink" Target="https://www.jarir.com/sa-en/catalogsearch/result/?q=Reolink+16-Channel+PoE+NVR" TargetMode="External" Id="rId345" /><Relationship Type="http://schemas.openxmlformats.org/officeDocument/2006/relationships/hyperlink" Target="https://www.aliexpress.com/w/wholesale-Dell+OptiPlex+7070+Micro.html" TargetMode="External" Id="rId346" /><Relationship Type="http://schemas.openxmlformats.org/officeDocument/2006/relationships/hyperlink" Target="https://www.ebay.com/sch/i.html?_nkw=Dell+OptiPlex+7070+Micro&amp;_sop=15" TargetMode="External" Id="rId347" /><Relationship Type="http://schemas.openxmlformats.org/officeDocument/2006/relationships/hyperlink" Target="https://www.amazon.sa/s?k=Dell+OptiPlex+7070+Micro" TargetMode="External" Id="rId348" /><Relationship Type="http://schemas.openxmlformats.org/officeDocument/2006/relationships/hyperlink" Target="https://www.noon.com/saudi-en/search/?q=Dell+OptiPlex+7070+Micro" TargetMode="External" Id="rId349" /><Relationship Type="http://schemas.openxmlformats.org/officeDocument/2006/relationships/hyperlink" Target="https://www.jarir.com/sa-en/catalogsearch/result/?q=Dell+OptiPlex+7070+Micro" TargetMode="External" Id="rId350" /><Relationship Type="http://schemas.openxmlformats.org/officeDocument/2006/relationships/hyperlink" Target="https://www.aliexpress.com/w/wholesale-Arlo+Pro+5+2K+Spotlight+Camera.html" TargetMode="External" Id="rId351" /><Relationship Type="http://schemas.openxmlformats.org/officeDocument/2006/relationships/hyperlink" Target="https://www.ebay.com/sch/i.html?_nkw=Arlo+Pro+5+2K+Spotlight+Camera&amp;_sop=15" TargetMode="External" Id="rId352" /><Relationship Type="http://schemas.openxmlformats.org/officeDocument/2006/relationships/hyperlink" Target="https://www.amazon.sa/s?k=Arlo+Pro+5+2K+Spotlight+Camera" TargetMode="External" Id="rId353" /><Relationship Type="http://schemas.openxmlformats.org/officeDocument/2006/relationships/hyperlink" Target="https://www.noon.com/saudi-en/search/?q=Arlo+Pro+5+2K+Spotlight+Camera" TargetMode="External" Id="rId354" /><Relationship Type="http://schemas.openxmlformats.org/officeDocument/2006/relationships/hyperlink" Target="https://www.jarir.com/sa-en/catalogsearch/result/?q=Arlo+Pro+5+2K+Spotlight+Camera" TargetMode="External" Id="rId355" /><Relationship Type="http://schemas.openxmlformats.org/officeDocument/2006/relationships/hyperlink" Target="https://www.aliexpress.com/w/wholesale-Ecobee+Smart+Thermostat+Premium.html" TargetMode="External" Id="rId356" /><Relationship Type="http://schemas.openxmlformats.org/officeDocument/2006/relationships/hyperlink" Target="https://www.ebay.com/sch/i.html?_nkw=Ecobee+Smart+Thermostat+Premium&amp;_sop=15" TargetMode="External" Id="rId357" /><Relationship Type="http://schemas.openxmlformats.org/officeDocument/2006/relationships/hyperlink" Target="https://www.amazon.sa/s?k=Ecobee+Smart+Thermostat+Premium" TargetMode="External" Id="rId358" /><Relationship Type="http://schemas.openxmlformats.org/officeDocument/2006/relationships/hyperlink" Target="https://www.noon.com/saudi-en/search/?q=Ecobee+Smart+Thermostat+Premium" TargetMode="External" Id="rId359" /><Relationship Type="http://schemas.openxmlformats.org/officeDocument/2006/relationships/hyperlink" Target="https://www.jarir.com/sa-en/catalogsearch/result/?q=Ecobee+Smart+Thermostat+Premium" TargetMode="External" Id="rId360" /><Relationship Type="http://schemas.openxmlformats.org/officeDocument/2006/relationships/hyperlink" Target="https://www.aliexpress.com/w/wholesale-Yale+Assure+Lock+2+Wi-Fi.html" TargetMode="External" Id="rId361" /><Relationship Type="http://schemas.openxmlformats.org/officeDocument/2006/relationships/hyperlink" Target="https://www.ebay.com/sch/i.html?_nkw=Yale+Assure+Lock+2+Wi-Fi&amp;_sop=15" TargetMode="External" Id="rId362" /><Relationship Type="http://schemas.openxmlformats.org/officeDocument/2006/relationships/hyperlink" Target="https://www.amazon.sa/s?k=Yale+Assure+Lock+2+Wi-Fi" TargetMode="External" Id="rId363" /><Relationship Type="http://schemas.openxmlformats.org/officeDocument/2006/relationships/hyperlink" Target="https://www.noon.com/saudi-en/search/?q=Yale+Assure+Lock+2+Wi-Fi" TargetMode="External" Id="rId364" /><Relationship Type="http://schemas.openxmlformats.org/officeDocument/2006/relationships/hyperlink" Target="https://www.jarir.com/sa-en/catalogsearch/result/?q=Yale+Assure+Lock+2+Wi-Fi" TargetMode="External" Id="rId365" /><Relationship Type="http://schemas.openxmlformats.org/officeDocument/2006/relationships/hyperlink" Target="https://www.aliexpress.com/w/wholesale-Eufy+Video+Doorbell+S330.html" TargetMode="External" Id="rId366" /><Relationship Type="http://schemas.openxmlformats.org/officeDocument/2006/relationships/hyperlink" Target="https://www.ebay.com/sch/i.html?_nkw=Eufy+Video+Doorbell+S330&amp;_sop=15" TargetMode="External" Id="rId367" /><Relationship Type="http://schemas.openxmlformats.org/officeDocument/2006/relationships/hyperlink" Target="https://www.amazon.sa/s?k=Eufy+Video+Doorbell+S330" TargetMode="External" Id="rId368" /><Relationship Type="http://schemas.openxmlformats.org/officeDocument/2006/relationships/hyperlink" Target="https://www.noon.com/saudi-en/search/?q=Eufy+Video+Doorbell+S330" TargetMode="External" Id="rId369" /><Relationship Type="http://schemas.openxmlformats.org/officeDocument/2006/relationships/hyperlink" Target="https://www.jarir.com/sa-en/catalogsearch/result/?q=Eufy+Video+Doorbell+S330" TargetMode="External" Id="rId370" /><Relationship Type="http://schemas.openxmlformats.org/officeDocument/2006/relationships/hyperlink" Target="https://www.aliexpress.com/w/wholesale-WD+Red+Plus+8TB+NAS+Hard+Drive.html" TargetMode="External" Id="rId371" /><Relationship Type="http://schemas.openxmlformats.org/officeDocument/2006/relationships/hyperlink" Target="https://www.ebay.com/sch/i.html?_nkw=WD+Red+Plus+8TB+NAS+Hard+Drive&amp;_sop=15" TargetMode="External" Id="rId372" /><Relationship Type="http://schemas.openxmlformats.org/officeDocument/2006/relationships/hyperlink" Target="https://www.amazon.sa/s?k=WD+Red+Plus+8TB+NAS+Hard+Drive" TargetMode="External" Id="rId373" /><Relationship Type="http://schemas.openxmlformats.org/officeDocument/2006/relationships/hyperlink" Target="https://www.noon.com/saudi-en/search/?q=WD+Red+Plus+8TB+NAS+Hard+Drive" TargetMode="External" Id="rId374" /><Relationship Type="http://schemas.openxmlformats.org/officeDocument/2006/relationships/hyperlink" Target="https://www.jarir.com/sa-en/catalogsearch/result/?q=WD+Red+Plus+8TB+NAS+Hard+Drive" TargetMode="External" Id="rId375" /><Relationship Type="http://schemas.openxmlformats.org/officeDocument/2006/relationships/hyperlink" Target="https://www.aliexpress.com/w/wholesale-Keychron+Q1.html" TargetMode="External" Id="rId376" /><Relationship Type="http://schemas.openxmlformats.org/officeDocument/2006/relationships/hyperlink" Target="https://www.ebay.com/sch/i.html?_nkw=Keychron+Q1&amp;_sop=15" TargetMode="External" Id="rId377" /><Relationship Type="http://schemas.openxmlformats.org/officeDocument/2006/relationships/hyperlink" Target="https://www.amazon.sa/s?k=Keychron+Q1" TargetMode="External" Id="rId378" /><Relationship Type="http://schemas.openxmlformats.org/officeDocument/2006/relationships/hyperlink" Target="https://www.noon.com/saudi-en/search/?q=Keychron+Q1" TargetMode="External" Id="rId379" /><Relationship Type="http://schemas.openxmlformats.org/officeDocument/2006/relationships/hyperlink" Target="https://www.jarir.com/sa-en/catalogsearch/result/?q=Keychron+Q1" TargetMode="External" Id="rId380" /><Relationship Type="http://schemas.openxmlformats.org/officeDocument/2006/relationships/hyperlink" Target="https://www.aliexpress.com/w/wholesale-StarTech+RK12WALLOA+12U+Wall-Mount+Rack.html" TargetMode="External" Id="rId381" /><Relationship Type="http://schemas.openxmlformats.org/officeDocument/2006/relationships/hyperlink" Target="https://www.ebay.com/sch/i.html?_nkw=StarTech+RK12WALLOA+12U+Wall-Mount+Rack&amp;_sop=15" TargetMode="External" Id="rId382" /><Relationship Type="http://schemas.openxmlformats.org/officeDocument/2006/relationships/hyperlink" Target="https://www.amazon.sa/s?k=StarTech+RK12WALLOA+12U+Wall-Mount+Rack" TargetMode="External" Id="rId383" /><Relationship Type="http://schemas.openxmlformats.org/officeDocument/2006/relationships/hyperlink" Target="https://www.noon.com/saudi-en/search/?q=StarTech+RK12WALLOA+12U+Wall-Mount+Rack" TargetMode="External" Id="rId384" /><Relationship Type="http://schemas.openxmlformats.org/officeDocument/2006/relationships/hyperlink" Target="https://www.jarir.com/sa-en/catalogsearch/result/?q=StarTech+RK12WALLOA+12U+Wall-Mount+Rack" TargetMode="External" Id="rId385" /><Relationship Type="http://schemas.openxmlformats.org/officeDocument/2006/relationships/hyperlink" Target="https://www.aliexpress.com/w/wholesale-Ubiquiti+UniFi+U7+Pro.html" TargetMode="External" Id="rId386" /><Relationship Type="http://schemas.openxmlformats.org/officeDocument/2006/relationships/hyperlink" Target="https://www.ebay.com/sch/i.html?_nkw=Ubiquiti+UniFi+U7+Pro&amp;_sop=15" TargetMode="External" Id="rId387" /><Relationship Type="http://schemas.openxmlformats.org/officeDocument/2006/relationships/hyperlink" Target="https://www.amazon.sa/s?k=Ubiquiti+UniFi+U7+Pro" TargetMode="External" Id="rId388" /><Relationship Type="http://schemas.openxmlformats.org/officeDocument/2006/relationships/hyperlink" Target="https://www.noon.com/saudi-en/search/?q=Ubiquiti+UniFi+U7+Pro" TargetMode="External" Id="rId389" /><Relationship Type="http://schemas.openxmlformats.org/officeDocument/2006/relationships/hyperlink" Target="https://www.jarir.com/sa-en/catalogsearch/result/?q=Ubiquiti+UniFi+U7+Pro" TargetMode="External" Id="rId390" /><Relationship Type="http://schemas.openxmlformats.org/officeDocument/2006/relationships/hyperlink" Target="https://www.aliexpress.com/w/wholesale-Ubiquiti+UniFi+Switch+Lite+16+PoE.html" TargetMode="External" Id="rId391" /><Relationship Type="http://schemas.openxmlformats.org/officeDocument/2006/relationships/hyperlink" Target="https://www.ebay.com/sch/i.html?_nkw=Ubiquiti+UniFi+Switch+Lite+16+PoE&amp;_sop=15" TargetMode="External" Id="rId392" /><Relationship Type="http://schemas.openxmlformats.org/officeDocument/2006/relationships/hyperlink" Target="https://www.amazon.sa/s?k=Ubiquiti+UniFi+Switch+Lite+16+PoE" TargetMode="External" Id="rId393" /><Relationship Type="http://schemas.openxmlformats.org/officeDocument/2006/relationships/hyperlink" Target="https://www.noon.com/saudi-en/search/?q=Ubiquiti+UniFi+Switch+Lite+16+PoE" TargetMode="External" Id="rId394" /><Relationship Type="http://schemas.openxmlformats.org/officeDocument/2006/relationships/hyperlink" Target="https://www.jarir.com/sa-en/catalogsearch/result/?q=Ubiquiti+UniFi+Switch+Lite+16+PoE" TargetMode="External" Id="rId395" /><Relationship Type="http://schemas.openxmlformats.org/officeDocument/2006/relationships/hyperlink" Target="https://www.aliexpress.com/w/wholesale-NZXT+H9+Elite+Mid-Tower+ATX+Case.html" TargetMode="External" Id="rId396" /><Relationship Type="http://schemas.openxmlformats.org/officeDocument/2006/relationships/hyperlink" Target="https://www.ebay.com/sch/i.html?_nkw=NZXT+H9+Elite+Mid-Tower+ATX+Case&amp;_sop=15" TargetMode="External" Id="rId397" /><Relationship Type="http://schemas.openxmlformats.org/officeDocument/2006/relationships/hyperlink" Target="https://www.amazon.sa/s?k=NZXT+H9+Elite+Mid-Tower+ATX+Case" TargetMode="External" Id="rId398" /><Relationship Type="http://schemas.openxmlformats.org/officeDocument/2006/relationships/hyperlink" Target="https://www.noon.com/saudi-en/search/?q=NZXT+H9+Elite+Mid-Tower+ATX+Case" TargetMode="External" Id="rId399" /><Relationship Type="http://schemas.openxmlformats.org/officeDocument/2006/relationships/hyperlink" Target="https://www.jarir.com/sa-en/catalogsearch/result/?q=NZXT+H9+Elite+Mid-Tower+ATX+Case" TargetMode="External" Id="rId400" /><Relationship Type="http://schemas.openxmlformats.org/officeDocument/2006/relationships/hyperlink" Target="https://www.aliexpress.com/w/wholesale-Sony+DualSense+Edge+Controller.html" TargetMode="External" Id="rId401" /><Relationship Type="http://schemas.openxmlformats.org/officeDocument/2006/relationships/hyperlink" Target="https://www.ebay.com/sch/i.html?_nkw=Sony+DualSense+Edge+Controller&amp;_sop=15" TargetMode="External" Id="rId402" /><Relationship Type="http://schemas.openxmlformats.org/officeDocument/2006/relationships/hyperlink" Target="https://www.amazon.sa/s?k=Sony+DualSense+Edge+Controller" TargetMode="External" Id="rId403" /><Relationship Type="http://schemas.openxmlformats.org/officeDocument/2006/relationships/hyperlink" Target="https://www.noon.com/saudi-en/search/?q=Sony+DualSense+Edge+Controller" TargetMode="External" Id="rId404" /><Relationship Type="http://schemas.openxmlformats.org/officeDocument/2006/relationships/hyperlink" Target="https://www.jarir.com/sa-en/catalogsearch/result/?q=Sony+DualSense+Edge+Controller" TargetMode="External" Id="rId405" /><Relationship Type="http://schemas.openxmlformats.org/officeDocument/2006/relationships/hyperlink" Target="https://www.aliexpress.com/w/wholesale-Razer+Huntsman+V3+Pro+TKL.html" TargetMode="External" Id="rId406" /><Relationship Type="http://schemas.openxmlformats.org/officeDocument/2006/relationships/hyperlink" Target="https://www.ebay.com/sch/i.html?_nkw=Razer+Huntsman+V3+Pro+TKL&amp;_sop=15" TargetMode="External" Id="rId407" /><Relationship Type="http://schemas.openxmlformats.org/officeDocument/2006/relationships/hyperlink" Target="https://www.amazon.sa/s?k=Razer+Huntsman+V3+Pro+TKL" TargetMode="External" Id="rId408" /><Relationship Type="http://schemas.openxmlformats.org/officeDocument/2006/relationships/hyperlink" Target="https://www.noon.com/saudi-en/search/?q=Razer+Huntsman+V3+Pro+TKL" TargetMode="External" Id="rId409" /><Relationship Type="http://schemas.openxmlformats.org/officeDocument/2006/relationships/hyperlink" Target="https://www.jarir.com/sa-en/catalogsearch/result/?q=Razer+Huntsman+V3+Pro+TKL" TargetMode="External" Id="rId410" /><Relationship Type="http://schemas.openxmlformats.org/officeDocument/2006/relationships/hyperlink" Target="https://www.aliexpress.com/w/wholesale-Corsair+K70+MAX+RGB.html" TargetMode="External" Id="rId411" /><Relationship Type="http://schemas.openxmlformats.org/officeDocument/2006/relationships/hyperlink" Target="https://www.ebay.com/sch/i.html?_nkw=Corsair+K70+MAX+RGB&amp;_sop=15" TargetMode="External" Id="rId412" /><Relationship Type="http://schemas.openxmlformats.org/officeDocument/2006/relationships/hyperlink" Target="https://www.amazon.sa/s?k=Corsair+K70+MAX+RGB" TargetMode="External" Id="rId413" /><Relationship Type="http://schemas.openxmlformats.org/officeDocument/2006/relationships/hyperlink" Target="https://www.noon.com/saudi-en/search/?q=Corsair+K70+MAX+RGB" TargetMode="External" Id="rId414" /><Relationship Type="http://schemas.openxmlformats.org/officeDocument/2006/relationships/hyperlink" Target="https://www.jarir.com/sa-en/catalogsearch/result/?q=Corsair+K70+MAX+RGB" TargetMode="External" Id="rId415" /><Relationship Type="http://schemas.openxmlformats.org/officeDocument/2006/relationships/hyperlink" Target="https://www.aliexpress.com/w/wholesale-Govee+Glide+Hexagon+Light+Panels+Ultra.html" TargetMode="External" Id="rId416" /><Relationship Type="http://schemas.openxmlformats.org/officeDocument/2006/relationships/hyperlink" Target="https://www.ebay.com/sch/i.html?_nkw=Govee+Glide+Hexagon+Light+Panels+Ultra&amp;_sop=15" TargetMode="External" Id="rId417" /><Relationship Type="http://schemas.openxmlformats.org/officeDocument/2006/relationships/hyperlink" Target="https://www.amazon.sa/s?k=Govee+Glide+Hexagon+Light+Panels+Ultra" TargetMode="External" Id="rId418" /><Relationship Type="http://schemas.openxmlformats.org/officeDocument/2006/relationships/hyperlink" Target="https://www.noon.com/saudi-en/search/?q=Govee+Glide+Hexagon+Light+Panels+Ultra" TargetMode="External" Id="rId419" /><Relationship Type="http://schemas.openxmlformats.org/officeDocument/2006/relationships/hyperlink" Target="https://www.jarir.com/sa-en/catalogsearch/result/?q=Govee+Glide+Hexagon+Light+Panels+Ultra" TargetMode="External" Id="rId420" /><Relationship Type="http://schemas.openxmlformats.org/officeDocument/2006/relationships/hyperlink" Target="https://www.aliexpress.com/w/wholesale-August+Wi-Fi+Smart+Lock.html" TargetMode="External" Id="rId421" /><Relationship Type="http://schemas.openxmlformats.org/officeDocument/2006/relationships/hyperlink" Target="https://www.ebay.com/sch/i.html?_nkw=August+Wi-Fi+Smart+Lock&amp;_sop=15" TargetMode="External" Id="rId422" /><Relationship Type="http://schemas.openxmlformats.org/officeDocument/2006/relationships/hyperlink" Target="https://www.amazon.sa/s?k=August+Wi-Fi+Smart+Lock" TargetMode="External" Id="rId423" /><Relationship Type="http://schemas.openxmlformats.org/officeDocument/2006/relationships/hyperlink" Target="https://www.noon.com/saudi-en/search/?q=August+Wi-Fi+Smart+Lock" TargetMode="External" Id="rId424" /><Relationship Type="http://schemas.openxmlformats.org/officeDocument/2006/relationships/hyperlink" Target="https://www.jarir.com/sa-en/catalogsearch/result/?q=August+Wi-Fi+Smart+Lock" TargetMode="External" Id="rId425" /><Relationship Type="http://schemas.openxmlformats.org/officeDocument/2006/relationships/hyperlink" Target="https://www.aliexpress.com/w/wholesale-eSUN+PLA%2B+Filament+10-Color+Pack.html" TargetMode="External" Id="rId426" /><Relationship Type="http://schemas.openxmlformats.org/officeDocument/2006/relationships/hyperlink" Target="https://www.ebay.com/sch/i.html?_nkw=eSUN+PLA%2B+Filament+10-Color+Pack&amp;_sop=15" TargetMode="External" Id="rId427" /><Relationship Type="http://schemas.openxmlformats.org/officeDocument/2006/relationships/hyperlink" Target="https://www.amazon.sa/s?k=eSUN+PLA%2B+Filament+10-Color+Pack" TargetMode="External" Id="rId428" /><Relationship Type="http://schemas.openxmlformats.org/officeDocument/2006/relationships/hyperlink" Target="https://www.noon.com/saudi-en/search/?q=eSUN+PLA%2B+Filament+10-Color+Pack" TargetMode="External" Id="rId429" /><Relationship Type="http://schemas.openxmlformats.org/officeDocument/2006/relationships/hyperlink" Target="https://www.jarir.com/sa-en/catalogsearch/result/?q=eSUN+PLA%2B+Filament+10-Color+Pack" TargetMode="External" Id="rId430" /><Relationship Type="http://schemas.openxmlformats.org/officeDocument/2006/relationships/hyperlink" Target="https://www.aliexpress.com/w/wholesale-Samsung+T7+Shield+2TB+Portable+SSD.html" TargetMode="External" Id="rId431" /><Relationship Type="http://schemas.openxmlformats.org/officeDocument/2006/relationships/hyperlink" Target="https://www.ebay.com/sch/i.html?_nkw=Samsung+T7+Shield+2TB+Portable+SSD&amp;_sop=15" TargetMode="External" Id="rId432" /><Relationship Type="http://schemas.openxmlformats.org/officeDocument/2006/relationships/hyperlink" Target="https://www.amazon.sa/s?k=Samsung+T7+Shield+2TB+Portable+SSD" TargetMode="External" Id="rId433" /><Relationship Type="http://schemas.openxmlformats.org/officeDocument/2006/relationships/hyperlink" Target="https://www.noon.com/saudi-en/search/?q=Samsung+T7+Shield+2TB+Portable+SSD" TargetMode="External" Id="rId434" /><Relationship Type="http://schemas.openxmlformats.org/officeDocument/2006/relationships/hyperlink" Target="https://www.jarir.com/sa-en/catalogsearch/result/?q=Samsung+T7+Shield+2TB+Portable+SSD" TargetMode="External" Id="rId435" /><Relationship Type="http://schemas.openxmlformats.org/officeDocument/2006/relationships/hyperlink" Target="https://www.aliexpress.com/w/wholesale-TP-Link+Archer+AXE75.html" TargetMode="External" Id="rId436" /><Relationship Type="http://schemas.openxmlformats.org/officeDocument/2006/relationships/hyperlink" Target="https://www.ebay.com/sch/i.html?_nkw=TP-Link+Archer+AXE75&amp;_sop=15" TargetMode="External" Id="rId437" /><Relationship Type="http://schemas.openxmlformats.org/officeDocument/2006/relationships/hyperlink" Target="https://www.amazon.sa/s?k=TP-Link+Archer+AXE75" TargetMode="External" Id="rId438" /><Relationship Type="http://schemas.openxmlformats.org/officeDocument/2006/relationships/hyperlink" Target="https://www.noon.com/saudi-en/search/?q=TP-Link+Archer+AXE75" TargetMode="External" Id="rId439" /><Relationship Type="http://schemas.openxmlformats.org/officeDocument/2006/relationships/hyperlink" Target="https://www.jarir.com/sa-en/catalogsearch/result/?q=TP-Link+Archer+AXE75" TargetMode="External" Id="rId440" /><Relationship Type="http://schemas.openxmlformats.org/officeDocument/2006/relationships/hyperlink" Target="https://www.aliexpress.com/w/wholesale-Aqara+Smart+Lock+U200.html" TargetMode="External" Id="rId441" /><Relationship Type="http://schemas.openxmlformats.org/officeDocument/2006/relationships/hyperlink" Target="https://www.ebay.com/sch/i.html?_nkw=Aqara+Smart+Lock+U200&amp;_sop=15" TargetMode="External" Id="rId442" /><Relationship Type="http://schemas.openxmlformats.org/officeDocument/2006/relationships/hyperlink" Target="https://www.amazon.sa/s?k=Aqara+Smart+Lock+U200" TargetMode="External" Id="rId443" /><Relationship Type="http://schemas.openxmlformats.org/officeDocument/2006/relationships/hyperlink" Target="https://www.noon.com/saudi-en/search/?q=Aqara+Smart+Lock+U200" TargetMode="External" Id="rId444" /><Relationship Type="http://schemas.openxmlformats.org/officeDocument/2006/relationships/hyperlink" Target="https://www.jarir.com/sa-en/catalogsearch/result/?q=Aqara+Smart+Lock+U200" TargetMode="External" Id="rId445" /><Relationship Type="http://schemas.openxmlformats.org/officeDocument/2006/relationships/hyperlink" Target="https://www.aliexpress.com/w/wholesale-Elgato+HD60+X.html" TargetMode="External" Id="rId446" /><Relationship Type="http://schemas.openxmlformats.org/officeDocument/2006/relationships/hyperlink" Target="https://www.ebay.com/sch/i.html?_nkw=Elgato+HD60+X&amp;_sop=15" TargetMode="External" Id="rId447" /><Relationship Type="http://schemas.openxmlformats.org/officeDocument/2006/relationships/hyperlink" Target="https://www.amazon.sa/s?k=Elgato+HD60+X" TargetMode="External" Id="rId448" /><Relationship Type="http://schemas.openxmlformats.org/officeDocument/2006/relationships/hyperlink" Target="https://www.noon.com/saudi-en/search/?q=Elgato+HD60+X" TargetMode="External" Id="rId449" /><Relationship Type="http://schemas.openxmlformats.org/officeDocument/2006/relationships/hyperlink" Target="https://www.jarir.com/sa-en/catalogsearch/result/?q=Elgato+HD60+X" TargetMode="External" Id="rId450" /><Relationship Type="http://schemas.openxmlformats.org/officeDocument/2006/relationships/hyperlink" Target="https://www.aliexpress.com/w/wholesale-Elgato+Stream+Deck+MK.2.html" TargetMode="External" Id="rId451" /><Relationship Type="http://schemas.openxmlformats.org/officeDocument/2006/relationships/hyperlink" Target="https://www.ebay.com/sch/i.html?_nkw=Elgato+Stream+Deck+MK.2&amp;_sop=15" TargetMode="External" Id="rId452" /><Relationship Type="http://schemas.openxmlformats.org/officeDocument/2006/relationships/hyperlink" Target="https://www.amazon.sa/s?k=Elgato+Stream+Deck+MK.2" TargetMode="External" Id="rId453" /><Relationship Type="http://schemas.openxmlformats.org/officeDocument/2006/relationships/hyperlink" Target="https://www.noon.com/saudi-en/search/?q=Elgato+Stream+Deck+MK.2" TargetMode="External" Id="rId454" /><Relationship Type="http://schemas.openxmlformats.org/officeDocument/2006/relationships/hyperlink" Target="https://www.jarir.com/sa-en/catalogsearch/result/?q=Elgato+Stream+Deck+MK.2" TargetMode="External" Id="rId455" /><Relationship Type="http://schemas.openxmlformats.org/officeDocument/2006/relationships/hyperlink" Target="https://www.aliexpress.com/w/wholesale-HyperX+Cloud+Alpha+Wireless.html" TargetMode="External" Id="rId456" /><Relationship Type="http://schemas.openxmlformats.org/officeDocument/2006/relationships/hyperlink" Target="https://www.ebay.com/sch/i.html?_nkw=HyperX+Cloud+Alpha+Wireless&amp;_sop=15" TargetMode="External" Id="rId457" /><Relationship Type="http://schemas.openxmlformats.org/officeDocument/2006/relationships/hyperlink" Target="https://www.amazon.sa/s?k=HyperX+Cloud+Alpha+Wireless" TargetMode="External" Id="rId458" /><Relationship Type="http://schemas.openxmlformats.org/officeDocument/2006/relationships/hyperlink" Target="https://www.noon.com/saudi-en/search/?q=HyperX+Cloud+Alpha+Wireless" TargetMode="External" Id="rId459" /><Relationship Type="http://schemas.openxmlformats.org/officeDocument/2006/relationships/hyperlink" Target="https://www.jarir.com/sa-en/catalogsearch/result/?q=HyperX+Cloud+Alpha+Wireless" TargetMode="External" Id="rId460" /><Relationship Type="http://schemas.openxmlformats.org/officeDocument/2006/relationships/hyperlink" Target="https://www.aliexpress.com/w/wholesale-Logitech+G+Pro+X+TKL+LIGHTSPEED.html" TargetMode="External" Id="rId461" /><Relationship Type="http://schemas.openxmlformats.org/officeDocument/2006/relationships/hyperlink" Target="https://www.ebay.com/sch/i.html?_nkw=Logitech+G+Pro+X+TKL+LIGHTSPEED&amp;_sop=15" TargetMode="External" Id="rId462" /><Relationship Type="http://schemas.openxmlformats.org/officeDocument/2006/relationships/hyperlink" Target="https://www.amazon.sa/s?k=Logitech+G+Pro+X+TKL+LIGHTSPEED" TargetMode="External" Id="rId463" /><Relationship Type="http://schemas.openxmlformats.org/officeDocument/2006/relationships/hyperlink" Target="https://www.noon.com/saudi-en/search/?q=Logitech+G+Pro+X+TKL+LIGHTSPEED" TargetMode="External" Id="rId464" /><Relationship Type="http://schemas.openxmlformats.org/officeDocument/2006/relationships/hyperlink" Target="https://www.jarir.com/sa-en/catalogsearch/result/?q=Logitech+G+Pro+X+TKL+LIGHTSPEED" TargetMode="External" Id="rId465" /><Relationship Type="http://schemas.openxmlformats.org/officeDocument/2006/relationships/hyperlink" Target="https://www.aliexpress.com/w/wholesale-MikroTik+CRS326-24G-2S%2BRM.html" TargetMode="External" Id="rId466" /><Relationship Type="http://schemas.openxmlformats.org/officeDocument/2006/relationships/hyperlink" Target="https://www.ebay.com/sch/i.html?_nkw=MikroTik+CRS326-24G-2S%2BRM&amp;_sop=15" TargetMode="External" Id="rId467" /><Relationship Type="http://schemas.openxmlformats.org/officeDocument/2006/relationships/hyperlink" Target="https://www.amazon.sa/s?k=MikroTik+CRS326-24G-2S%2BRM" TargetMode="External" Id="rId468" /><Relationship Type="http://schemas.openxmlformats.org/officeDocument/2006/relationships/hyperlink" Target="https://www.noon.com/saudi-en/search/?q=MikroTik+CRS326-24G-2S%2BRM" TargetMode="External" Id="rId469" /><Relationship Type="http://schemas.openxmlformats.org/officeDocument/2006/relationships/hyperlink" Target="https://www.jarir.com/sa-en/catalogsearch/result/?q=MikroTik+CRS326-24G-2S%2BRM" TargetMode="External" Id="rId470" /><Relationship Type="http://schemas.openxmlformats.org/officeDocument/2006/relationships/hyperlink" Target="https://www.aliexpress.com/w/wholesale-Hubitat+Elevation+C-8+Pro.html" TargetMode="External" Id="rId471" /><Relationship Type="http://schemas.openxmlformats.org/officeDocument/2006/relationships/hyperlink" Target="https://www.ebay.com/sch/i.html?_nkw=Hubitat+Elevation+C-8+Pro&amp;_sop=15" TargetMode="External" Id="rId472" /><Relationship Type="http://schemas.openxmlformats.org/officeDocument/2006/relationships/hyperlink" Target="https://www.amazon.sa/s?k=Hubitat+Elevation+C-8+Pro" TargetMode="External" Id="rId473" /><Relationship Type="http://schemas.openxmlformats.org/officeDocument/2006/relationships/hyperlink" Target="https://www.noon.com/saudi-en/search/?q=Hubitat+Elevation+C-8+Pro" TargetMode="External" Id="rId474" /><Relationship Type="http://schemas.openxmlformats.org/officeDocument/2006/relationships/hyperlink" Target="https://www.jarir.com/sa-en/catalogsearch/result/?q=Hubitat+Elevation+C-8+Pro" TargetMode="External" Id="rId475" /><Relationship Type="http://schemas.openxmlformats.org/officeDocument/2006/relationships/hyperlink" Target="https://www.aliexpress.com/w/wholesale-Reolink+Argus+4+Pro.html" TargetMode="External" Id="rId476" /><Relationship Type="http://schemas.openxmlformats.org/officeDocument/2006/relationships/hyperlink" Target="https://www.ebay.com/sch/i.html?_nkw=Reolink+Argus+4+Pro&amp;_sop=15" TargetMode="External" Id="rId477" /><Relationship Type="http://schemas.openxmlformats.org/officeDocument/2006/relationships/hyperlink" Target="https://www.amazon.sa/s?k=Reolink+Argus+4+Pro" TargetMode="External" Id="rId478" /><Relationship Type="http://schemas.openxmlformats.org/officeDocument/2006/relationships/hyperlink" Target="https://www.noon.com/saudi-en/search/?q=Reolink+Argus+4+Pro" TargetMode="External" Id="rId479" /><Relationship Type="http://schemas.openxmlformats.org/officeDocument/2006/relationships/hyperlink" Target="https://www.jarir.com/sa-en/catalogsearch/result/?q=Reolink+Argus+4+Pro" TargetMode="External" Id="rId480" /><Relationship Type="http://schemas.openxmlformats.org/officeDocument/2006/relationships/hyperlink" Target="https://www.aliexpress.com/w/wholesale-Creality+Ender-3+V3+SE.html" TargetMode="External" Id="rId481" /><Relationship Type="http://schemas.openxmlformats.org/officeDocument/2006/relationships/hyperlink" Target="https://www.ebay.com/sch/i.html?_nkw=Creality+Ender-3+V3+SE&amp;_sop=15" TargetMode="External" Id="rId482" /><Relationship Type="http://schemas.openxmlformats.org/officeDocument/2006/relationships/hyperlink" Target="https://www.amazon.sa/s?k=Creality+Ender-3+V3+SE" TargetMode="External" Id="rId483" /><Relationship Type="http://schemas.openxmlformats.org/officeDocument/2006/relationships/hyperlink" Target="https://www.noon.com/saudi-en/search/?q=Creality+Ender-3+V3+SE" TargetMode="External" Id="rId484" /><Relationship Type="http://schemas.openxmlformats.org/officeDocument/2006/relationships/hyperlink" Target="https://www.jarir.com/sa-en/catalogsearch/result/?q=Creality+Ender-3+V3+SE" TargetMode="External" Id="rId485" /><Relationship Type="http://schemas.openxmlformats.org/officeDocument/2006/relationships/hyperlink" Target="https://www.aliexpress.com/w/wholesale-SteelSeries+Arctis+Nova+7.html" TargetMode="External" Id="rId486" /><Relationship Type="http://schemas.openxmlformats.org/officeDocument/2006/relationships/hyperlink" Target="https://www.ebay.com/sch/i.html?_nkw=SteelSeries+Arctis+Nova+7&amp;_sop=15" TargetMode="External" Id="rId487" /><Relationship Type="http://schemas.openxmlformats.org/officeDocument/2006/relationships/hyperlink" Target="https://www.amazon.sa/s?k=SteelSeries+Arctis+Nova+7" TargetMode="External" Id="rId488" /><Relationship Type="http://schemas.openxmlformats.org/officeDocument/2006/relationships/hyperlink" Target="https://www.noon.com/saudi-en/search/?q=SteelSeries+Arctis+Nova+7" TargetMode="External" Id="rId489" /><Relationship Type="http://schemas.openxmlformats.org/officeDocument/2006/relationships/hyperlink" Target="https://www.jarir.com/sa-en/catalogsearch/result/?q=SteelSeries+Arctis+Nova+7" TargetMode="External" Id="rId490" /><Relationship Type="http://schemas.openxmlformats.org/officeDocument/2006/relationships/hyperlink" Target="https://www.aliexpress.com/w/wholesale-Razer+BlackWidow+V4+75%25.html" TargetMode="External" Id="rId491" /><Relationship Type="http://schemas.openxmlformats.org/officeDocument/2006/relationships/hyperlink" Target="https://www.ebay.com/sch/i.html?_nkw=Razer+BlackWidow+V4+75%25&amp;_sop=15" TargetMode="External" Id="rId492" /><Relationship Type="http://schemas.openxmlformats.org/officeDocument/2006/relationships/hyperlink" Target="https://www.amazon.sa/s?k=Razer+BlackWidow+V4+75%25" TargetMode="External" Id="rId493" /><Relationship Type="http://schemas.openxmlformats.org/officeDocument/2006/relationships/hyperlink" Target="https://www.noon.com/saudi-en/search/?q=Razer+BlackWidow+V4+75%25" TargetMode="External" Id="rId494" /><Relationship Type="http://schemas.openxmlformats.org/officeDocument/2006/relationships/hyperlink" Target="https://www.jarir.com/sa-en/catalogsearch/result/?q=Razer+BlackWidow+V4+75%25" TargetMode="External" Id="rId495" /><Relationship Type="http://schemas.openxmlformats.org/officeDocument/2006/relationships/hyperlink" Target="https://www.aliexpress.com/w/wholesale-Corsair+iCUE+H150i+RGB+Elite.html" TargetMode="External" Id="rId496" /><Relationship Type="http://schemas.openxmlformats.org/officeDocument/2006/relationships/hyperlink" Target="https://www.ebay.com/sch/i.html?_nkw=Corsair+iCUE+H150i+RGB+Elite&amp;_sop=15" TargetMode="External" Id="rId497" /><Relationship Type="http://schemas.openxmlformats.org/officeDocument/2006/relationships/hyperlink" Target="https://www.amazon.sa/s?k=Corsair+iCUE+H150i+RGB+Elite" TargetMode="External" Id="rId498" /><Relationship Type="http://schemas.openxmlformats.org/officeDocument/2006/relationships/hyperlink" Target="https://www.noon.com/saudi-en/search/?q=Corsair+iCUE+H150i+RGB+Elite" TargetMode="External" Id="rId499" /><Relationship Type="http://schemas.openxmlformats.org/officeDocument/2006/relationships/hyperlink" Target="https://www.jarir.com/sa-en/catalogsearch/result/?q=Corsair+iCUE+H150i+RGB+Elite" TargetMode="External" Id="rId500" /><Relationship Type="http://schemas.openxmlformats.org/officeDocument/2006/relationships/hyperlink" Target="https://www.aliexpress.com/w/wholesale-Xbox+Elite+Controller+Series+2+Core.html" TargetMode="External" Id="rId501" /><Relationship Type="http://schemas.openxmlformats.org/officeDocument/2006/relationships/hyperlink" Target="https://www.ebay.com/sch/i.html?_nkw=Xbox+Elite+Controller+Series+2+Core&amp;_sop=15" TargetMode="External" Id="rId502" /><Relationship Type="http://schemas.openxmlformats.org/officeDocument/2006/relationships/hyperlink" Target="https://www.amazon.sa/s?k=Xbox+Elite+Controller+Series+2+Core" TargetMode="External" Id="rId503" /><Relationship Type="http://schemas.openxmlformats.org/officeDocument/2006/relationships/hyperlink" Target="https://www.noon.com/saudi-en/search/?q=Xbox+Elite+Controller+Series+2+Core" TargetMode="External" Id="rId504" /><Relationship Type="http://schemas.openxmlformats.org/officeDocument/2006/relationships/hyperlink" Target="https://www.jarir.com/sa-en/catalogsearch/result/?q=Xbox+Elite+Controller+Series+2+Core" TargetMode="External" Id="rId505" /><Relationship Type="http://schemas.openxmlformats.org/officeDocument/2006/relationships/hyperlink" Target="https://www.aliexpress.com/w/wholesale-SteelSeries+Arctis+Nova+7+Wireless.html" TargetMode="External" Id="rId506" /><Relationship Type="http://schemas.openxmlformats.org/officeDocument/2006/relationships/hyperlink" Target="https://www.ebay.com/sch/i.html?_nkw=SteelSeries+Arctis+Nova+7+Wireless&amp;_sop=15" TargetMode="External" Id="rId507" /><Relationship Type="http://schemas.openxmlformats.org/officeDocument/2006/relationships/hyperlink" Target="https://www.amazon.sa/s?k=SteelSeries+Arctis+Nova+7+Wireless" TargetMode="External" Id="rId508" /><Relationship Type="http://schemas.openxmlformats.org/officeDocument/2006/relationships/hyperlink" Target="https://www.noon.com/saudi-en/search/?q=SteelSeries+Arctis+Nova+7+Wireless" TargetMode="External" Id="rId509" /><Relationship Type="http://schemas.openxmlformats.org/officeDocument/2006/relationships/hyperlink" Target="https://www.jarir.com/sa-en/catalogsearch/result/?q=SteelSeries+Arctis+Nova+7+Wireless" TargetMode="External" Id="rId510" /><Relationship Type="http://schemas.openxmlformats.org/officeDocument/2006/relationships/hyperlink" Target="https://www.aliexpress.com/w/wholesale-Razer+DeathAdder+V4+Pro.html" TargetMode="External" Id="rId511" /><Relationship Type="http://schemas.openxmlformats.org/officeDocument/2006/relationships/hyperlink" Target="https://www.ebay.com/sch/i.html?_nkw=Razer+DeathAdder+V4+Pro&amp;_sop=15" TargetMode="External" Id="rId512" /><Relationship Type="http://schemas.openxmlformats.org/officeDocument/2006/relationships/hyperlink" Target="https://www.amazon.sa/s?k=Razer+DeathAdder+V4+Pro" TargetMode="External" Id="rId513" /><Relationship Type="http://schemas.openxmlformats.org/officeDocument/2006/relationships/hyperlink" Target="https://www.noon.com/saudi-en/search/?q=Razer+DeathAdder+V4+Pro" TargetMode="External" Id="rId514" /><Relationship Type="http://schemas.openxmlformats.org/officeDocument/2006/relationships/hyperlink" Target="https://www.jarir.com/sa-en/catalogsearch/result/?q=Razer+DeathAdder+V4+Pro" TargetMode="External" Id="rId515" /><Relationship Type="http://schemas.openxmlformats.org/officeDocument/2006/relationships/hyperlink" Target="https://www.aliexpress.com/w/wholesale-Philips+Hue+Gradient+Lightstrip.html" TargetMode="External" Id="rId516" /><Relationship Type="http://schemas.openxmlformats.org/officeDocument/2006/relationships/hyperlink" Target="https://www.ebay.com/sch/i.html?_nkw=Philips+Hue+Gradient+Lightstrip&amp;_sop=15" TargetMode="External" Id="rId517" /><Relationship Type="http://schemas.openxmlformats.org/officeDocument/2006/relationships/hyperlink" Target="https://www.amazon.sa/s?k=Philips+Hue+Gradient+Lightstrip" TargetMode="External" Id="rId518" /><Relationship Type="http://schemas.openxmlformats.org/officeDocument/2006/relationships/hyperlink" Target="https://www.noon.com/saudi-en/search/?q=Philips+Hue+Gradient+Lightstrip" TargetMode="External" Id="rId519" /><Relationship Type="http://schemas.openxmlformats.org/officeDocument/2006/relationships/hyperlink" Target="https://www.jarir.com/sa-en/catalogsearch/result/?q=Philips+Hue+Gradient+Lightstrip" TargetMode="External" Id="rId520" /><Relationship Type="http://schemas.openxmlformats.org/officeDocument/2006/relationships/hyperlink" Target="https://www.aliexpress.com/w/wholesale-Elgato+Wave%3A3.html" TargetMode="External" Id="rId521" /><Relationship Type="http://schemas.openxmlformats.org/officeDocument/2006/relationships/hyperlink" Target="https://www.ebay.com/sch/i.html?_nkw=Elgato+Wave%3A3&amp;_sop=15" TargetMode="External" Id="rId522" /><Relationship Type="http://schemas.openxmlformats.org/officeDocument/2006/relationships/hyperlink" Target="https://www.amazon.sa/s?k=Elgato+Wave%3A3" TargetMode="External" Id="rId523" /><Relationship Type="http://schemas.openxmlformats.org/officeDocument/2006/relationships/hyperlink" Target="https://www.noon.com/saudi-en/search/?q=Elgato+Wave%3A3" TargetMode="External" Id="rId524" /><Relationship Type="http://schemas.openxmlformats.org/officeDocument/2006/relationships/hyperlink" Target="https://www.jarir.com/sa-en/catalogsearch/result/?q=Elgato+Wave%3A3" TargetMode="External" Id="rId525" /><Relationship Type="http://schemas.openxmlformats.org/officeDocument/2006/relationships/hyperlink" Target="https://www.aliexpress.com/w/wholesale-MikroTik+CRS305-1G-4S%2BIN.html" TargetMode="External" Id="rId526" /><Relationship Type="http://schemas.openxmlformats.org/officeDocument/2006/relationships/hyperlink" Target="https://www.ebay.com/sch/i.html?_nkw=MikroTik+CRS305-1G-4S%2BIN&amp;_sop=15" TargetMode="External" Id="rId527" /><Relationship Type="http://schemas.openxmlformats.org/officeDocument/2006/relationships/hyperlink" Target="https://www.amazon.sa/s?k=MikroTik+CRS305-1G-4S%2BIN" TargetMode="External" Id="rId528" /><Relationship Type="http://schemas.openxmlformats.org/officeDocument/2006/relationships/hyperlink" Target="https://www.noon.com/saudi-en/search/?q=MikroTik+CRS305-1G-4S%2BIN" TargetMode="External" Id="rId529" /><Relationship Type="http://schemas.openxmlformats.org/officeDocument/2006/relationships/hyperlink" Target="https://www.jarir.com/sa-en/catalogsearch/result/?q=MikroTik+CRS305-1G-4S%2BIN" TargetMode="External" Id="rId530" /><Relationship Type="http://schemas.openxmlformats.org/officeDocument/2006/relationships/hyperlink" Target="https://www.aliexpress.com/w/wholesale-Raspberry+Pi+5+Ultimate+Starter+Kit.html" TargetMode="External" Id="rId531" /><Relationship Type="http://schemas.openxmlformats.org/officeDocument/2006/relationships/hyperlink" Target="https://www.ebay.com/sch/i.html?_nkw=Raspberry+Pi+5+Ultimate+Starter+Kit&amp;_sop=15" TargetMode="External" Id="rId532" /><Relationship Type="http://schemas.openxmlformats.org/officeDocument/2006/relationships/hyperlink" Target="https://www.amazon.sa/s?k=Raspberry+Pi+5+Ultimate+Starter+Kit" TargetMode="External" Id="rId533" /><Relationship Type="http://schemas.openxmlformats.org/officeDocument/2006/relationships/hyperlink" Target="https://www.noon.com/saudi-en/search/?q=Raspberry+Pi+5+Ultimate+Starter+Kit" TargetMode="External" Id="rId534" /><Relationship Type="http://schemas.openxmlformats.org/officeDocument/2006/relationships/hyperlink" Target="https://www.jarir.com/sa-en/catalogsearch/result/?q=Raspberry+Pi+5+Ultimate+Starter+Kit" TargetMode="External" Id="rId535" /><Relationship Type="http://schemas.openxmlformats.org/officeDocument/2006/relationships/hyperlink" Target="https://www.aliexpress.com/w/wholesale-Elgato+HD60+X+Capture+Card.html" TargetMode="External" Id="rId536" /><Relationship Type="http://schemas.openxmlformats.org/officeDocument/2006/relationships/hyperlink" Target="https://www.ebay.com/sch/i.html?_nkw=Elgato+HD60+X+Capture+Card&amp;_sop=15" TargetMode="External" Id="rId537" /><Relationship Type="http://schemas.openxmlformats.org/officeDocument/2006/relationships/hyperlink" Target="https://www.amazon.sa/s?k=Elgato+HD60+X+Capture+Card" TargetMode="External" Id="rId538" /><Relationship Type="http://schemas.openxmlformats.org/officeDocument/2006/relationships/hyperlink" Target="https://www.noon.com/saudi-en/search/?q=Elgato+HD60+X+Capture+Card" TargetMode="External" Id="rId539" /><Relationship Type="http://schemas.openxmlformats.org/officeDocument/2006/relationships/hyperlink" Target="https://www.jarir.com/sa-en/catalogsearch/result/?q=Elgato+HD60+X+Capture+Card" TargetMode="External" Id="rId540" /><Relationship Type="http://schemas.openxmlformats.org/officeDocument/2006/relationships/hyperlink" Target="https://www.aliexpress.com/w/wholesale-Logitech+G+Pro+X+Superlight+2+DEX.html" TargetMode="External" Id="rId541" /><Relationship Type="http://schemas.openxmlformats.org/officeDocument/2006/relationships/hyperlink" Target="https://www.ebay.com/sch/i.html?_nkw=Logitech+G+Pro+X+Superlight+2+DEX&amp;_sop=15" TargetMode="External" Id="rId542" /><Relationship Type="http://schemas.openxmlformats.org/officeDocument/2006/relationships/hyperlink" Target="https://www.amazon.sa/s?k=Logitech+G+Pro+X+Superlight+2+DEX" TargetMode="External" Id="rId543" /><Relationship Type="http://schemas.openxmlformats.org/officeDocument/2006/relationships/hyperlink" Target="https://www.noon.com/saudi-en/search/?q=Logitech+G+Pro+X+Superlight+2+DEX" TargetMode="External" Id="rId544" /><Relationship Type="http://schemas.openxmlformats.org/officeDocument/2006/relationships/hyperlink" Target="https://www.jarir.com/sa-en/catalogsearch/result/?q=Logitech+G+Pro+X+Superlight+2+DEX" TargetMode="External" Id="rId545" /><Relationship Type="http://schemas.openxmlformats.org/officeDocument/2006/relationships/hyperlink" Target="https://www.aliexpress.com/w/wholesale-AVerMedia+Live+Gamer+Ultra+S.html" TargetMode="External" Id="rId546" /><Relationship Type="http://schemas.openxmlformats.org/officeDocument/2006/relationships/hyperlink" Target="https://www.ebay.com/sch/i.html?_nkw=AVerMedia+Live+Gamer+Ultra+S&amp;_sop=15" TargetMode="External" Id="rId547" /><Relationship Type="http://schemas.openxmlformats.org/officeDocument/2006/relationships/hyperlink" Target="https://www.amazon.sa/s?k=AVerMedia+Live+Gamer+Ultra+S" TargetMode="External" Id="rId548" /><Relationship Type="http://schemas.openxmlformats.org/officeDocument/2006/relationships/hyperlink" Target="https://www.noon.com/saudi-en/search/?q=AVerMedia+Live+Gamer+Ultra+S" TargetMode="External" Id="rId549" /><Relationship Type="http://schemas.openxmlformats.org/officeDocument/2006/relationships/hyperlink" Target="https://www.jarir.com/sa-en/catalogsearch/result/?q=AVerMedia+Live+Gamer+Ultra+S" TargetMode="External" Id="rId550" /><Relationship Type="http://schemas.openxmlformats.org/officeDocument/2006/relationships/hyperlink" Target="https://www.aliexpress.com/w/wholesale-Razer+Viper+V3+Pro.html" TargetMode="External" Id="rId551" /><Relationship Type="http://schemas.openxmlformats.org/officeDocument/2006/relationships/hyperlink" Target="https://www.ebay.com/sch/i.html?_nkw=Razer+Viper+V3+Pro&amp;_sop=15" TargetMode="External" Id="rId552" /><Relationship Type="http://schemas.openxmlformats.org/officeDocument/2006/relationships/hyperlink" Target="https://www.amazon.sa/s?k=Razer+Viper+V3+Pro" TargetMode="External" Id="rId553" /><Relationship Type="http://schemas.openxmlformats.org/officeDocument/2006/relationships/hyperlink" Target="https://www.noon.com/saudi-en/search/?q=Razer+Viper+V3+Pro" TargetMode="External" Id="rId554" /><Relationship Type="http://schemas.openxmlformats.org/officeDocument/2006/relationships/hyperlink" Target="https://www.jarir.com/sa-en/catalogsearch/result/?q=Razer+Viper+V3+Pro" TargetMode="External" Id="rId555" /><Relationship Type="http://schemas.openxmlformats.org/officeDocument/2006/relationships/hyperlink" Target="https://www.aliexpress.com/w/wholesale-Creality+Sonic+Pad.html" TargetMode="External" Id="rId556" /><Relationship Type="http://schemas.openxmlformats.org/officeDocument/2006/relationships/hyperlink" Target="https://www.ebay.com/sch/i.html?_nkw=Creality+Sonic+Pad&amp;_sop=15" TargetMode="External" Id="rId557" /><Relationship Type="http://schemas.openxmlformats.org/officeDocument/2006/relationships/hyperlink" Target="https://www.amazon.sa/s?k=Creality+Sonic+Pad" TargetMode="External" Id="rId558" /><Relationship Type="http://schemas.openxmlformats.org/officeDocument/2006/relationships/hyperlink" Target="https://www.noon.com/saudi-en/search/?q=Creality+Sonic+Pad" TargetMode="External" Id="rId559" /><Relationship Type="http://schemas.openxmlformats.org/officeDocument/2006/relationships/hyperlink" Target="https://www.jarir.com/sa-en/catalogsearch/result/?q=Creality+Sonic+Pad" TargetMode="External" Id="rId560" /><Relationship Type="http://schemas.openxmlformats.org/officeDocument/2006/relationships/hyperlink" Target="https://www.aliexpress.com/w/wholesale-Razer+BlackShark+V2+Pro+2023.html" TargetMode="External" Id="rId561" /><Relationship Type="http://schemas.openxmlformats.org/officeDocument/2006/relationships/hyperlink" Target="https://www.ebay.com/sch/i.html?_nkw=Razer+BlackShark+V2+Pro+2023&amp;_sop=15" TargetMode="External" Id="rId562" /><Relationship Type="http://schemas.openxmlformats.org/officeDocument/2006/relationships/hyperlink" Target="https://www.amazon.sa/s?k=Razer+BlackShark+V2+Pro+2023" TargetMode="External" Id="rId563" /><Relationship Type="http://schemas.openxmlformats.org/officeDocument/2006/relationships/hyperlink" Target="https://www.noon.com/saudi-en/search/?q=Razer+BlackShark+V2+Pro+2023" TargetMode="External" Id="rId564" /><Relationship Type="http://schemas.openxmlformats.org/officeDocument/2006/relationships/hyperlink" Target="https://www.jarir.com/sa-en/catalogsearch/result/?q=Razer+BlackShark+V2+Pro+2023" TargetMode="External" Id="rId565" /><Relationship Type="http://schemas.openxmlformats.org/officeDocument/2006/relationships/hyperlink" Target="https://www.aliexpress.com/w/wholesale-Keychron+K10+HE.html" TargetMode="External" Id="rId566" /><Relationship Type="http://schemas.openxmlformats.org/officeDocument/2006/relationships/hyperlink" Target="https://www.ebay.com/sch/i.html?_nkw=Keychron+K10+HE&amp;_sop=15" TargetMode="External" Id="rId567" /><Relationship Type="http://schemas.openxmlformats.org/officeDocument/2006/relationships/hyperlink" Target="https://www.amazon.sa/s?k=Keychron+K10+HE" TargetMode="External" Id="rId568" /><Relationship Type="http://schemas.openxmlformats.org/officeDocument/2006/relationships/hyperlink" Target="https://www.noon.com/saudi-en/search/?q=Keychron+K10+HE" TargetMode="External" Id="rId569" /><Relationship Type="http://schemas.openxmlformats.org/officeDocument/2006/relationships/hyperlink" Target="https://www.jarir.com/sa-en/catalogsearch/result/?q=Keychron+K10+HE" TargetMode="External" Id="rId570" /><Relationship Type="http://schemas.openxmlformats.org/officeDocument/2006/relationships/hyperlink" Target="https://www.aliexpress.com/w/wholesale-Beelink+EQ12.html" TargetMode="External" Id="rId571" /><Relationship Type="http://schemas.openxmlformats.org/officeDocument/2006/relationships/hyperlink" Target="https://www.ebay.com/sch/i.html?_nkw=Beelink+EQ12&amp;_sop=15" TargetMode="External" Id="rId572" /><Relationship Type="http://schemas.openxmlformats.org/officeDocument/2006/relationships/hyperlink" Target="https://www.amazon.sa/s?k=Beelink+EQ12" TargetMode="External" Id="rId573" /><Relationship Type="http://schemas.openxmlformats.org/officeDocument/2006/relationships/hyperlink" Target="https://www.noon.com/saudi-en/search/?q=Beelink+EQ12" TargetMode="External" Id="rId574" /><Relationship Type="http://schemas.openxmlformats.org/officeDocument/2006/relationships/hyperlink" Target="https://www.jarir.com/sa-en/catalogsearch/result/?q=Beelink+EQ12" TargetMode="External" Id="rId575" /><Relationship Type="http://schemas.openxmlformats.org/officeDocument/2006/relationships/hyperlink" Target="https://www.aliexpress.com/w/wholesale-Ubiquiti+UniFi+U6+Pro.html" TargetMode="External" Id="rId576" /><Relationship Type="http://schemas.openxmlformats.org/officeDocument/2006/relationships/hyperlink" Target="https://www.ebay.com/sch/i.html?_nkw=Ubiquiti+UniFi+U6+Pro&amp;_sop=15" TargetMode="External" Id="rId577" /><Relationship Type="http://schemas.openxmlformats.org/officeDocument/2006/relationships/hyperlink" Target="https://www.amazon.sa/s?k=Ubiquiti+UniFi+U6+Pro" TargetMode="External" Id="rId578" /><Relationship Type="http://schemas.openxmlformats.org/officeDocument/2006/relationships/hyperlink" Target="https://www.noon.com/saudi-en/search/?q=Ubiquiti+UniFi+U6+Pro" TargetMode="External" Id="rId579" /><Relationship Type="http://schemas.openxmlformats.org/officeDocument/2006/relationships/hyperlink" Target="https://www.jarir.com/sa-en/catalogsearch/result/?q=Ubiquiti+UniFi+U6+Pro" TargetMode="External" Id="rId580" /><Relationship Type="http://schemas.openxmlformats.org/officeDocument/2006/relationships/hyperlink" Target="https://www.aliexpress.com/w/wholesale-MikroTik+CRS305-1G-4S%2BIN.html" TargetMode="External" Id="rId581" /><Relationship Type="http://schemas.openxmlformats.org/officeDocument/2006/relationships/hyperlink" Target="https://www.ebay.com/sch/i.html?_nkw=MikroTik+CRS305-1G-4S%2BIN&amp;_sop=15" TargetMode="External" Id="rId582" /><Relationship Type="http://schemas.openxmlformats.org/officeDocument/2006/relationships/hyperlink" Target="https://www.amazon.sa/s?k=MikroTik+CRS305-1G-4S%2BIN" TargetMode="External" Id="rId583" /><Relationship Type="http://schemas.openxmlformats.org/officeDocument/2006/relationships/hyperlink" Target="https://www.noon.com/saudi-en/search/?q=MikroTik+CRS305-1G-4S%2BIN" TargetMode="External" Id="rId584" /><Relationship Type="http://schemas.openxmlformats.org/officeDocument/2006/relationships/hyperlink" Target="https://www.jarir.com/sa-en/catalogsearch/result/?q=MikroTik+CRS305-1G-4S%2BIN" TargetMode="External" Id="rId585" /><Relationship Type="http://schemas.openxmlformats.org/officeDocument/2006/relationships/hyperlink" Target="https://www.aliexpress.com/w/wholesale-Eufy+Video+Doorbell+E340.html" TargetMode="External" Id="rId586" /><Relationship Type="http://schemas.openxmlformats.org/officeDocument/2006/relationships/hyperlink" Target="https://www.ebay.com/sch/i.html?_nkw=Eufy+Video+Doorbell+E340&amp;_sop=15" TargetMode="External" Id="rId587" /><Relationship Type="http://schemas.openxmlformats.org/officeDocument/2006/relationships/hyperlink" Target="https://www.amazon.sa/s?k=Eufy+Video+Doorbell+E340" TargetMode="External" Id="rId588" /><Relationship Type="http://schemas.openxmlformats.org/officeDocument/2006/relationships/hyperlink" Target="https://www.noon.com/saudi-en/search/?q=Eufy+Video+Doorbell+E340" TargetMode="External" Id="rId589" /><Relationship Type="http://schemas.openxmlformats.org/officeDocument/2006/relationships/hyperlink" Target="https://www.jarir.com/sa-en/catalogsearch/result/?q=Eufy+Video+Doorbell+E340" TargetMode="External" Id="rId590" /><Relationship Type="http://schemas.openxmlformats.org/officeDocument/2006/relationships/hyperlink" Target="https://www.aliexpress.com/w/wholesale-Ring+Battery+Doorbell+Plus.html" TargetMode="External" Id="rId591" /><Relationship Type="http://schemas.openxmlformats.org/officeDocument/2006/relationships/hyperlink" Target="https://www.ebay.com/sch/i.html?_nkw=Ring+Battery+Doorbell+Plus&amp;_sop=15" TargetMode="External" Id="rId592" /><Relationship Type="http://schemas.openxmlformats.org/officeDocument/2006/relationships/hyperlink" Target="https://www.amazon.sa/s?k=Ring+Battery+Doorbell+Plus" TargetMode="External" Id="rId593" /><Relationship Type="http://schemas.openxmlformats.org/officeDocument/2006/relationships/hyperlink" Target="https://www.noon.com/saudi-en/search/?q=Ring+Battery+Doorbell+Plus" TargetMode="External" Id="rId594" /><Relationship Type="http://schemas.openxmlformats.org/officeDocument/2006/relationships/hyperlink" Target="https://www.jarir.com/sa-en/catalogsearch/result/?q=Ring+Battery+Doorbell+Plus" TargetMode="External" Id="rId595" /><Relationship Type="http://schemas.openxmlformats.org/officeDocument/2006/relationships/hyperlink" Target="https://www.aliexpress.com/w/wholesale-Amazon+Echo+Show+8.html" TargetMode="External" Id="rId596" /><Relationship Type="http://schemas.openxmlformats.org/officeDocument/2006/relationships/hyperlink" Target="https://www.ebay.com/sch/i.html?_nkw=Amazon+Echo+Show+8&amp;_sop=15" TargetMode="External" Id="rId597" /><Relationship Type="http://schemas.openxmlformats.org/officeDocument/2006/relationships/hyperlink" Target="https://www.amazon.sa/s?k=Amazon+Echo+Show+8" TargetMode="External" Id="rId598" /><Relationship Type="http://schemas.openxmlformats.org/officeDocument/2006/relationships/hyperlink" Target="https://www.noon.com/saudi-en/search/?q=Amazon+Echo+Show+8" TargetMode="External" Id="rId599" /><Relationship Type="http://schemas.openxmlformats.org/officeDocument/2006/relationships/hyperlink" Target="https://www.jarir.com/sa-en/catalogsearch/result/?q=Amazon+Echo+Show+8" TargetMode="External" Id="rId600" /><Relationship Type="http://schemas.openxmlformats.org/officeDocument/2006/relationships/hyperlink" Target="https://www.aliexpress.com/w/wholesale-Corsair+K70+RGB+Pro.html" TargetMode="External" Id="rId601" /><Relationship Type="http://schemas.openxmlformats.org/officeDocument/2006/relationships/hyperlink" Target="https://www.ebay.com/sch/i.html?_nkw=Corsair+K70+RGB+Pro&amp;_sop=15" TargetMode="External" Id="rId602" /><Relationship Type="http://schemas.openxmlformats.org/officeDocument/2006/relationships/hyperlink" Target="https://www.amazon.sa/s?k=Corsair+K70+RGB+Pro" TargetMode="External" Id="rId603" /><Relationship Type="http://schemas.openxmlformats.org/officeDocument/2006/relationships/hyperlink" Target="https://www.noon.com/saudi-en/search/?q=Corsair+K70+RGB+Pro" TargetMode="External" Id="rId604" /><Relationship Type="http://schemas.openxmlformats.org/officeDocument/2006/relationships/hyperlink" Target="https://www.jarir.com/sa-en/catalogsearch/result/?q=Corsair+K70+RGB+Pro" TargetMode="External" Id="rId605" /><Relationship Type="http://schemas.openxmlformats.org/officeDocument/2006/relationships/hyperlink" Target="https://www.aliexpress.com/w/wholesale-HyperX+Cloud+III+Wireless.html" TargetMode="External" Id="rId606" /><Relationship Type="http://schemas.openxmlformats.org/officeDocument/2006/relationships/hyperlink" Target="https://www.ebay.com/sch/i.html?_nkw=HyperX+Cloud+III+Wireless&amp;_sop=15" TargetMode="External" Id="rId607" /><Relationship Type="http://schemas.openxmlformats.org/officeDocument/2006/relationships/hyperlink" Target="https://www.amazon.sa/s?k=HyperX+Cloud+III+Wireless" TargetMode="External" Id="rId608" /><Relationship Type="http://schemas.openxmlformats.org/officeDocument/2006/relationships/hyperlink" Target="https://www.noon.com/saudi-en/search/?q=HyperX+Cloud+III+Wireless" TargetMode="External" Id="rId609" /><Relationship Type="http://schemas.openxmlformats.org/officeDocument/2006/relationships/hyperlink" Target="https://www.jarir.com/sa-en/catalogsearch/result/?q=HyperX+Cloud+III+Wireless" TargetMode="External" Id="rId610" /><Relationship Type="http://schemas.openxmlformats.org/officeDocument/2006/relationships/hyperlink" Target="https://www.aliexpress.com/w/wholesale-HyperX+QuadCast+S+USB+Microphone.html" TargetMode="External" Id="rId611" /><Relationship Type="http://schemas.openxmlformats.org/officeDocument/2006/relationships/hyperlink" Target="https://www.ebay.com/sch/i.html?_nkw=HyperX+QuadCast+S+USB+Microphone&amp;_sop=15" TargetMode="External" Id="rId612" /><Relationship Type="http://schemas.openxmlformats.org/officeDocument/2006/relationships/hyperlink" Target="https://www.amazon.sa/s?k=HyperX+QuadCast+S+USB+Microphone" TargetMode="External" Id="rId613" /><Relationship Type="http://schemas.openxmlformats.org/officeDocument/2006/relationships/hyperlink" Target="https://www.noon.com/saudi-en/search/?q=HyperX+QuadCast+S+USB+Microphone" TargetMode="External" Id="rId614" /><Relationship Type="http://schemas.openxmlformats.org/officeDocument/2006/relationships/hyperlink" Target="https://www.jarir.com/sa-en/catalogsearch/result/?q=HyperX+QuadCast+S+USB+Microphone" TargetMode="External" Id="rId615" /><Relationship Type="http://schemas.openxmlformats.org/officeDocument/2006/relationships/hyperlink" Target="https://www.aliexpress.com/w/wholesale-Elgato+Stream+Deck+MK.2.html" TargetMode="External" Id="rId616" /><Relationship Type="http://schemas.openxmlformats.org/officeDocument/2006/relationships/hyperlink" Target="https://www.ebay.com/sch/i.html?_nkw=Elgato+Stream+Deck+MK.2&amp;_sop=15" TargetMode="External" Id="rId617" /><Relationship Type="http://schemas.openxmlformats.org/officeDocument/2006/relationships/hyperlink" Target="https://www.amazon.sa/s?k=Elgato+Stream+Deck+MK.2" TargetMode="External" Id="rId618" /><Relationship Type="http://schemas.openxmlformats.org/officeDocument/2006/relationships/hyperlink" Target="https://www.noon.com/saudi-en/search/?q=Elgato+Stream+Deck+MK.2" TargetMode="External" Id="rId619" /><Relationship Type="http://schemas.openxmlformats.org/officeDocument/2006/relationships/hyperlink" Target="https://www.jarir.com/sa-en/catalogsearch/result/?q=Elgato+Stream+Deck+MK.2" TargetMode="External" Id="rId620" /><Relationship Type="http://schemas.openxmlformats.org/officeDocument/2006/relationships/hyperlink" Target="https://www.aliexpress.com/w/wholesale-IKEA+FYRTUR+Blackout+Smart+Roller+Blind.html" TargetMode="External" Id="rId621" /><Relationship Type="http://schemas.openxmlformats.org/officeDocument/2006/relationships/hyperlink" Target="https://www.ebay.com/sch/i.html?_nkw=IKEA+FYRTUR+Blackout+Smart+Roller+Blind&amp;_sop=15" TargetMode="External" Id="rId622" /><Relationship Type="http://schemas.openxmlformats.org/officeDocument/2006/relationships/hyperlink" Target="https://www.amazon.sa/s?k=IKEA+FYRTUR+Blackout+Smart+Roller+Blind" TargetMode="External" Id="rId623" /><Relationship Type="http://schemas.openxmlformats.org/officeDocument/2006/relationships/hyperlink" Target="https://www.noon.com/saudi-en/search/?q=IKEA+FYRTUR+Blackout+Smart+Roller+Blind" TargetMode="External" Id="rId624" /><Relationship Type="http://schemas.openxmlformats.org/officeDocument/2006/relationships/hyperlink" Target="https://www.jarir.com/sa-en/catalogsearch/result/?q=IKEA+FYRTUR+Blackout+Smart+Roller+Blind" TargetMode="External" Id="rId625" /><Relationship Type="http://schemas.openxmlformats.org/officeDocument/2006/relationships/hyperlink" Target="https://www.aliexpress.com/w/wholesale-Aqara+Hub+M3.html" TargetMode="External" Id="rId626" /><Relationship Type="http://schemas.openxmlformats.org/officeDocument/2006/relationships/hyperlink" Target="https://www.ebay.com/sch/i.html?_nkw=Aqara+Hub+M3&amp;_sop=15" TargetMode="External" Id="rId627" /><Relationship Type="http://schemas.openxmlformats.org/officeDocument/2006/relationships/hyperlink" Target="https://www.amazon.sa/s?k=Aqara+Hub+M3" TargetMode="External" Id="rId628" /><Relationship Type="http://schemas.openxmlformats.org/officeDocument/2006/relationships/hyperlink" Target="https://www.noon.com/saudi-en/search/?q=Aqara+Hub+M3" TargetMode="External" Id="rId629" /><Relationship Type="http://schemas.openxmlformats.org/officeDocument/2006/relationships/hyperlink" Target="https://www.jarir.com/sa-en/catalogsearch/result/?q=Aqara+Hub+M3" TargetMode="External" Id="rId630" /><Relationship Type="http://schemas.openxmlformats.org/officeDocument/2006/relationships/hyperlink" Target="https://www.aliexpress.com/w/wholesale-Reolink+Argus+4+Pro.html" TargetMode="External" Id="rId631" /><Relationship Type="http://schemas.openxmlformats.org/officeDocument/2006/relationships/hyperlink" Target="https://www.ebay.com/sch/i.html?_nkw=Reolink+Argus+4+Pro&amp;_sop=15" TargetMode="External" Id="rId632" /><Relationship Type="http://schemas.openxmlformats.org/officeDocument/2006/relationships/hyperlink" Target="https://www.amazon.sa/s?k=Reolink+Argus+4+Pro" TargetMode="External" Id="rId633" /><Relationship Type="http://schemas.openxmlformats.org/officeDocument/2006/relationships/hyperlink" Target="https://www.noon.com/saudi-en/search/?q=Reolink+Argus+4+Pro" TargetMode="External" Id="rId634" /><Relationship Type="http://schemas.openxmlformats.org/officeDocument/2006/relationships/hyperlink" Target="https://www.jarir.com/sa-en/catalogsearch/result/?q=Reolink+Argus+4+Pro" TargetMode="External" Id="rId635" /><Relationship Type="http://schemas.openxmlformats.org/officeDocument/2006/relationships/hyperlink" Target="https://www.aliexpress.com/w/wholesale-Philips+Hue+Starter+Kit.html" TargetMode="External" Id="rId636" /><Relationship Type="http://schemas.openxmlformats.org/officeDocument/2006/relationships/hyperlink" Target="https://www.ebay.com/sch/i.html?_nkw=Philips+Hue+Starter+Kit&amp;_sop=15" TargetMode="External" Id="rId637" /><Relationship Type="http://schemas.openxmlformats.org/officeDocument/2006/relationships/hyperlink" Target="https://www.amazon.sa/s?k=Philips+Hue+Starter+Kit" TargetMode="External" Id="rId638" /><Relationship Type="http://schemas.openxmlformats.org/officeDocument/2006/relationships/hyperlink" Target="https://www.noon.com/saudi-en/search/?q=Philips+Hue+Starter+Kit" TargetMode="External" Id="rId639" /><Relationship Type="http://schemas.openxmlformats.org/officeDocument/2006/relationships/hyperlink" Target="https://www.jarir.com/sa-en/catalogsearch/result/?q=Philips+Hue+Starter+Kit" TargetMode="External" Id="rId640" /><Relationship Type="http://schemas.openxmlformats.org/officeDocument/2006/relationships/hyperlink" Target="https://www.aliexpress.com/w/wholesale-Ubiquiti+UniFi+Cloud+Gateway+Ultra.html" TargetMode="External" Id="rId641" /><Relationship Type="http://schemas.openxmlformats.org/officeDocument/2006/relationships/hyperlink" Target="https://www.ebay.com/sch/i.html?_nkw=Ubiquiti+UniFi+Cloud+Gateway+Ultra&amp;_sop=15" TargetMode="External" Id="rId642" /><Relationship Type="http://schemas.openxmlformats.org/officeDocument/2006/relationships/hyperlink" Target="https://www.amazon.sa/s?k=Ubiquiti+UniFi+Cloud+Gateway+Ultra" TargetMode="External" Id="rId643" /><Relationship Type="http://schemas.openxmlformats.org/officeDocument/2006/relationships/hyperlink" Target="https://www.noon.com/saudi-en/search/?q=Ubiquiti+UniFi+Cloud+Gateway+Ultra" TargetMode="External" Id="rId644" /><Relationship Type="http://schemas.openxmlformats.org/officeDocument/2006/relationships/hyperlink" Target="https://www.jarir.com/sa-en/catalogsearch/result/?q=Ubiquiti+UniFi+Cloud+Gateway+Ultra" TargetMode="External" Id="rId645" /><Relationship Type="http://schemas.openxmlformats.org/officeDocument/2006/relationships/hyperlink" Target="https://www.aliexpress.com/w/wholesale-Raspberry+Pi+5+8GB.html" TargetMode="External" Id="rId646" /><Relationship Type="http://schemas.openxmlformats.org/officeDocument/2006/relationships/hyperlink" Target="https://www.ebay.com/sch/i.html?_nkw=Raspberry+Pi+5+8GB&amp;_sop=15" TargetMode="External" Id="rId647" /><Relationship Type="http://schemas.openxmlformats.org/officeDocument/2006/relationships/hyperlink" Target="https://www.amazon.sa/s?k=Raspberry+Pi+5+8GB" TargetMode="External" Id="rId648" /><Relationship Type="http://schemas.openxmlformats.org/officeDocument/2006/relationships/hyperlink" Target="https://www.noon.com/saudi-en/search/?q=Raspberry+Pi+5+8GB" TargetMode="External" Id="rId649" /><Relationship Type="http://schemas.openxmlformats.org/officeDocument/2006/relationships/hyperlink" Target="https://www.jarir.com/sa-en/catalogsearch/result/?q=Raspberry+Pi+5+8GB" TargetMode="External" Id="rId650" /><Relationship Type="http://schemas.openxmlformats.org/officeDocument/2006/relationships/hyperlink" Target="https://www.aliexpress.com/w/wholesale-Ubiquiti+USW-Lite-8-PoE.html" TargetMode="External" Id="rId651" /><Relationship Type="http://schemas.openxmlformats.org/officeDocument/2006/relationships/hyperlink" Target="https://www.ebay.com/sch/i.html?_nkw=Ubiquiti+USW-Lite-8-PoE&amp;_sop=15" TargetMode="External" Id="rId652" /><Relationship Type="http://schemas.openxmlformats.org/officeDocument/2006/relationships/hyperlink" Target="https://www.amazon.sa/s?k=Ubiquiti+USW-Lite-8-PoE" TargetMode="External" Id="rId653" /><Relationship Type="http://schemas.openxmlformats.org/officeDocument/2006/relationships/hyperlink" Target="https://www.noon.com/saudi-en/search/?q=Ubiquiti+USW-Lite-8-PoE" TargetMode="External" Id="rId654" /><Relationship Type="http://schemas.openxmlformats.org/officeDocument/2006/relationships/hyperlink" Target="https://www.jarir.com/sa-en/catalogsearch/result/?q=Ubiquiti+USW-Lite-8-PoE" TargetMode="External" Id="rId655" /><Relationship Type="http://schemas.openxmlformats.org/officeDocument/2006/relationships/hyperlink" Target="https://www.aliexpress.com/w/wholesale-Cat6a+Shielded+Bulk+Cable.html" TargetMode="External" Id="rId656" /><Relationship Type="http://schemas.openxmlformats.org/officeDocument/2006/relationships/hyperlink" Target="https://www.ebay.com/sch/i.html?_nkw=Cat6a+Shielded+Bulk+Cable&amp;_sop=15" TargetMode="External" Id="rId657" /><Relationship Type="http://schemas.openxmlformats.org/officeDocument/2006/relationships/hyperlink" Target="https://www.amazon.sa/s?k=Cat6a+Shielded+Bulk+Cable" TargetMode="External" Id="rId658" /><Relationship Type="http://schemas.openxmlformats.org/officeDocument/2006/relationships/hyperlink" Target="https://www.noon.com/saudi-en/search/?q=Cat6a+Shielded+Bulk+Cable" TargetMode="External" Id="rId659" /><Relationship Type="http://schemas.openxmlformats.org/officeDocument/2006/relationships/hyperlink" Target="https://www.jarir.com/sa-en/catalogsearch/result/?q=Cat6a+Shielded+Bulk+Cable" TargetMode="External" Id="rId660" /><Relationship Type="http://schemas.openxmlformats.org/officeDocument/2006/relationships/hyperlink" Target="https://www.aliexpress.com/w/wholesale-Razer+DeathAdder+V3+HyperSpeed.html" TargetMode="External" Id="rId661" /><Relationship Type="http://schemas.openxmlformats.org/officeDocument/2006/relationships/hyperlink" Target="https://www.ebay.com/sch/i.html?_nkw=Razer+DeathAdder+V3+HyperSpeed&amp;_sop=15" TargetMode="External" Id="rId662" /><Relationship Type="http://schemas.openxmlformats.org/officeDocument/2006/relationships/hyperlink" Target="https://www.amazon.sa/s?k=Razer+DeathAdder+V3+HyperSpeed" TargetMode="External" Id="rId663" /><Relationship Type="http://schemas.openxmlformats.org/officeDocument/2006/relationships/hyperlink" Target="https://www.noon.com/saudi-en/search/?q=Razer+DeathAdder+V3+HyperSpeed" TargetMode="External" Id="rId664" /><Relationship Type="http://schemas.openxmlformats.org/officeDocument/2006/relationships/hyperlink" Target="https://www.jarir.com/sa-en/catalogsearch/result/?q=Razer+DeathAdder+V3+HyperSpeed" TargetMode="External" Id="rId665" /><Relationship Type="http://schemas.openxmlformats.org/officeDocument/2006/relationships/hyperlink" Target="https://www.aliexpress.com/w/wholesale-Ubiquiti+UniFi+6+Lite.html" TargetMode="External" Id="rId666" /><Relationship Type="http://schemas.openxmlformats.org/officeDocument/2006/relationships/hyperlink" Target="https://www.ebay.com/sch/i.html?_nkw=Ubiquiti+UniFi+6+Lite&amp;_sop=15" TargetMode="External" Id="rId667" /><Relationship Type="http://schemas.openxmlformats.org/officeDocument/2006/relationships/hyperlink" Target="https://www.amazon.sa/s?k=Ubiquiti+UniFi+6+Lite" TargetMode="External" Id="rId668" /><Relationship Type="http://schemas.openxmlformats.org/officeDocument/2006/relationships/hyperlink" Target="https://www.noon.com/saudi-en/search/?q=Ubiquiti+UniFi+6+Lite" TargetMode="External" Id="rId669" /><Relationship Type="http://schemas.openxmlformats.org/officeDocument/2006/relationships/hyperlink" Target="https://www.jarir.com/sa-en/catalogsearch/result/?q=Ubiquiti+UniFi+6+Lite" TargetMode="External" Id="rId670" /><Relationship Type="http://schemas.openxmlformats.org/officeDocument/2006/relationships/hyperlink" Target="https://www.aliexpress.com/w/wholesale-TP-Link+Omada+EAP650.html" TargetMode="External" Id="rId671" /><Relationship Type="http://schemas.openxmlformats.org/officeDocument/2006/relationships/hyperlink" Target="https://www.ebay.com/sch/i.html?_nkw=TP-Link+Omada+EAP650&amp;_sop=15" TargetMode="External" Id="rId672" /><Relationship Type="http://schemas.openxmlformats.org/officeDocument/2006/relationships/hyperlink" Target="https://www.amazon.sa/s?k=TP-Link+Omada+EAP650" TargetMode="External" Id="rId673" /><Relationship Type="http://schemas.openxmlformats.org/officeDocument/2006/relationships/hyperlink" Target="https://www.noon.com/saudi-en/search/?q=TP-Link+Omada+EAP650" TargetMode="External" Id="rId674" /><Relationship Type="http://schemas.openxmlformats.org/officeDocument/2006/relationships/hyperlink" Target="https://www.jarir.com/sa-en/catalogsearch/result/?q=TP-Link+Omada+EAP650" TargetMode="External" Id="rId675" /><Relationship Type="http://schemas.openxmlformats.org/officeDocument/2006/relationships/hyperlink" Target="https://www.aliexpress.com/w/wholesale-8BitDo+Arcade+Stick.html" TargetMode="External" Id="rId676" /><Relationship Type="http://schemas.openxmlformats.org/officeDocument/2006/relationships/hyperlink" Target="https://www.ebay.com/sch/i.html?_nkw=8BitDo+Arcade+Stick&amp;_sop=15" TargetMode="External" Id="rId677" /><Relationship Type="http://schemas.openxmlformats.org/officeDocument/2006/relationships/hyperlink" Target="https://www.amazon.sa/s?k=8BitDo+Arcade+Stick" TargetMode="External" Id="rId678" /><Relationship Type="http://schemas.openxmlformats.org/officeDocument/2006/relationships/hyperlink" Target="https://www.noon.com/saudi-en/search/?q=8BitDo+Arcade+Stick" TargetMode="External" Id="rId679" /><Relationship Type="http://schemas.openxmlformats.org/officeDocument/2006/relationships/hyperlink" Target="https://www.jarir.com/sa-en/catalogsearch/result/?q=8BitDo+Arcade+Stick" TargetMode="External" Id="rId680" /><Relationship Type="http://schemas.openxmlformats.org/officeDocument/2006/relationships/hyperlink" Target="https://www.aliexpress.com/w/wholesale-MikroTik+hAP+ax3.html" TargetMode="External" Id="rId681" /><Relationship Type="http://schemas.openxmlformats.org/officeDocument/2006/relationships/hyperlink" Target="https://www.ebay.com/sch/i.html?_nkw=MikroTik+hAP+ax3&amp;_sop=15" TargetMode="External" Id="rId682" /><Relationship Type="http://schemas.openxmlformats.org/officeDocument/2006/relationships/hyperlink" Target="https://www.amazon.sa/s?k=MikroTik+hAP+ax3" TargetMode="External" Id="rId683" /><Relationship Type="http://schemas.openxmlformats.org/officeDocument/2006/relationships/hyperlink" Target="https://www.noon.com/saudi-en/search/?q=MikroTik+hAP+ax3" TargetMode="External" Id="rId684" /><Relationship Type="http://schemas.openxmlformats.org/officeDocument/2006/relationships/hyperlink" Target="https://www.jarir.com/sa-en/catalogsearch/result/?q=MikroTik+hAP+ax3" TargetMode="External" Id="rId685" /><Relationship Type="http://schemas.openxmlformats.org/officeDocument/2006/relationships/hyperlink" Target="https://www.aliexpress.com/w/wholesale-Govee+DreamView+G1+Pro+Gaming+Light.html" TargetMode="External" Id="rId686" /><Relationship Type="http://schemas.openxmlformats.org/officeDocument/2006/relationships/hyperlink" Target="https://www.ebay.com/sch/i.html?_nkw=Govee+DreamView+G1+Pro+Gaming+Light&amp;_sop=15" TargetMode="External" Id="rId687" /><Relationship Type="http://schemas.openxmlformats.org/officeDocument/2006/relationships/hyperlink" Target="https://www.amazon.sa/s?k=Govee+DreamView+G1+Pro+Gaming+Light" TargetMode="External" Id="rId688" /><Relationship Type="http://schemas.openxmlformats.org/officeDocument/2006/relationships/hyperlink" Target="https://www.noon.com/saudi-en/search/?q=Govee+DreamView+G1+Pro+Gaming+Light" TargetMode="External" Id="rId689" /><Relationship Type="http://schemas.openxmlformats.org/officeDocument/2006/relationships/hyperlink" Target="https://www.jarir.com/sa-en/catalogsearch/result/?q=Govee+DreamView+G1+Pro+Gaming+Light" TargetMode="External" Id="rId690" /><Relationship Type="http://schemas.openxmlformats.org/officeDocument/2006/relationships/hyperlink" Target="https://www.aliexpress.com/w/wholesale-Hikvision+DS-2CD2143G2-I.html" TargetMode="External" Id="rId691" /><Relationship Type="http://schemas.openxmlformats.org/officeDocument/2006/relationships/hyperlink" Target="https://www.ebay.com/sch/i.html?_nkw=Hikvision+DS-2CD2143G2-I&amp;_sop=15" TargetMode="External" Id="rId692" /><Relationship Type="http://schemas.openxmlformats.org/officeDocument/2006/relationships/hyperlink" Target="https://www.amazon.sa/s?k=Hikvision+DS-2CD2143G2-I" TargetMode="External" Id="rId693" /><Relationship Type="http://schemas.openxmlformats.org/officeDocument/2006/relationships/hyperlink" Target="https://www.noon.com/saudi-en/search/?q=Hikvision+DS-2CD2143G2-I" TargetMode="External" Id="rId694" /><Relationship Type="http://schemas.openxmlformats.org/officeDocument/2006/relationships/hyperlink" Target="https://www.jarir.com/sa-en/catalogsearch/result/?q=Hikvision+DS-2CD2143G2-I" TargetMode="External" Id="rId695" /><Relationship Type="http://schemas.openxmlformats.org/officeDocument/2006/relationships/hyperlink" Target="https://www.aliexpress.com/w/wholesale-Home+Assistant+Green.html" TargetMode="External" Id="rId696" /><Relationship Type="http://schemas.openxmlformats.org/officeDocument/2006/relationships/hyperlink" Target="https://www.ebay.com/sch/i.html?_nkw=Home+Assistant+Green&amp;_sop=15" TargetMode="External" Id="rId697" /><Relationship Type="http://schemas.openxmlformats.org/officeDocument/2006/relationships/hyperlink" Target="https://www.amazon.sa/s?k=Home+Assistant+Green" TargetMode="External" Id="rId698" /><Relationship Type="http://schemas.openxmlformats.org/officeDocument/2006/relationships/hyperlink" Target="https://www.noon.com/saudi-en/search/?q=Home+Assistant+Green" TargetMode="External" Id="rId699" /><Relationship Type="http://schemas.openxmlformats.org/officeDocument/2006/relationships/hyperlink" Target="https://www.jarir.com/sa-en/catalogsearch/result/?q=Home+Assistant+Green" TargetMode="External" Id="rId700" /><Relationship Type="http://schemas.openxmlformats.org/officeDocument/2006/relationships/hyperlink" Target="https://www.aliexpress.com/w/wholesale-Google+Nest+Hub.html" TargetMode="External" Id="rId701" /><Relationship Type="http://schemas.openxmlformats.org/officeDocument/2006/relationships/hyperlink" Target="https://www.ebay.com/sch/i.html?_nkw=Google+Nest+Hub&amp;_sop=15" TargetMode="External" Id="rId702" /><Relationship Type="http://schemas.openxmlformats.org/officeDocument/2006/relationships/hyperlink" Target="https://www.amazon.sa/s?k=Google+Nest+Hub" TargetMode="External" Id="rId703" /><Relationship Type="http://schemas.openxmlformats.org/officeDocument/2006/relationships/hyperlink" Target="https://www.noon.com/saudi-en/search/?q=Google+Nest+Hub" TargetMode="External" Id="rId704" /><Relationship Type="http://schemas.openxmlformats.org/officeDocument/2006/relationships/hyperlink" Target="https://www.jarir.com/sa-en/catalogsearch/result/?q=Google+Nest+Hub" TargetMode="External" Id="rId705" /><Relationship Type="http://schemas.openxmlformats.org/officeDocument/2006/relationships/hyperlink" Target="https://www.aliexpress.com/w/wholesale-Google+Nest+Audio.html" TargetMode="External" Id="rId706" /><Relationship Type="http://schemas.openxmlformats.org/officeDocument/2006/relationships/hyperlink" Target="https://www.ebay.com/sch/i.html?_nkw=Google+Nest+Audio&amp;_sop=15" TargetMode="External" Id="rId707" /><Relationship Type="http://schemas.openxmlformats.org/officeDocument/2006/relationships/hyperlink" Target="https://www.amazon.sa/s?k=Google+Nest+Audio" TargetMode="External" Id="rId708" /><Relationship Type="http://schemas.openxmlformats.org/officeDocument/2006/relationships/hyperlink" Target="https://www.noon.com/saudi-en/search/?q=Google+Nest+Audio" TargetMode="External" Id="rId709" /><Relationship Type="http://schemas.openxmlformats.org/officeDocument/2006/relationships/hyperlink" Target="https://www.jarir.com/sa-en/catalogsearch/result/?q=Google+Nest+Audio" TargetMode="External" Id="rId710" /><Relationship Type="http://schemas.openxmlformats.org/officeDocument/2006/relationships/hyperlink" Target="https://www.aliexpress.com/w/wholesale-Apple+HomePod+Mini.html" TargetMode="External" Id="rId711" /><Relationship Type="http://schemas.openxmlformats.org/officeDocument/2006/relationships/hyperlink" Target="https://www.ebay.com/sch/i.html?_nkw=Apple+HomePod+Mini&amp;_sop=15" TargetMode="External" Id="rId712" /><Relationship Type="http://schemas.openxmlformats.org/officeDocument/2006/relationships/hyperlink" Target="https://www.amazon.sa/s?k=Apple+HomePod+Mini" TargetMode="External" Id="rId713" /><Relationship Type="http://schemas.openxmlformats.org/officeDocument/2006/relationships/hyperlink" Target="https://www.noon.com/saudi-en/search/?q=Apple+HomePod+Mini" TargetMode="External" Id="rId714" /><Relationship Type="http://schemas.openxmlformats.org/officeDocument/2006/relationships/hyperlink" Target="https://www.jarir.com/sa-en/catalogsearch/result/?q=Apple+HomePod+Mini" TargetMode="External" Id="rId715" /><Relationship Type="http://schemas.openxmlformats.org/officeDocument/2006/relationships/hyperlink" Target="https://www.aliexpress.com/w/wholesale-Amazon+Echo.html" TargetMode="External" Id="rId716" /><Relationship Type="http://schemas.openxmlformats.org/officeDocument/2006/relationships/hyperlink" Target="https://www.ebay.com/sch/i.html?_nkw=Amazon+Echo&amp;_sop=15" TargetMode="External" Id="rId717" /><Relationship Type="http://schemas.openxmlformats.org/officeDocument/2006/relationships/hyperlink" Target="https://www.amazon.sa/s?k=Amazon+Echo" TargetMode="External" Id="rId718" /><Relationship Type="http://schemas.openxmlformats.org/officeDocument/2006/relationships/hyperlink" Target="https://www.noon.com/saudi-en/search/?q=Amazon+Echo" TargetMode="External" Id="rId719" /><Relationship Type="http://schemas.openxmlformats.org/officeDocument/2006/relationships/hyperlink" Target="https://www.jarir.com/sa-en/catalogsearch/result/?q=Amazon+Echo" TargetMode="External" Id="rId720" /><Relationship Type="http://schemas.openxmlformats.org/officeDocument/2006/relationships/hyperlink" Target="https://www.aliexpress.com/w/wholesale-ESP32-S3+DevKit+10-Pack.html" TargetMode="External" Id="rId721" /><Relationship Type="http://schemas.openxmlformats.org/officeDocument/2006/relationships/hyperlink" Target="https://www.ebay.com/sch/i.html?_nkw=ESP32-S3+DevKit+10-Pack&amp;_sop=15" TargetMode="External" Id="rId722" /><Relationship Type="http://schemas.openxmlformats.org/officeDocument/2006/relationships/hyperlink" Target="https://www.amazon.sa/s?k=ESP32-S3+DevKit+10-Pack" TargetMode="External" Id="rId723" /><Relationship Type="http://schemas.openxmlformats.org/officeDocument/2006/relationships/hyperlink" Target="https://www.noon.com/saudi-en/search/?q=ESP32-S3+DevKit+10-Pack" TargetMode="External" Id="rId724" /><Relationship Type="http://schemas.openxmlformats.org/officeDocument/2006/relationships/hyperlink" Target="https://www.jarir.com/sa-en/catalogsearch/result/?q=ESP32-S3+DevKit+10-Pack" TargetMode="External" Id="rId725" /><Relationship Type="http://schemas.openxmlformats.org/officeDocument/2006/relationships/hyperlink" Target="https://www.aliexpress.com/w/wholesale-Zemismart+Zigbee+Smart+Tubular+Motor.html" TargetMode="External" Id="rId726" /><Relationship Type="http://schemas.openxmlformats.org/officeDocument/2006/relationships/hyperlink" Target="https://www.ebay.com/sch/i.html?_nkw=Zemismart+Zigbee+Smart+Tubular+Motor&amp;_sop=15" TargetMode="External" Id="rId727" /><Relationship Type="http://schemas.openxmlformats.org/officeDocument/2006/relationships/hyperlink" Target="https://www.amazon.sa/s?k=Zemismart+Zigbee+Smart+Tubular+Motor" TargetMode="External" Id="rId728" /><Relationship Type="http://schemas.openxmlformats.org/officeDocument/2006/relationships/hyperlink" Target="https://www.noon.com/saudi-en/search/?q=Zemismart+Zigbee+Smart+Tubular+Motor" TargetMode="External" Id="rId729" /><Relationship Type="http://schemas.openxmlformats.org/officeDocument/2006/relationships/hyperlink" Target="https://www.jarir.com/sa-en/catalogsearch/result/?q=Zemismart+Zigbee+Smart+Tubular+Motor" TargetMode="External" Id="rId730" /><Relationship Type="http://schemas.openxmlformats.org/officeDocument/2006/relationships/hyperlink" Target="https://www.aliexpress.com/w/wholesale-SwitchBot+Curtain+3.html" TargetMode="External" Id="rId731" /><Relationship Type="http://schemas.openxmlformats.org/officeDocument/2006/relationships/hyperlink" Target="https://www.ebay.com/sch/i.html?_nkw=SwitchBot+Curtain+3&amp;_sop=15" TargetMode="External" Id="rId732" /><Relationship Type="http://schemas.openxmlformats.org/officeDocument/2006/relationships/hyperlink" Target="https://www.amazon.sa/s?k=SwitchBot+Curtain+3" TargetMode="External" Id="rId733" /><Relationship Type="http://schemas.openxmlformats.org/officeDocument/2006/relationships/hyperlink" Target="https://www.noon.com/saudi-en/search/?q=SwitchBot+Curtain+3" TargetMode="External" Id="rId734" /><Relationship Type="http://schemas.openxmlformats.org/officeDocument/2006/relationships/hyperlink" Target="https://www.jarir.com/sa-en/catalogsearch/result/?q=SwitchBot+Curtain+3" TargetMode="External" Id="rId735" /><Relationship Type="http://schemas.openxmlformats.org/officeDocument/2006/relationships/hyperlink" Target="https://www.aliexpress.com/w/wholesale-Razer+Basilisk+V3+X+HyperSpeed.html" TargetMode="External" Id="rId736" /><Relationship Type="http://schemas.openxmlformats.org/officeDocument/2006/relationships/hyperlink" Target="https://www.ebay.com/sch/i.html?_nkw=Razer+Basilisk+V3+X+HyperSpeed&amp;_sop=15" TargetMode="External" Id="rId737" /><Relationship Type="http://schemas.openxmlformats.org/officeDocument/2006/relationships/hyperlink" Target="https://www.amazon.sa/s?k=Razer+Basilisk+V3+X+HyperSpeed" TargetMode="External" Id="rId738" /><Relationship Type="http://schemas.openxmlformats.org/officeDocument/2006/relationships/hyperlink" Target="https://www.noon.com/saudi-en/search/?q=Razer+Basilisk+V3+X+HyperSpeed" TargetMode="External" Id="rId739" /><Relationship Type="http://schemas.openxmlformats.org/officeDocument/2006/relationships/hyperlink" Target="https://www.jarir.com/sa-en/catalogsearch/result/?q=Razer+Basilisk+V3+X+HyperSpeed" TargetMode="External" Id="rId740" /><Relationship Type="http://schemas.openxmlformats.org/officeDocument/2006/relationships/hyperlink" Target="https://www.aliexpress.com/w/wholesale-MikroTik+hEX+S.html" TargetMode="External" Id="rId741" /><Relationship Type="http://schemas.openxmlformats.org/officeDocument/2006/relationships/hyperlink" Target="https://www.ebay.com/sch/i.html?_nkw=MikroTik+hEX+S&amp;_sop=15" TargetMode="External" Id="rId742" /><Relationship Type="http://schemas.openxmlformats.org/officeDocument/2006/relationships/hyperlink" Target="https://www.amazon.sa/s?k=MikroTik+hEX+S" TargetMode="External" Id="rId743" /><Relationship Type="http://schemas.openxmlformats.org/officeDocument/2006/relationships/hyperlink" Target="https://www.noon.com/saudi-en/search/?q=MikroTik+hEX+S" TargetMode="External" Id="rId744" /><Relationship Type="http://schemas.openxmlformats.org/officeDocument/2006/relationships/hyperlink" Target="https://www.jarir.com/sa-en/catalogsearch/result/?q=MikroTik+hEX+S" TargetMode="External" Id="rId745" /><Relationship Type="http://schemas.openxmlformats.org/officeDocument/2006/relationships/hyperlink" Target="https://www.aliexpress.com/w/wholesale-TESmart+HKS0401A1U+4-Port+HDMI+KVM.html" TargetMode="External" Id="rId746" /><Relationship Type="http://schemas.openxmlformats.org/officeDocument/2006/relationships/hyperlink" Target="https://www.ebay.com/sch/i.html?_nkw=TESmart+HKS0401A1U+4-Port+HDMI+KVM&amp;_sop=15" TargetMode="External" Id="rId747" /><Relationship Type="http://schemas.openxmlformats.org/officeDocument/2006/relationships/hyperlink" Target="https://www.amazon.sa/s?k=TESmart+HKS0401A1U+4-Port+HDMI+KVM" TargetMode="External" Id="rId748" /><Relationship Type="http://schemas.openxmlformats.org/officeDocument/2006/relationships/hyperlink" Target="https://www.noon.com/saudi-en/search/?q=TESmart+HKS0401A1U+4-Port+HDMI+KVM" TargetMode="External" Id="rId749" /><Relationship Type="http://schemas.openxmlformats.org/officeDocument/2006/relationships/hyperlink" Target="https://www.jarir.com/sa-en/catalogsearch/result/?q=TESmart+HKS0401A1U+4-Port+HDMI+KVM" TargetMode="External" Id="rId750" /><Relationship Type="http://schemas.openxmlformats.org/officeDocument/2006/relationships/hyperlink" Target="https://www.aliexpress.com/w/wholesale-TP-Link+Omada+EAP610.html" TargetMode="External" Id="rId751" /><Relationship Type="http://schemas.openxmlformats.org/officeDocument/2006/relationships/hyperlink" Target="https://www.ebay.com/sch/i.html?_nkw=TP-Link+Omada+EAP610&amp;_sop=15" TargetMode="External" Id="rId752" /><Relationship Type="http://schemas.openxmlformats.org/officeDocument/2006/relationships/hyperlink" Target="https://www.amazon.sa/s?k=TP-Link+Omada+EAP610" TargetMode="External" Id="rId753" /><Relationship Type="http://schemas.openxmlformats.org/officeDocument/2006/relationships/hyperlink" Target="https://www.noon.com/saudi-en/search/?q=TP-Link+Omada+EAP610" TargetMode="External" Id="rId754" /><Relationship Type="http://schemas.openxmlformats.org/officeDocument/2006/relationships/hyperlink" Target="https://www.jarir.com/sa-en/catalogsearch/result/?q=TP-Link+Omada+EAP610" TargetMode="External" Id="rId755" /><Relationship Type="http://schemas.openxmlformats.org/officeDocument/2006/relationships/hyperlink" Target="https://www.aliexpress.com/w/wholesale-BIQU+H2+V2S+Direct+Drive+Extruder.html" TargetMode="External" Id="rId756" /><Relationship Type="http://schemas.openxmlformats.org/officeDocument/2006/relationships/hyperlink" Target="https://www.ebay.com/sch/i.html?_nkw=BIQU+H2+V2S+Direct+Drive+Extruder&amp;_sop=15" TargetMode="External" Id="rId757" /><Relationship Type="http://schemas.openxmlformats.org/officeDocument/2006/relationships/hyperlink" Target="https://www.amazon.sa/s?k=BIQU+H2+V2S+Direct+Drive+Extruder" TargetMode="External" Id="rId758" /><Relationship Type="http://schemas.openxmlformats.org/officeDocument/2006/relationships/hyperlink" Target="https://www.noon.com/saudi-en/search/?q=BIQU+H2+V2S+Direct+Drive+Extruder" TargetMode="External" Id="rId759" /><Relationship Type="http://schemas.openxmlformats.org/officeDocument/2006/relationships/hyperlink" Target="https://www.jarir.com/sa-en/catalogsearch/result/?q=BIQU+H2+V2S+Direct+Drive+Extruder" TargetMode="External" Id="rId760" /><Relationship Type="http://schemas.openxmlformats.org/officeDocument/2006/relationships/hyperlink" Target="https://www.aliexpress.com/w/wholesale-Anker+PowerConf+S330+USB+Speakerphone.html" TargetMode="External" Id="rId761" /><Relationship Type="http://schemas.openxmlformats.org/officeDocument/2006/relationships/hyperlink" Target="https://www.ebay.com/sch/i.html?_nkw=Anker+PowerConf+S330+USB+Speakerphone&amp;_sop=15" TargetMode="External" Id="rId762" /><Relationship Type="http://schemas.openxmlformats.org/officeDocument/2006/relationships/hyperlink" Target="https://www.amazon.sa/s?k=Anker+PowerConf+S330+USB+Speakerphone" TargetMode="External" Id="rId763" /><Relationship Type="http://schemas.openxmlformats.org/officeDocument/2006/relationships/hyperlink" Target="https://www.noon.com/saudi-en/search/?q=Anker+PowerConf+S330+USB+Speakerphone" TargetMode="External" Id="rId764" /><Relationship Type="http://schemas.openxmlformats.org/officeDocument/2006/relationships/hyperlink" Target="https://www.jarir.com/sa-en/catalogsearch/result/?q=Anker+PowerConf+S330+USB+Speakerphone" TargetMode="External" Id="rId765" /><Relationship Type="http://schemas.openxmlformats.org/officeDocument/2006/relationships/hyperlink" Target="https://www.aliexpress.com/w/wholesale-Aqara+Roller+Shade+Driver+E1.html" TargetMode="External" Id="rId766" /><Relationship Type="http://schemas.openxmlformats.org/officeDocument/2006/relationships/hyperlink" Target="https://www.ebay.com/sch/i.html?_nkw=Aqara+Roller+Shade+Driver+E1&amp;_sop=15" TargetMode="External" Id="rId767" /><Relationship Type="http://schemas.openxmlformats.org/officeDocument/2006/relationships/hyperlink" Target="https://www.amazon.sa/s?k=Aqara+Roller+Shade+Driver+E1" TargetMode="External" Id="rId768" /><Relationship Type="http://schemas.openxmlformats.org/officeDocument/2006/relationships/hyperlink" Target="https://www.noon.com/saudi-en/search/?q=Aqara+Roller+Shade+Driver+E1" TargetMode="External" Id="rId769" /><Relationship Type="http://schemas.openxmlformats.org/officeDocument/2006/relationships/hyperlink" Target="https://www.jarir.com/sa-en/catalogsearch/result/?q=Aqara+Roller+Shade+Driver+E1" TargetMode="External" Id="rId770" /><Relationship Type="http://schemas.openxmlformats.org/officeDocument/2006/relationships/hyperlink" Target="https://www.aliexpress.com/w/wholesale-Corsair+iCUE+LC100+Lighting+Panels.html" TargetMode="External" Id="rId771" /><Relationship Type="http://schemas.openxmlformats.org/officeDocument/2006/relationships/hyperlink" Target="https://www.ebay.com/sch/i.html?_nkw=Corsair+iCUE+LC100+Lighting+Panels&amp;_sop=15" TargetMode="External" Id="rId772" /><Relationship Type="http://schemas.openxmlformats.org/officeDocument/2006/relationships/hyperlink" Target="https://www.amazon.sa/s?k=Corsair+iCUE+LC100+Lighting+Panels" TargetMode="External" Id="rId773" /><Relationship Type="http://schemas.openxmlformats.org/officeDocument/2006/relationships/hyperlink" Target="https://www.noon.com/saudi-en/search/?q=Corsair+iCUE+LC100+Lighting+Panels" TargetMode="External" Id="rId774" /><Relationship Type="http://schemas.openxmlformats.org/officeDocument/2006/relationships/hyperlink" Target="https://www.jarir.com/sa-en/catalogsearch/result/?q=Corsair+iCUE+LC100+Lighting+Panels" TargetMode="External" Id="rId775" /><Relationship Type="http://schemas.openxmlformats.org/officeDocument/2006/relationships/hyperlink" Target="https://www.aliexpress.com/w/wholesale-Reolink+RLC-810A.html" TargetMode="External" Id="rId776" /><Relationship Type="http://schemas.openxmlformats.org/officeDocument/2006/relationships/hyperlink" Target="https://www.ebay.com/sch/i.html?_nkw=Reolink+RLC-810A&amp;_sop=15" TargetMode="External" Id="rId777" /><Relationship Type="http://schemas.openxmlformats.org/officeDocument/2006/relationships/hyperlink" Target="https://www.amazon.sa/s?k=Reolink+RLC-810A" TargetMode="External" Id="rId778" /><Relationship Type="http://schemas.openxmlformats.org/officeDocument/2006/relationships/hyperlink" Target="https://www.noon.com/saudi-en/search/?q=Reolink+RLC-810A" TargetMode="External" Id="rId779" /><Relationship Type="http://schemas.openxmlformats.org/officeDocument/2006/relationships/hyperlink" Target="https://www.jarir.com/sa-en/catalogsearch/result/?q=Reolink+RLC-810A" TargetMode="External" Id="rId780" /><Relationship Type="http://schemas.openxmlformats.org/officeDocument/2006/relationships/hyperlink" Target="https://www.aliexpress.com/w/wholesale-Arduino+Mega+2560+Rev3.html" TargetMode="External" Id="rId781" /><Relationship Type="http://schemas.openxmlformats.org/officeDocument/2006/relationships/hyperlink" Target="https://www.ebay.com/sch/i.html?_nkw=Arduino+Mega+2560+Rev3&amp;_sop=15" TargetMode="External" Id="rId782" /><Relationship Type="http://schemas.openxmlformats.org/officeDocument/2006/relationships/hyperlink" Target="https://www.amazon.sa/s?k=Arduino+Mega+2560+Rev3" TargetMode="External" Id="rId783" /><Relationship Type="http://schemas.openxmlformats.org/officeDocument/2006/relationships/hyperlink" Target="https://www.noon.com/saudi-en/search/?q=Arduino+Mega+2560+Rev3" TargetMode="External" Id="rId784" /><Relationship Type="http://schemas.openxmlformats.org/officeDocument/2006/relationships/hyperlink" Target="https://www.jarir.com/sa-en/catalogsearch/result/?q=Arduino+Mega+2560+Rev3" TargetMode="External" Id="rId785" /><Relationship Type="http://schemas.openxmlformats.org/officeDocument/2006/relationships/hyperlink" Target="https://www.aliexpress.com/w/wholesale-Ubiquiti+EdgeRouter+X.html" TargetMode="External" Id="rId786" /><Relationship Type="http://schemas.openxmlformats.org/officeDocument/2006/relationships/hyperlink" Target="https://www.ebay.com/sch/i.html?_nkw=Ubiquiti+EdgeRouter+X&amp;_sop=15" TargetMode="External" Id="rId787" /><Relationship Type="http://schemas.openxmlformats.org/officeDocument/2006/relationships/hyperlink" Target="https://www.amazon.sa/s?k=Ubiquiti+EdgeRouter+X" TargetMode="External" Id="rId788" /><Relationship Type="http://schemas.openxmlformats.org/officeDocument/2006/relationships/hyperlink" Target="https://www.noon.com/saudi-en/search/?q=Ubiquiti+EdgeRouter+X" TargetMode="External" Id="rId789" /><Relationship Type="http://schemas.openxmlformats.org/officeDocument/2006/relationships/hyperlink" Target="https://www.jarir.com/sa-en/catalogsearch/result/?q=Ubiquiti+EdgeRouter+X" TargetMode="External" Id="rId790" /><Relationship Type="http://schemas.openxmlformats.org/officeDocument/2006/relationships/hyperlink" Target="https://www.aliexpress.com/w/wholesale-SwitchBot+Curtain+3.html" TargetMode="External" Id="rId791" /><Relationship Type="http://schemas.openxmlformats.org/officeDocument/2006/relationships/hyperlink" Target="https://www.ebay.com/sch/i.html?_nkw=SwitchBot+Curtain+3&amp;_sop=15" TargetMode="External" Id="rId792" /><Relationship Type="http://schemas.openxmlformats.org/officeDocument/2006/relationships/hyperlink" Target="https://www.amazon.sa/s?k=SwitchBot+Curtain+3" TargetMode="External" Id="rId793" /><Relationship Type="http://schemas.openxmlformats.org/officeDocument/2006/relationships/hyperlink" Target="https://www.noon.com/saudi-en/search/?q=SwitchBot+Curtain+3" TargetMode="External" Id="rId794" /><Relationship Type="http://schemas.openxmlformats.org/officeDocument/2006/relationships/hyperlink" Target="https://www.jarir.com/sa-en/catalogsearch/result/?q=SwitchBot+Curtain+3" TargetMode="External" Id="rId795" /><Relationship Type="http://schemas.openxmlformats.org/officeDocument/2006/relationships/hyperlink" Target="https://www.aliexpress.com/w/wholesale-Aqara+Hub+M2.html" TargetMode="External" Id="rId796" /><Relationship Type="http://schemas.openxmlformats.org/officeDocument/2006/relationships/hyperlink" Target="https://www.ebay.com/sch/i.html?_nkw=Aqara+Hub+M2&amp;_sop=15" TargetMode="External" Id="rId797" /><Relationship Type="http://schemas.openxmlformats.org/officeDocument/2006/relationships/hyperlink" Target="https://www.amazon.sa/s?k=Aqara+Hub+M2" TargetMode="External" Id="rId798" /><Relationship Type="http://schemas.openxmlformats.org/officeDocument/2006/relationships/hyperlink" Target="https://www.noon.com/saudi-en/search/?q=Aqara+Hub+M2" TargetMode="External" Id="rId799" /><Relationship Type="http://schemas.openxmlformats.org/officeDocument/2006/relationships/hyperlink" Target="https://www.jarir.com/sa-en/catalogsearch/result/?q=Aqara+Hub+M2" TargetMode="External" Id="rId800" /><Relationship Type="http://schemas.openxmlformats.org/officeDocument/2006/relationships/hyperlink" Target="https://www.aliexpress.com/w/wholesale-Baseus+Blade+100W+Power+Bank.html" TargetMode="External" Id="rId801" /><Relationship Type="http://schemas.openxmlformats.org/officeDocument/2006/relationships/hyperlink" Target="https://www.ebay.com/sch/i.html?_nkw=Baseus+Blade+100W+Power+Bank&amp;_sop=15" TargetMode="External" Id="rId802" /><Relationship Type="http://schemas.openxmlformats.org/officeDocument/2006/relationships/hyperlink" Target="https://www.amazon.sa/s?k=Baseus+Blade+100W+Power+Bank" TargetMode="External" Id="rId803" /><Relationship Type="http://schemas.openxmlformats.org/officeDocument/2006/relationships/hyperlink" Target="https://www.noon.com/saudi-en/search/?q=Baseus+Blade+100W+Power+Bank" TargetMode="External" Id="rId804" /><Relationship Type="http://schemas.openxmlformats.org/officeDocument/2006/relationships/hyperlink" Target="https://www.jarir.com/sa-en/catalogsearch/result/?q=Baseus+Blade+100W+Power+Bank" TargetMode="External" Id="rId805" /><Relationship Type="http://schemas.openxmlformats.org/officeDocument/2006/relationships/hyperlink" Target="https://www.aliexpress.com/w/wholesale-SwitchBot+Blind+Tilt.html" TargetMode="External" Id="rId806" /><Relationship Type="http://schemas.openxmlformats.org/officeDocument/2006/relationships/hyperlink" Target="https://www.ebay.com/sch/i.html?_nkw=SwitchBot+Blind+Tilt&amp;_sop=15" TargetMode="External" Id="rId807" /><Relationship Type="http://schemas.openxmlformats.org/officeDocument/2006/relationships/hyperlink" Target="https://www.amazon.sa/s?k=SwitchBot+Blind+Tilt" TargetMode="External" Id="rId808" /><Relationship Type="http://schemas.openxmlformats.org/officeDocument/2006/relationships/hyperlink" Target="https://www.noon.com/saudi-en/search/?q=SwitchBot+Blind+Tilt" TargetMode="External" Id="rId809" /><Relationship Type="http://schemas.openxmlformats.org/officeDocument/2006/relationships/hyperlink" Target="https://www.jarir.com/sa-en/catalogsearch/result/?q=SwitchBot+Blind+Tilt" TargetMode="External" Id="rId810" /><Relationship Type="http://schemas.openxmlformats.org/officeDocument/2006/relationships/hyperlink" Target="https://www.aliexpress.com/w/wholesale-SwitchBot+Hub+2.html" TargetMode="External" Id="rId811" /><Relationship Type="http://schemas.openxmlformats.org/officeDocument/2006/relationships/hyperlink" Target="https://www.ebay.com/sch/i.html?_nkw=SwitchBot+Hub+2&amp;_sop=15" TargetMode="External" Id="rId812" /><Relationship Type="http://schemas.openxmlformats.org/officeDocument/2006/relationships/hyperlink" Target="https://www.amazon.sa/s?k=SwitchBot+Hub+2" TargetMode="External" Id="rId813" /><Relationship Type="http://schemas.openxmlformats.org/officeDocument/2006/relationships/hyperlink" Target="https://www.noon.com/saudi-en/search/?q=SwitchBot+Hub+2" TargetMode="External" Id="rId814" /><Relationship Type="http://schemas.openxmlformats.org/officeDocument/2006/relationships/hyperlink" Target="https://www.jarir.com/sa-en/catalogsearch/result/?q=SwitchBot+Hub+2" TargetMode="External" Id="rId815" /><Relationship Type="http://schemas.openxmlformats.org/officeDocument/2006/relationships/hyperlink" Target="https://www.aliexpress.com/w/wholesale-Ring+Indoor+Cam.html" TargetMode="External" Id="rId816" /><Relationship Type="http://schemas.openxmlformats.org/officeDocument/2006/relationships/hyperlink" Target="https://www.ebay.com/sch/i.html?_nkw=Ring+Indoor+Cam&amp;_sop=15" TargetMode="External" Id="rId817" /><Relationship Type="http://schemas.openxmlformats.org/officeDocument/2006/relationships/hyperlink" Target="https://www.amazon.sa/s?k=Ring+Indoor+Cam" TargetMode="External" Id="rId818" /><Relationship Type="http://schemas.openxmlformats.org/officeDocument/2006/relationships/hyperlink" Target="https://www.noon.com/saudi-en/search/?q=Ring+Indoor+Cam" TargetMode="External" Id="rId819" /><Relationship Type="http://schemas.openxmlformats.org/officeDocument/2006/relationships/hyperlink" Target="https://www.jarir.com/sa-en/catalogsearch/result/?q=Ring+Indoor+Cam" TargetMode="External" Id="rId820" /><Relationship Type="http://schemas.openxmlformats.org/officeDocument/2006/relationships/hyperlink" Target="https://www.aliexpress.com/w/wholesale-JSAUX+6-in-1+Dock.html" TargetMode="External" Id="rId821" /><Relationship Type="http://schemas.openxmlformats.org/officeDocument/2006/relationships/hyperlink" Target="https://www.ebay.com/sch/i.html?_nkw=JSAUX+6-in-1+Dock&amp;_sop=15" TargetMode="External" Id="rId822" /><Relationship Type="http://schemas.openxmlformats.org/officeDocument/2006/relationships/hyperlink" Target="https://www.amazon.sa/s?k=JSAUX+6-in-1+Dock" TargetMode="External" Id="rId823" /><Relationship Type="http://schemas.openxmlformats.org/officeDocument/2006/relationships/hyperlink" Target="https://www.noon.com/saudi-en/search/?q=JSAUX+6-in-1+Dock" TargetMode="External" Id="rId824" /><Relationship Type="http://schemas.openxmlformats.org/officeDocument/2006/relationships/hyperlink" Target="https://www.jarir.com/sa-en/catalogsearch/result/?q=JSAUX+6-in-1+Dock" TargetMode="External" Id="rId825" /><Relationship Type="http://schemas.openxmlformats.org/officeDocument/2006/relationships/hyperlink" Target="https://www.aliexpress.com/w/wholesale-Ugreen+Nexode+100W+GaN+Charger.html" TargetMode="External" Id="rId826" /><Relationship Type="http://schemas.openxmlformats.org/officeDocument/2006/relationships/hyperlink" Target="https://www.ebay.com/sch/i.html?_nkw=Ugreen+Nexode+100W+GaN+Charger&amp;_sop=15" TargetMode="External" Id="rId827" /><Relationship Type="http://schemas.openxmlformats.org/officeDocument/2006/relationships/hyperlink" Target="https://www.amazon.sa/s?k=Ugreen+Nexode+100W+GaN+Charger" TargetMode="External" Id="rId828" /><Relationship Type="http://schemas.openxmlformats.org/officeDocument/2006/relationships/hyperlink" Target="https://www.noon.com/saudi-en/search/?q=Ugreen+Nexode+100W+GaN+Charger" TargetMode="External" Id="rId829" /><Relationship Type="http://schemas.openxmlformats.org/officeDocument/2006/relationships/hyperlink" Target="https://www.jarir.com/sa-en/catalogsearch/result/?q=Ugreen+Nexode+100W+GaN+Charger" TargetMode="External" Id="rId830" /><Relationship Type="http://schemas.openxmlformats.org/officeDocument/2006/relationships/hyperlink" Target="https://www.aliexpress.com/w/wholesale-Cable+Matters+Thunderbolt+4+Cable.html" TargetMode="External" Id="rId831" /><Relationship Type="http://schemas.openxmlformats.org/officeDocument/2006/relationships/hyperlink" Target="https://www.ebay.com/sch/i.html?_nkw=Cable+Matters+Thunderbolt+4+Cable&amp;_sop=15" TargetMode="External" Id="rId832" /><Relationship Type="http://schemas.openxmlformats.org/officeDocument/2006/relationships/hyperlink" Target="https://www.amazon.sa/s?k=Cable+Matters+Thunderbolt+4+Cable" TargetMode="External" Id="rId833" /><Relationship Type="http://schemas.openxmlformats.org/officeDocument/2006/relationships/hyperlink" Target="https://www.noon.com/saudi-en/search/?q=Cable+Matters+Thunderbolt+4+Cable" TargetMode="External" Id="rId834" /><Relationship Type="http://schemas.openxmlformats.org/officeDocument/2006/relationships/hyperlink" Target="https://www.jarir.com/sa-en/catalogsearch/result/?q=Cable+Matters+Thunderbolt+4+Cable" TargetMode="External" Id="rId835" /><Relationship Type="http://schemas.openxmlformats.org/officeDocument/2006/relationships/hyperlink" Target="https://www.aliexpress.com/w/wholesale-Mark+Ryden+Anti-theft+Laptop+Backpack.html" TargetMode="External" Id="rId836" /><Relationship Type="http://schemas.openxmlformats.org/officeDocument/2006/relationships/hyperlink" Target="https://www.ebay.com/sch/i.html?_nkw=Mark+Ryden+Anti-theft+Laptop+Backpack&amp;_sop=15" TargetMode="External" Id="rId837" /><Relationship Type="http://schemas.openxmlformats.org/officeDocument/2006/relationships/hyperlink" Target="https://www.amazon.sa/s?k=Mark+Ryden+Anti-theft+Laptop+Backpack" TargetMode="External" Id="rId838" /><Relationship Type="http://schemas.openxmlformats.org/officeDocument/2006/relationships/hyperlink" Target="https://www.noon.com/saudi-en/search/?q=Mark+Ryden+Anti-theft+Laptop+Backpack" TargetMode="External" Id="rId839" /><Relationship Type="http://schemas.openxmlformats.org/officeDocument/2006/relationships/hyperlink" Target="https://www.jarir.com/sa-en/catalogsearch/result/?q=Mark+Ryden+Anti-theft+Laptop+Backpack" TargetMode="External" Id="rId840" /><Relationship Type="http://schemas.openxmlformats.org/officeDocument/2006/relationships/hyperlink" Target="https://www.aliexpress.com/w/wholesale-Govee+RGBIC+LED+Strip+M1.html" TargetMode="External" Id="rId841" /><Relationship Type="http://schemas.openxmlformats.org/officeDocument/2006/relationships/hyperlink" Target="https://www.ebay.com/sch/i.html?_nkw=Govee+RGBIC+LED+Strip+M1&amp;_sop=15" TargetMode="External" Id="rId842" /><Relationship Type="http://schemas.openxmlformats.org/officeDocument/2006/relationships/hyperlink" Target="https://www.amazon.sa/s?k=Govee+RGBIC+LED+Strip+M1" TargetMode="External" Id="rId843" /><Relationship Type="http://schemas.openxmlformats.org/officeDocument/2006/relationships/hyperlink" Target="https://www.noon.com/saudi-en/search/?q=Govee+RGBIC+LED+Strip+M1" TargetMode="External" Id="rId844" /><Relationship Type="http://schemas.openxmlformats.org/officeDocument/2006/relationships/hyperlink" Target="https://www.jarir.com/sa-en/catalogsearch/result/?q=Govee+RGBIC+LED+Strip+M1" TargetMode="External" Id="rId845" /><Relationship Type="http://schemas.openxmlformats.org/officeDocument/2006/relationships/hyperlink" Target="https://www.aliexpress.com/w/wholesale-Amazon+Echo+Dot.html" TargetMode="External" Id="rId846" /><Relationship Type="http://schemas.openxmlformats.org/officeDocument/2006/relationships/hyperlink" Target="https://www.ebay.com/sch/i.html?_nkw=Amazon+Echo+Dot&amp;_sop=15" TargetMode="External" Id="rId847" /><Relationship Type="http://schemas.openxmlformats.org/officeDocument/2006/relationships/hyperlink" Target="https://www.amazon.sa/s?k=Amazon+Echo+Dot" TargetMode="External" Id="rId848" /><Relationship Type="http://schemas.openxmlformats.org/officeDocument/2006/relationships/hyperlink" Target="https://www.noon.com/saudi-en/search/?q=Amazon+Echo+Dot" TargetMode="External" Id="rId849" /><Relationship Type="http://schemas.openxmlformats.org/officeDocument/2006/relationships/hyperlink" Target="https://www.jarir.com/sa-en/catalogsearch/result/?q=Amazon+Echo+Dot" TargetMode="External" Id="rId850" /><Relationship Type="http://schemas.openxmlformats.org/officeDocument/2006/relationships/hyperlink" Target="https://www.aliexpress.com/w/wholesale-Eve+Energy+Smart+Plug.html" TargetMode="External" Id="rId851" /><Relationship Type="http://schemas.openxmlformats.org/officeDocument/2006/relationships/hyperlink" Target="https://www.ebay.com/sch/i.html?_nkw=Eve+Energy+Smart+Plug&amp;_sop=15" TargetMode="External" Id="rId852" /><Relationship Type="http://schemas.openxmlformats.org/officeDocument/2006/relationships/hyperlink" Target="https://www.amazon.sa/s?k=Eve+Energy+Smart+Plug" TargetMode="External" Id="rId853" /><Relationship Type="http://schemas.openxmlformats.org/officeDocument/2006/relationships/hyperlink" Target="https://www.noon.com/saudi-en/search/?q=Eve+Energy+Smart+Plug" TargetMode="External" Id="rId854" /><Relationship Type="http://schemas.openxmlformats.org/officeDocument/2006/relationships/hyperlink" Target="https://www.jarir.com/sa-en/catalogsearch/result/?q=Eve+Energy+Smart+Plug" TargetMode="External" Id="rId855" /><Relationship Type="http://schemas.openxmlformats.org/officeDocument/2006/relationships/hyperlink" Target="https://www.aliexpress.com/w/wholesale-Apple+Gift+Card+%24100.html" TargetMode="External" Id="rId856" /><Relationship Type="http://schemas.openxmlformats.org/officeDocument/2006/relationships/hyperlink" Target="https://www.ebay.com/sch/i.html?_nkw=Apple+Gift+Card+%24100&amp;_sop=15" TargetMode="External" Id="rId857" /><Relationship Type="http://schemas.openxmlformats.org/officeDocument/2006/relationships/hyperlink" Target="https://www.amazon.sa/s?k=Apple+Gift+Card+%24100" TargetMode="External" Id="rId858" /><Relationship Type="http://schemas.openxmlformats.org/officeDocument/2006/relationships/hyperlink" Target="https://www.noon.com/saudi-en/search/?q=Apple+Gift+Card+%24100" TargetMode="External" Id="rId859" /><Relationship Type="http://schemas.openxmlformats.org/officeDocument/2006/relationships/hyperlink" Target="https://www.jarir.com/sa-en/catalogsearch/result/?q=Apple+Gift+Card+%24100" TargetMode="External" Id="rId860" /><Relationship Type="http://schemas.openxmlformats.org/officeDocument/2006/relationships/hyperlink" Target="https://www.aliexpress.com/w/wholesale-Netflix+Gift+Card+%24100.html" TargetMode="External" Id="rId861" /><Relationship Type="http://schemas.openxmlformats.org/officeDocument/2006/relationships/hyperlink" Target="https://www.ebay.com/sch/i.html?_nkw=Netflix+Gift+Card+%24100&amp;_sop=15" TargetMode="External" Id="rId862" /><Relationship Type="http://schemas.openxmlformats.org/officeDocument/2006/relationships/hyperlink" Target="https://www.amazon.sa/s?k=Netflix+Gift+Card+%24100" TargetMode="External" Id="rId863" /><Relationship Type="http://schemas.openxmlformats.org/officeDocument/2006/relationships/hyperlink" Target="https://www.noon.com/saudi-en/search/?q=Netflix+Gift+Card+%24100" TargetMode="External" Id="rId864" /><Relationship Type="http://schemas.openxmlformats.org/officeDocument/2006/relationships/hyperlink" Target="https://www.jarir.com/sa-en/catalogsearch/result/?q=Netflix+Gift+Card+%24100" TargetMode="External" Id="rId865" /><Relationship Type="http://schemas.openxmlformats.org/officeDocument/2006/relationships/hyperlink" Target="https://www.aliexpress.com/w/wholesale-MOES+Zigbee+Smart+Thermostat.html" TargetMode="External" Id="rId866" /><Relationship Type="http://schemas.openxmlformats.org/officeDocument/2006/relationships/hyperlink" Target="https://www.ebay.com/sch/i.html?_nkw=MOES+Zigbee+Smart+Thermostat&amp;_sop=15" TargetMode="External" Id="rId867" /><Relationship Type="http://schemas.openxmlformats.org/officeDocument/2006/relationships/hyperlink" Target="https://www.amazon.sa/s?k=MOES+Zigbee+Smart+Thermostat" TargetMode="External" Id="rId868" /><Relationship Type="http://schemas.openxmlformats.org/officeDocument/2006/relationships/hyperlink" Target="https://www.noon.com/saudi-en/search/?q=MOES+Zigbee+Smart+Thermostat" TargetMode="External" Id="rId869" /><Relationship Type="http://schemas.openxmlformats.org/officeDocument/2006/relationships/hyperlink" Target="https://www.jarir.com/sa-en/catalogsearch/result/?q=MOES+Zigbee+Smart+Thermostat" TargetMode="External" Id="rId870" /><Relationship Type="http://schemas.openxmlformats.org/officeDocument/2006/relationships/hyperlink" Target="https://www.aliexpress.com/w/wholesale-Anker+735+GaN+65W+Charger.html" TargetMode="External" Id="rId871" /><Relationship Type="http://schemas.openxmlformats.org/officeDocument/2006/relationships/hyperlink" Target="https://www.ebay.com/sch/i.html?_nkw=Anker+735+GaN+65W+Charger&amp;_sop=15" TargetMode="External" Id="rId872" /><Relationship Type="http://schemas.openxmlformats.org/officeDocument/2006/relationships/hyperlink" Target="https://www.amazon.sa/s?k=Anker+735+GaN+65W+Charger" TargetMode="External" Id="rId873" /><Relationship Type="http://schemas.openxmlformats.org/officeDocument/2006/relationships/hyperlink" Target="https://www.noon.com/saudi-en/search/?q=Anker+735+GaN+65W+Charger" TargetMode="External" Id="rId874" /><Relationship Type="http://schemas.openxmlformats.org/officeDocument/2006/relationships/hyperlink" Target="https://www.jarir.com/sa-en/catalogsearch/result/?q=Anker+735+GaN+65W+Charger" TargetMode="External" Id="rId875" /><Relationship Type="http://schemas.openxmlformats.org/officeDocument/2006/relationships/hyperlink" Target="https://www.aliexpress.com/w/wholesale-HDMI+2.1+8K+Fiber+Optic+Cable.html" TargetMode="External" Id="rId876" /><Relationship Type="http://schemas.openxmlformats.org/officeDocument/2006/relationships/hyperlink" Target="https://www.ebay.com/sch/i.html?_nkw=HDMI+2.1+8K+Fiber+Optic+Cable&amp;_sop=15" TargetMode="External" Id="rId877" /><Relationship Type="http://schemas.openxmlformats.org/officeDocument/2006/relationships/hyperlink" Target="https://www.amazon.sa/s?k=HDMI+2.1+8K+Fiber+Optic+Cable" TargetMode="External" Id="rId878" /><Relationship Type="http://schemas.openxmlformats.org/officeDocument/2006/relationships/hyperlink" Target="https://www.noon.com/saudi-en/search/?q=HDMI+2.1+8K+Fiber+Optic+Cable" TargetMode="External" Id="rId879" /><Relationship Type="http://schemas.openxmlformats.org/officeDocument/2006/relationships/hyperlink" Target="https://www.jarir.com/sa-en/catalogsearch/result/?q=HDMI+2.1+8K+Fiber+Optic+Cable" TargetMode="External" Id="rId880" /><Relationship Type="http://schemas.openxmlformats.org/officeDocument/2006/relationships/hyperlink" Target="https://www.aliexpress.com/w/wholesale-Broadlink+RM4+Pro.html" TargetMode="External" Id="rId881" /><Relationship Type="http://schemas.openxmlformats.org/officeDocument/2006/relationships/hyperlink" Target="https://www.ebay.com/sch/i.html?_nkw=Broadlink+RM4+Pro&amp;_sop=15" TargetMode="External" Id="rId882" /><Relationship Type="http://schemas.openxmlformats.org/officeDocument/2006/relationships/hyperlink" Target="https://www.amazon.sa/s?k=Broadlink+RM4+Pro" TargetMode="External" Id="rId883" /><Relationship Type="http://schemas.openxmlformats.org/officeDocument/2006/relationships/hyperlink" Target="https://www.noon.com/saudi-en/search/?q=Broadlink+RM4+Pro" TargetMode="External" Id="rId884" /><Relationship Type="http://schemas.openxmlformats.org/officeDocument/2006/relationships/hyperlink" Target="https://www.jarir.com/sa-en/catalogsearch/result/?q=Broadlink+RM4+Pro" TargetMode="External" Id="rId885" /><Relationship Type="http://schemas.openxmlformats.org/officeDocument/2006/relationships/hyperlink" Target="https://www.aliexpress.com/w/wholesale-Microsoft+Office+2024+Pro+Plus.html" TargetMode="External" Id="rId886" /><Relationship Type="http://schemas.openxmlformats.org/officeDocument/2006/relationships/hyperlink" Target="https://www.ebay.com/sch/i.html?_nkw=Microsoft+Office+2024+Pro+Plus&amp;_sop=15" TargetMode="External" Id="rId887" /><Relationship Type="http://schemas.openxmlformats.org/officeDocument/2006/relationships/hyperlink" Target="https://www.amazon.sa/s?k=Microsoft+Office+2024+Pro+Plus" TargetMode="External" Id="rId888" /><Relationship Type="http://schemas.openxmlformats.org/officeDocument/2006/relationships/hyperlink" Target="https://www.noon.com/saudi-en/search/?q=Microsoft+Office+2024+Pro+Plus" TargetMode="External" Id="rId889" /><Relationship Type="http://schemas.openxmlformats.org/officeDocument/2006/relationships/hyperlink" Target="https://www.jarir.com/sa-en/catalogsearch/result/?q=Microsoft+Office+2024+Pro+Plus" TargetMode="External" Id="rId890" /><Relationship Type="http://schemas.openxmlformats.org/officeDocument/2006/relationships/hyperlink" Target="https://www.aliexpress.com/w/wholesale-Anker+USB-C+Hub+7-in-1.html" TargetMode="External" Id="rId891" /><Relationship Type="http://schemas.openxmlformats.org/officeDocument/2006/relationships/hyperlink" Target="https://www.ebay.com/sch/i.html?_nkw=Anker+USB-C+Hub+7-in-1&amp;_sop=15" TargetMode="External" Id="rId892" /><Relationship Type="http://schemas.openxmlformats.org/officeDocument/2006/relationships/hyperlink" Target="https://www.amazon.sa/s?k=Anker+USB-C+Hub+7-in-1" TargetMode="External" Id="rId893" /><Relationship Type="http://schemas.openxmlformats.org/officeDocument/2006/relationships/hyperlink" Target="https://www.noon.com/saudi-en/search/?q=Anker+USB-C+Hub+7-in-1" TargetMode="External" Id="rId894" /><Relationship Type="http://schemas.openxmlformats.org/officeDocument/2006/relationships/hyperlink" Target="https://www.jarir.com/sa-en/catalogsearch/result/?q=Anker+USB-C+Hub+7-in-1" TargetMode="External" Id="rId895" /><Relationship Type="http://schemas.openxmlformats.org/officeDocument/2006/relationships/hyperlink" Target="https://www.aliexpress.com/w/wholesale-8BitDo+Ultimate+C+Bluetooth+Controller.html" TargetMode="External" Id="rId896" /><Relationship Type="http://schemas.openxmlformats.org/officeDocument/2006/relationships/hyperlink" Target="https://www.ebay.com/sch/i.html?_nkw=8BitDo+Ultimate+C+Bluetooth+Controller&amp;_sop=15" TargetMode="External" Id="rId897" /><Relationship Type="http://schemas.openxmlformats.org/officeDocument/2006/relationships/hyperlink" Target="https://www.amazon.sa/s?k=8BitDo+Ultimate+C+Bluetooth+Controller" TargetMode="External" Id="rId898" /><Relationship Type="http://schemas.openxmlformats.org/officeDocument/2006/relationships/hyperlink" Target="https://www.noon.com/saudi-en/search/?q=8BitDo+Ultimate+C+Bluetooth+Controller" TargetMode="External" Id="rId899" /><Relationship Type="http://schemas.openxmlformats.org/officeDocument/2006/relationships/hyperlink" Target="https://www.jarir.com/sa-en/catalogsearch/result/?q=8BitDo+Ultimate+C+Bluetooth+Controller" TargetMode="External" Id="rId900" /><Relationship Type="http://schemas.openxmlformats.org/officeDocument/2006/relationships/hyperlink" Target="https://www.aliexpress.com/w/wholesale-TP-Link+TL-SG1005P+5-Port+PoE.html" TargetMode="External" Id="rId901" /><Relationship Type="http://schemas.openxmlformats.org/officeDocument/2006/relationships/hyperlink" Target="https://www.ebay.com/sch/i.html?_nkw=TP-Link+TL-SG1005P+5-Port+PoE&amp;_sop=15" TargetMode="External" Id="rId902" /><Relationship Type="http://schemas.openxmlformats.org/officeDocument/2006/relationships/hyperlink" Target="https://www.amazon.sa/s?k=TP-Link+TL-SG1005P+5-Port+PoE" TargetMode="External" Id="rId903" /><Relationship Type="http://schemas.openxmlformats.org/officeDocument/2006/relationships/hyperlink" Target="https://www.noon.com/saudi-en/search/?q=TP-Link+TL-SG1005P+5-Port+PoE" TargetMode="External" Id="rId904" /><Relationship Type="http://schemas.openxmlformats.org/officeDocument/2006/relationships/hyperlink" Target="https://www.jarir.com/sa-en/catalogsearch/result/?q=TP-Link+TL-SG1005P+5-Port+PoE" TargetMode="External" Id="rId905" /><Relationship Type="http://schemas.openxmlformats.org/officeDocument/2006/relationships/hyperlink" Target="https://www.aliexpress.com/w/wholesale-SteelSeries+QcK+Heavy+XXL.html" TargetMode="External" Id="rId906" /><Relationship Type="http://schemas.openxmlformats.org/officeDocument/2006/relationships/hyperlink" Target="https://www.ebay.com/sch/i.html?_nkw=SteelSeries+QcK+Heavy+XXL&amp;_sop=15" TargetMode="External" Id="rId907" /><Relationship Type="http://schemas.openxmlformats.org/officeDocument/2006/relationships/hyperlink" Target="https://www.amazon.sa/s?k=SteelSeries+QcK+Heavy+XXL" TargetMode="External" Id="rId908" /><Relationship Type="http://schemas.openxmlformats.org/officeDocument/2006/relationships/hyperlink" Target="https://www.noon.com/saudi-en/search/?q=SteelSeries+QcK+Heavy+XXL" TargetMode="External" Id="rId909" /><Relationship Type="http://schemas.openxmlformats.org/officeDocument/2006/relationships/hyperlink" Target="https://www.jarir.com/sa-en/catalogsearch/result/?q=SteelSeries+QcK+Heavy+XXL" TargetMode="External" Id="rId910" /><Relationship Type="http://schemas.openxmlformats.org/officeDocument/2006/relationships/hyperlink" Target="https://www.aliexpress.com/w/wholesale-LIFX+Color+A19+1100lm+Bulb.html" TargetMode="External" Id="rId911" /><Relationship Type="http://schemas.openxmlformats.org/officeDocument/2006/relationships/hyperlink" Target="https://www.ebay.com/sch/i.html?_nkw=LIFX+Color+A19+1100lm+Bulb&amp;_sop=15" TargetMode="External" Id="rId912" /><Relationship Type="http://schemas.openxmlformats.org/officeDocument/2006/relationships/hyperlink" Target="https://www.amazon.sa/s?k=LIFX+Color+A19+1100lm+Bulb" TargetMode="External" Id="rId913" /><Relationship Type="http://schemas.openxmlformats.org/officeDocument/2006/relationships/hyperlink" Target="https://www.noon.com/saudi-en/search/?q=LIFX+Color+A19+1100lm+Bulb" TargetMode="External" Id="rId914" /><Relationship Type="http://schemas.openxmlformats.org/officeDocument/2006/relationships/hyperlink" Target="https://www.jarir.com/sa-en/catalogsearch/result/?q=LIFX+Color+A19+1100lm+Bulb" TargetMode="External" Id="rId915" /><Relationship Type="http://schemas.openxmlformats.org/officeDocument/2006/relationships/hyperlink" Target="https://www.aliexpress.com/w/wholesale-SwitchBot+Bot.html" TargetMode="External" Id="rId916" /><Relationship Type="http://schemas.openxmlformats.org/officeDocument/2006/relationships/hyperlink" Target="https://www.ebay.com/sch/i.html?_nkw=SwitchBot+Bot&amp;_sop=15" TargetMode="External" Id="rId917" /><Relationship Type="http://schemas.openxmlformats.org/officeDocument/2006/relationships/hyperlink" Target="https://www.amazon.sa/s?k=SwitchBot+Bot" TargetMode="External" Id="rId918" /><Relationship Type="http://schemas.openxmlformats.org/officeDocument/2006/relationships/hyperlink" Target="https://www.noon.com/saudi-en/search/?q=SwitchBot+Bot" TargetMode="External" Id="rId919" /><Relationship Type="http://schemas.openxmlformats.org/officeDocument/2006/relationships/hyperlink" Target="https://www.jarir.com/sa-en/catalogsearch/result/?q=SwitchBot+Bot" TargetMode="External" Id="rId920" /><Relationship Type="http://schemas.openxmlformats.org/officeDocument/2006/relationships/hyperlink" Target="https://www.aliexpress.com/w/wholesale-Aqara+Motion+Sensor+P1.html" TargetMode="External" Id="rId921" /><Relationship Type="http://schemas.openxmlformats.org/officeDocument/2006/relationships/hyperlink" Target="https://www.ebay.com/sch/i.html?_nkw=Aqara+Motion+Sensor+P1&amp;_sop=15" TargetMode="External" Id="rId922" /><Relationship Type="http://schemas.openxmlformats.org/officeDocument/2006/relationships/hyperlink" Target="https://www.amazon.sa/s?k=Aqara+Motion+Sensor+P1" TargetMode="External" Id="rId923" /><Relationship Type="http://schemas.openxmlformats.org/officeDocument/2006/relationships/hyperlink" Target="https://www.noon.com/saudi-en/search/?q=Aqara+Motion+Sensor+P1" TargetMode="External" Id="rId924" /><Relationship Type="http://schemas.openxmlformats.org/officeDocument/2006/relationships/hyperlink" Target="https://www.jarir.com/sa-en/catalogsearch/result/?q=Aqara+Motion+Sensor+P1" TargetMode="External" Id="rId925" /><Relationship Type="http://schemas.openxmlformats.org/officeDocument/2006/relationships/hyperlink" Target="https://www.aliexpress.com/w/wholesale-Sonoff+TX+Ultimate+Smart+Wall+Switch.html" TargetMode="External" Id="rId926" /><Relationship Type="http://schemas.openxmlformats.org/officeDocument/2006/relationships/hyperlink" Target="https://www.ebay.com/sch/i.html?_nkw=Sonoff+TX+Ultimate+Smart+Wall+Switch&amp;_sop=15" TargetMode="External" Id="rId927" /><Relationship Type="http://schemas.openxmlformats.org/officeDocument/2006/relationships/hyperlink" Target="https://www.amazon.sa/s?k=Sonoff+TX+Ultimate+Smart+Wall+Switch" TargetMode="External" Id="rId928" /><Relationship Type="http://schemas.openxmlformats.org/officeDocument/2006/relationships/hyperlink" Target="https://www.noon.com/saudi-en/search/?q=Sonoff+TX+Ultimate+Smart+Wall+Switch" TargetMode="External" Id="rId929" /><Relationship Type="http://schemas.openxmlformats.org/officeDocument/2006/relationships/hyperlink" Target="https://www.jarir.com/sa-en/catalogsearch/result/?q=Sonoff+TX+Ultimate+Smart+Wall+Switch" TargetMode="External" Id="rId930" /><Relationship Type="http://schemas.openxmlformats.org/officeDocument/2006/relationships/hyperlink" Target="https://www.aliexpress.com/w/wholesale-NavePoint+1U+Cantilever+Rack+Shelf.html" TargetMode="External" Id="rId931" /><Relationship Type="http://schemas.openxmlformats.org/officeDocument/2006/relationships/hyperlink" Target="https://www.ebay.com/sch/i.html?_nkw=NavePoint+1U+Cantilever+Rack+Shelf&amp;_sop=15" TargetMode="External" Id="rId932" /><Relationship Type="http://schemas.openxmlformats.org/officeDocument/2006/relationships/hyperlink" Target="https://www.amazon.sa/s?k=NavePoint+1U+Cantilever+Rack+Shelf" TargetMode="External" Id="rId933" /><Relationship Type="http://schemas.openxmlformats.org/officeDocument/2006/relationships/hyperlink" Target="https://www.noon.com/saudi-en/search/?q=NavePoint+1U+Cantilever+Rack+Shelf" TargetMode="External" Id="rId934" /><Relationship Type="http://schemas.openxmlformats.org/officeDocument/2006/relationships/hyperlink" Target="https://www.jarir.com/sa-en/catalogsearch/result/?q=NavePoint+1U+Cantilever+Rack+Shelf" TargetMode="External" Id="rId935" /><Relationship Type="http://schemas.openxmlformats.org/officeDocument/2006/relationships/hyperlink" Target="https://www.aliexpress.com/w/wholesale-Ugreen+5-in-1+USB-C+Dock.html" TargetMode="External" Id="rId936" /><Relationship Type="http://schemas.openxmlformats.org/officeDocument/2006/relationships/hyperlink" Target="https://www.ebay.com/sch/i.html?_nkw=Ugreen+5-in-1+USB-C+Dock&amp;_sop=15" TargetMode="External" Id="rId937" /><Relationship Type="http://schemas.openxmlformats.org/officeDocument/2006/relationships/hyperlink" Target="https://www.amazon.sa/s?k=Ugreen+5-in-1+USB-C+Dock" TargetMode="External" Id="rId938" /><Relationship Type="http://schemas.openxmlformats.org/officeDocument/2006/relationships/hyperlink" Target="https://www.noon.com/saudi-en/search/?q=Ugreen+5-in-1+USB-C+Dock" TargetMode="External" Id="rId939" /><Relationship Type="http://schemas.openxmlformats.org/officeDocument/2006/relationships/hyperlink" Target="https://www.jarir.com/sa-en/catalogsearch/result/?q=Ugreen+5-in-1+USB-C+Dock" TargetMode="External" Id="rId940" /><Relationship Type="http://schemas.openxmlformats.org/officeDocument/2006/relationships/hyperlink" Target="https://www.aliexpress.com/w/wholesale-Cable+Matters+24-Port+Cat6+Patch+Panel.html" TargetMode="External" Id="rId941" /><Relationship Type="http://schemas.openxmlformats.org/officeDocument/2006/relationships/hyperlink" Target="https://www.ebay.com/sch/i.html?_nkw=Cable+Matters+24-Port+Cat6+Patch+Panel&amp;_sop=15" TargetMode="External" Id="rId942" /><Relationship Type="http://schemas.openxmlformats.org/officeDocument/2006/relationships/hyperlink" Target="https://www.amazon.sa/s?k=Cable+Matters+24-Port+Cat6+Patch+Panel" TargetMode="External" Id="rId943" /><Relationship Type="http://schemas.openxmlformats.org/officeDocument/2006/relationships/hyperlink" Target="https://www.noon.com/saudi-en/search/?q=Cable+Matters+24-Port+Cat6+Patch+Panel" TargetMode="External" Id="rId944" /><Relationship Type="http://schemas.openxmlformats.org/officeDocument/2006/relationships/hyperlink" Target="https://www.jarir.com/sa-en/catalogsearch/result/?q=Cable+Matters+24-Port+Cat6+Patch+Panel" TargetMode="External" Id="rId945" /><Relationship Type="http://schemas.openxmlformats.org/officeDocument/2006/relationships/hyperlink" Target="https://www.aliexpress.com/w/wholesale-SwitchBot+Bot.html" TargetMode="External" Id="rId946" /><Relationship Type="http://schemas.openxmlformats.org/officeDocument/2006/relationships/hyperlink" Target="https://www.ebay.com/sch/i.html?_nkw=SwitchBot+Bot&amp;_sop=15" TargetMode="External" Id="rId947" /><Relationship Type="http://schemas.openxmlformats.org/officeDocument/2006/relationships/hyperlink" Target="https://www.amazon.sa/s?k=SwitchBot+Bot" TargetMode="External" Id="rId948" /><Relationship Type="http://schemas.openxmlformats.org/officeDocument/2006/relationships/hyperlink" Target="https://www.noon.com/saudi-en/search/?q=SwitchBot+Bot" TargetMode="External" Id="rId949" /><Relationship Type="http://schemas.openxmlformats.org/officeDocument/2006/relationships/hyperlink" Target="https://www.jarir.com/sa-en/catalogsearch/result/?q=SwitchBot+Bot" TargetMode="External" Id="rId950" /><Relationship Type="http://schemas.openxmlformats.org/officeDocument/2006/relationships/hyperlink" Target="https://www.aliexpress.com/w/wholesale-DAC+SFP%2B+10G+Direct+Attach+Cable.html" TargetMode="External" Id="rId951" /><Relationship Type="http://schemas.openxmlformats.org/officeDocument/2006/relationships/hyperlink" Target="https://www.ebay.com/sch/i.html?_nkw=DAC+SFP%2B+10G+Direct+Attach+Cable&amp;_sop=15" TargetMode="External" Id="rId952" /><Relationship Type="http://schemas.openxmlformats.org/officeDocument/2006/relationships/hyperlink" Target="https://www.amazon.sa/s?k=DAC+SFP%2B+10G+Direct+Attach+Cable" TargetMode="External" Id="rId953" /><Relationship Type="http://schemas.openxmlformats.org/officeDocument/2006/relationships/hyperlink" Target="https://www.noon.com/saudi-en/search/?q=DAC+SFP%2B+10G+Direct+Attach+Cable" TargetMode="External" Id="rId954" /><Relationship Type="http://schemas.openxmlformats.org/officeDocument/2006/relationships/hyperlink" Target="https://www.jarir.com/sa-en/catalogsearch/result/?q=DAC+SFP%2B+10G+Direct+Attach+Cable" TargetMode="External" Id="rId955" /><Relationship Type="http://schemas.openxmlformats.org/officeDocument/2006/relationships/hyperlink" Target="https://www.aliexpress.com/w/wholesale-TP-Link+TL-SG108E.html" TargetMode="External" Id="rId956" /><Relationship Type="http://schemas.openxmlformats.org/officeDocument/2006/relationships/hyperlink" Target="https://www.ebay.com/sch/i.html?_nkw=TP-Link+TL-SG108E&amp;_sop=15" TargetMode="External" Id="rId957" /><Relationship Type="http://schemas.openxmlformats.org/officeDocument/2006/relationships/hyperlink" Target="https://www.amazon.sa/s?k=TP-Link+TL-SG108E" TargetMode="External" Id="rId958" /><Relationship Type="http://schemas.openxmlformats.org/officeDocument/2006/relationships/hyperlink" Target="https://www.noon.com/saudi-en/search/?q=TP-Link+TL-SG108E" TargetMode="External" Id="rId959" /><Relationship Type="http://schemas.openxmlformats.org/officeDocument/2006/relationships/hyperlink" Target="https://www.jarir.com/sa-en/catalogsearch/result/?q=TP-Link+TL-SG108E" TargetMode="External" Id="rId960" /><Relationship Type="http://schemas.openxmlformats.org/officeDocument/2006/relationships/hyperlink" Target="https://www.aliexpress.com/w/wholesale-Ugreen+USB-C+to+HDMI+2.1+Cable.html" TargetMode="External" Id="rId961" /><Relationship Type="http://schemas.openxmlformats.org/officeDocument/2006/relationships/hyperlink" Target="https://www.ebay.com/sch/i.html?_nkw=Ugreen+USB-C+to+HDMI+2.1+Cable&amp;_sop=15" TargetMode="External" Id="rId962" /><Relationship Type="http://schemas.openxmlformats.org/officeDocument/2006/relationships/hyperlink" Target="https://www.amazon.sa/s?k=Ugreen+USB-C+to+HDMI+2.1+Cable" TargetMode="External" Id="rId963" /><Relationship Type="http://schemas.openxmlformats.org/officeDocument/2006/relationships/hyperlink" Target="https://www.noon.com/saudi-en/search/?q=Ugreen+USB-C+to+HDMI+2.1+Cable" TargetMode="External" Id="rId964" /><Relationship Type="http://schemas.openxmlformats.org/officeDocument/2006/relationships/hyperlink" Target="https://www.jarir.com/sa-en/catalogsearch/result/?q=Ugreen+USB-C+to+HDMI+2.1+Cable" TargetMode="External" Id="rId965" /><Relationship Type="http://schemas.openxmlformats.org/officeDocument/2006/relationships/hyperlink" Target="https://www.aliexpress.com/w/wholesale-Ubiquiti+UniFi+USW-Flex-Mini.html" TargetMode="External" Id="rId966" /><Relationship Type="http://schemas.openxmlformats.org/officeDocument/2006/relationships/hyperlink" Target="https://www.ebay.com/sch/i.html?_nkw=Ubiquiti+UniFi+USW-Flex-Mini&amp;_sop=15" TargetMode="External" Id="rId967" /><Relationship Type="http://schemas.openxmlformats.org/officeDocument/2006/relationships/hyperlink" Target="https://www.amazon.sa/s?k=Ubiquiti+UniFi+USW-Flex-Mini" TargetMode="External" Id="rId968" /><Relationship Type="http://schemas.openxmlformats.org/officeDocument/2006/relationships/hyperlink" Target="https://www.noon.com/saudi-en/search/?q=Ubiquiti+UniFi+USW-Flex-Mini" TargetMode="External" Id="rId969" /><Relationship Type="http://schemas.openxmlformats.org/officeDocument/2006/relationships/hyperlink" Target="https://www.jarir.com/sa-en/catalogsearch/result/?q=Ubiquiti+UniFi+USW-Flex-Mini" TargetMode="External" Id="rId970" /><Relationship Type="http://schemas.openxmlformats.org/officeDocument/2006/relationships/hyperlink" Target="https://www.aliexpress.com/w/wholesale-Aqara+Water+Leak+Sensor.html" TargetMode="External" Id="rId971" /><Relationship Type="http://schemas.openxmlformats.org/officeDocument/2006/relationships/hyperlink" Target="https://www.ebay.com/sch/i.html?_nkw=Aqara+Water+Leak+Sensor&amp;_sop=15" TargetMode="External" Id="rId972" /><Relationship Type="http://schemas.openxmlformats.org/officeDocument/2006/relationships/hyperlink" Target="https://www.amazon.sa/s?k=Aqara+Water+Leak+Sensor" TargetMode="External" Id="rId973" /><Relationship Type="http://schemas.openxmlformats.org/officeDocument/2006/relationships/hyperlink" Target="https://www.noon.com/saudi-en/search/?q=Aqara+Water+Leak+Sensor" TargetMode="External" Id="rId974" /><Relationship Type="http://schemas.openxmlformats.org/officeDocument/2006/relationships/hyperlink" Target="https://www.jarir.com/sa-en/catalogsearch/result/?q=Aqara+Water+Leak+Sensor" TargetMode="External" Id="rId975" /><Relationship Type="http://schemas.openxmlformats.org/officeDocument/2006/relationships/hyperlink" Target="https://www.aliexpress.com/w/wholesale-Netgear+GS308E.html" TargetMode="External" Id="rId976" /><Relationship Type="http://schemas.openxmlformats.org/officeDocument/2006/relationships/hyperlink" Target="https://www.ebay.com/sch/i.html?_nkw=Netgear+GS308E&amp;_sop=15" TargetMode="External" Id="rId977" /><Relationship Type="http://schemas.openxmlformats.org/officeDocument/2006/relationships/hyperlink" Target="https://www.amazon.sa/s?k=Netgear+GS308E" TargetMode="External" Id="rId978" /><Relationship Type="http://schemas.openxmlformats.org/officeDocument/2006/relationships/hyperlink" Target="https://www.noon.com/saudi-en/search/?q=Netgear+GS308E" TargetMode="External" Id="rId979" /><Relationship Type="http://schemas.openxmlformats.org/officeDocument/2006/relationships/hyperlink" Target="https://www.jarir.com/sa-en/catalogsearch/result/?q=Netgear+GS308E" TargetMode="External" Id="rId980" /><Relationship Type="http://schemas.openxmlformats.org/officeDocument/2006/relationships/hyperlink" Target="https://www.aliexpress.com/w/wholesale-Google+Play+%2450+Gift+Card.html" TargetMode="External" Id="rId981" /><Relationship Type="http://schemas.openxmlformats.org/officeDocument/2006/relationships/hyperlink" Target="https://www.ebay.com/sch/i.html?_nkw=Google+Play+%2450+Gift+Card&amp;_sop=15" TargetMode="External" Id="rId982" /><Relationship Type="http://schemas.openxmlformats.org/officeDocument/2006/relationships/hyperlink" Target="https://www.amazon.sa/s?k=Google+Play+%2450+Gift+Card" TargetMode="External" Id="rId983" /><Relationship Type="http://schemas.openxmlformats.org/officeDocument/2006/relationships/hyperlink" Target="https://www.noon.com/saudi-en/search/?q=Google+Play+%2450+Gift+Card" TargetMode="External" Id="rId984" /><Relationship Type="http://schemas.openxmlformats.org/officeDocument/2006/relationships/hyperlink" Target="https://www.jarir.com/sa-en/catalogsearch/result/?q=Google+Play+%2450+Gift+Card" TargetMode="External" Id="rId985" /><Relationship Type="http://schemas.openxmlformats.org/officeDocument/2006/relationships/hyperlink" Target="https://www.aliexpress.com/w/wholesale-Steam+Wallet+%2450+Gift+Card.html" TargetMode="External" Id="rId986" /><Relationship Type="http://schemas.openxmlformats.org/officeDocument/2006/relationships/hyperlink" Target="https://www.ebay.com/sch/i.html?_nkw=Steam+Wallet+%2450+Gift+Card&amp;_sop=15" TargetMode="External" Id="rId987" /><Relationship Type="http://schemas.openxmlformats.org/officeDocument/2006/relationships/hyperlink" Target="https://www.amazon.sa/s?k=Steam+Wallet+%2450+Gift+Card" TargetMode="External" Id="rId988" /><Relationship Type="http://schemas.openxmlformats.org/officeDocument/2006/relationships/hyperlink" Target="https://www.noon.com/saudi-en/search/?q=Steam+Wallet+%2450+Gift+Card" TargetMode="External" Id="rId989" /><Relationship Type="http://schemas.openxmlformats.org/officeDocument/2006/relationships/hyperlink" Target="https://www.jarir.com/sa-en/catalogsearch/result/?q=Steam+Wallet+%2450+Gift+Card" TargetMode="External" Id="rId990" /><Relationship Type="http://schemas.openxmlformats.org/officeDocument/2006/relationships/hyperlink" Target="https://www.aliexpress.com/w/wholesale-PlayStation+Store+%2450+Gift+Card.html" TargetMode="External" Id="rId991" /><Relationship Type="http://schemas.openxmlformats.org/officeDocument/2006/relationships/hyperlink" Target="https://www.ebay.com/sch/i.html?_nkw=PlayStation+Store+%2450+Gift+Card&amp;_sop=15" TargetMode="External" Id="rId992" /><Relationship Type="http://schemas.openxmlformats.org/officeDocument/2006/relationships/hyperlink" Target="https://www.amazon.sa/s?k=PlayStation+Store+%2450+Gift+Card" TargetMode="External" Id="rId993" /><Relationship Type="http://schemas.openxmlformats.org/officeDocument/2006/relationships/hyperlink" Target="https://www.noon.com/saudi-en/search/?q=PlayStation+Store+%2450+Gift+Card" TargetMode="External" Id="rId994" /><Relationship Type="http://schemas.openxmlformats.org/officeDocument/2006/relationships/hyperlink" Target="https://www.jarir.com/sa-en/catalogsearch/result/?q=PlayStation+Store+%2450+Gift+Card" TargetMode="External" Id="rId995" /><Relationship Type="http://schemas.openxmlformats.org/officeDocument/2006/relationships/hyperlink" Target="https://www.aliexpress.com/w/wholesale-Windows+11+Pro+License+Key.html" TargetMode="External" Id="rId996" /><Relationship Type="http://schemas.openxmlformats.org/officeDocument/2006/relationships/hyperlink" Target="https://www.ebay.com/sch/i.html?_nkw=Windows+11+Pro+License+Key&amp;_sop=15" TargetMode="External" Id="rId997" /><Relationship Type="http://schemas.openxmlformats.org/officeDocument/2006/relationships/hyperlink" Target="https://www.amazon.sa/s?k=Windows+11+Pro+License+Key" TargetMode="External" Id="rId998" /><Relationship Type="http://schemas.openxmlformats.org/officeDocument/2006/relationships/hyperlink" Target="https://www.noon.com/saudi-en/search/?q=Windows+11+Pro+License+Key" TargetMode="External" Id="rId999" /><Relationship Type="http://schemas.openxmlformats.org/officeDocument/2006/relationships/hyperlink" Target="https://www.jarir.com/sa-en/catalogsearch/result/?q=Windows+11+Pro+License+Key" TargetMode="External" Id="rId1000" /><Relationship Type="http://schemas.openxmlformats.org/officeDocument/2006/relationships/hyperlink" Target="https://www.aliexpress.com/w/wholesale-Shelly+Plus+1PM.html" TargetMode="External" Id="rId1001" /><Relationship Type="http://schemas.openxmlformats.org/officeDocument/2006/relationships/hyperlink" Target="https://www.ebay.com/sch/i.html?_nkw=Shelly+Plus+1PM&amp;_sop=15" TargetMode="External" Id="rId1002" /><Relationship Type="http://schemas.openxmlformats.org/officeDocument/2006/relationships/hyperlink" Target="https://www.amazon.sa/s?k=Shelly+Plus+1PM" TargetMode="External" Id="rId1003" /><Relationship Type="http://schemas.openxmlformats.org/officeDocument/2006/relationships/hyperlink" Target="https://www.noon.com/saudi-en/search/?q=Shelly+Plus+1PM" TargetMode="External" Id="rId1004" /><Relationship Type="http://schemas.openxmlformats.org/officeDocument/2006/relationships/hyperlink" Target="https://www.jarir.com/sa-en/catalogsearch/result/?q=Shelly+Plus+1PM" TargetMode="External" Id="rId1005" /><Relationship Type="http://schemas.openxmlformats.org/officeDocument/2006/relationships/hyperlink" Target="https://www.aliexpress.com/w/wholesale-Meross+Smart+Plug+Mini+MSS110.html" TargetMode="External" Id="rId1006" /><Relationship Type="http://schemas.openxmlformats.org/officeDocument/2006/relationships/hyperlink" Target="https://www.ebay.com/sch/i.html?_nkw=Meross+Smart+Plug+Mini+MSS110&amp;_sop=15" TargetMode="External" Id="rId1007" /><Relationship Type="http://schemas.openxmlformats.org/officeDocument/2006/relationships/hyperlink" Target="https://www.amazon.sa/s?k=Meross+Smart+Plug+Mini+MSS110" TargetMode="External" Id="rId1008" /><Relationship Type="http://schemas.openxmlformats.org/officeDocument/2006/relationships/hyperlink" Target="https://www.noon.com/saudi-en/search/?q=Meross+Smart+Plug+Mini+MSS110" TargetMode="External" Id="rId1009" /><Relationship Type="http://schemas.openxmlformats.org/officeDocument/2006/relationships/hyperlink" Target="https://www.jarir.com/sa-en/catalogsearch/result/?q=Meross+Smart+Plug+Mini+MSS110" TargetMode="External" Id="rId1010" /><Relationship Type="http://schemas.openxmlformats.org/officeDocument/2006/relationships/hyperlink" Target="https://www.aliexpress.com/w/wholesale-Sonoff+SNZB-02D+Zigbee+Temperature+%26amp%3B+Humidity+Sensor+with+LCD+Display.html" TargetMode="External" Id="rId1011" /><Relationship Type="http://schemas.openxmlformats.org/officeDocument/2006/relationships/hyperlink" Target="https://www.ebay.com/sch/i.html?_nkw=Sonoff+SNZB-02D+Zigbee+Temperature+%26amp%3B+Humidity+Sensor+with+LCD+Display&amp;_sop=15" TargetMode="External" Id="rId1012" /><Relationship Type="http://schemas.openxmlformats.org/officeDocument/2006/relationships/hyperlink" Target="https://www.amazon.sa/s?k=Sonoff+SNZB-02D+Zigbee+Temperature+%26amp%3B+Humidity+Sensor+with+LCD+Display" TargetMode="External" Id="rId1013" /><Relationship Type="http://schemas.openxmlformats.org/officeDocument/2006/relationships/hyperlink" Target="https://www.noon.com/saudi-en/search/?q=Sonoff+SNZB-02D+Zigbee+Temperature+%26amp%3B+Humidity+Sensor+with+LCD+Display" TargetMode="External" Id="rId1014" /><Relationship Type="http://schemas.openxmlformats.org/officeDocument/2006/relationships/hyperlink" Target="https://www.jarir.com/sa-en/catalogsearch/result/?q=Sonoff+SNZB-02D+Zigbee+Temperature+%26amp%3B+Humidity+Sensor+with+LCD+Display" TargetMode="External" Id="rId1015" /><Relationship Type="http://schemas.openxmlformats.org/officeDocument/2006/relationships/hyperlink" Target="https://www.aliexpress.com/w/wholesale-Xbox+Game+Pass+Ultimate+3+Months.html" TargetMode="External" Id="rId1016" /><Relationship Type="http://schemas.openxmlformats.org/officeDocument/2006/relationships/hyperlink" Target="https://www.ebay.com/sch/i.html?_nkw=Xbox+Game+Pass+Ultimate+3+Months&amp;_sop=15" TargetMode="External" Id="rId1017" /><Relationship Type="http://schemas.openxmlformats.org/officeDocument/2006/relationships/hyperlink" Target="https://www.amazon.sa/s?k=Xbox+Game+Pass+Ultimate+3+Months" TargetMode="External" Id="rId1018" /><Relationship Type="http://schemas.openxmlformats.org/officeDocument/2006/relationships/hyperlink" Target="https://www.noon.com/saudi-en/search/?q=Xbox+Game+Pass+Ultimate+3+Months" TargetMode="External" Id="rId1019" /><Relationship Type="http://schemas.openxmlformats.org/officeDocument/2006/relationships/hyperlink" Target="https://www.jarir.com/sa-en/catalogsearch/result/?q=Xbox+Game+Pass+Ultimate+3+Months" TargetMode="External" Id="rId1020" /><Relationship Type="http://schemas.openxmlformats.org/officeDocument/2006/relationships/hyperlink" Target="https://www.aliexpress.com/w/wholesale-TP-Link+Tapo+P125M+Smart+Plug.html" TargetMode="External" Id="rId1021" /><Relationship Type="http://schemas.openxmlformats.org/officeDocument/2006/relationships/hyperlink" Target="https://www.ebay.com/sch/i.html?_nkw=TP-Link+Tapo+P125M+Smart+Plug&amp;_sop=15" TargetMode="External" Id="rId1022" /><Relationship Type="http://schemas.openxmlformats.org/officeDocument/2006/relationships/hyperlink" Target="https://www.amazon.sa/s?k=TP-Link+Tapo+P125M+Smart+Plug" TargetMode="External" Id="rId1023" /><Relationship Type="http://schemas.openxmlformats.org/officeDocument/2006/relationships/hyperlink" Target="https://www.noon.com/saudi-en/search/?q=TP-Link+Tapo+P125M+Smart+Plug" TargetMode="External" Id="rId1024" /><Relationship Type="http://schemas.openxmlformats.org/officeDocument/2006/relationships/hyperlink" Target="https://www.jarir.com/sa-en/catalogsearch/result/?q=TP-Link+Tapo+P125M+Smart+Plug" TargetMode="External" Id="rId1025" /><Relationship Type="http://schemas.openxmlformats.org/officeDocument/2006/relationships/hyperlink" Target="https://www.aliexpress.com/w/wholesale-Ugreen+Cat+8+Ethernet+Cable.html" TargetMode="External" Id="rId1026" /><Relationship Type="http://schemas.openxmlformats.org/officeDocument/2006/relationships/hyperlink" Target="https://www.ebay.com/sch/i.html?_nkw=Ugreen+Cat+8+Ethernet+Cable&amp;_sop=15" TargetMode="External" Id="rId1027" /><Relationship Type="http://schemas.openxmlformats.org/officeDocument/2006/relationships/hyperlink" Target="https://www.amazon.sa/s?k=Ugreen+Cat+8+Ethernet+Cable" TargetMode="External" Id="rId1028" /><Relationship Type="http://schemas.openxmlformats.org/officeDocument/2006/relationships/hyperlink" Target="https://www.noon.com/saudi-en/search/?q=Ugreen+Cat+8+Ethernet+Cable" TargetMode="External" Id="rId1029" /><Relationship Type="http://schemas.openxmlformats.org/officeDocument/2006/relationships/hyperlink" Target="https://www.jarir.com/sa-en/catalogsearch/result/?q=Ugreen+Cat+8+Ethernet+Cable" TargetMode="External" Id="rId1030" /><Relationship Type="http://schemas.openxmlformats.org/officeDocument/2006/relationships/hyperlink" Target="https://www.aliexpress.com/w/wholesale-10G+SFP%2B+DAC+Twinax+Cable.html" TargetMode="External" Id="rId1031" /><Relationship Type="http://schemas.openxmlformats.org/officeDocument/2006/relationships/hyperlink" Target="https://www.ebay.com/sch/i.html?_nkw=10G+SFP%2B+DAC+Twinax+Cable&amp;_sop=15" TargetMode="External" Id="rId1032" /><Relationship Type="http://schemas.openxmlformats.org/officeDocument/2006/relationships/hyperlink" Target="https://www.amazon.sa/s?k=10G+SFP%2B+DAC+Twinax+Cable" TargetMode="External" Id="rId1033" /><Relationship Type="http://schemas.openxmlformats.org/officeDocument/2006/relationships/hyperlink" Target="https://www.noon.com/saudi-en/search/?q=10G+SFP%2B+DAC+Twinax+Cable" TargetMode="External" Id="rId1034" /><Relationship Type="http://schemas.openxmlformats.org/officeDocument/2006/relationships/hyperlink" Target="https://www.jarir.com/sa-en/catalogsearch/result/?q=10G+SFP%2B+DAC+Twinax+Cable" TargetMode="External" Id="rId1035" /><Relationship Type="http://schemas.openxmlformats.org/officeDocument/2006/relationships/hyperlink" Target="https://www.aliexpress.com/w/wholesale-FS.com+10GBASE-SR+SFP%2B+Transceiver.html" TargetMode="External" Id="rId1036" /><Relationship Type="http://schemas.openxmlformats.org/officeDocument/2006/relationships/hyperlink" Target="https://www.ebay.com/sch/i.html?_nkw=FS.com+10GBASE-SR+SFP%2B+Transceiver&amp;_sop=15" TargetMode="External" Id="rId1037" /><Relationship Type="http://schemas.openxmlformats.org/officeDocument/2006/relationships/hyperlink" Target="https://www.amazon.sa/s?k=FS.com+10GBASE-SR+SFP%2B+Transceiver" TargetMode="External" Id="rId1038" /><Relationship Type="http://schemas.openxmlformats.org/officeDocument/2006/relationships/hyperlink" Target="https://www.noon.com/saudi-en/search/?q=FS.com+10GBASE-SR+SFP%2B+Transceiver" TargetMode="External" Id="rId1039" /><Relationship Type="http://schemas.openxmlformats.org/officeDocument/2006/relationships/hyperlink" Target="https://www.jarir.com/sa-en/catalogsearch/result/?q=FS.com+10GBASE-SR+SFP%2B+Transceiver" TargetMode="External" Id="rId1040" /><Relationship Type="http://schemas.openxmlformats.org/officeDocument/2006/relationships/hyperlink" Target="https://www.aliexpress.com/w/wholesale-Kaspersky+Total+Security+1+Year.html" TargetMode="External" Id="rId1041" /><Relationship Type="http://schemas.openxmlformats.org/officeDocument/2006/relationships/hyperlink" Target="https://www.ebay.com/sch/i.html?_nkw=Kaspersky+Total+Security+1+Year&amp;_sop=15" TargetMode="External" Id="rId1042" /><Relationship Type="http://schemas.openxmlformats.org/officeDocument/2006/relationships/hyperlink" Target="https://www.amazon.sa/s?k=Kaspersky+Total+Security+1+Year" TargetMode="External" Id="rId1043" /><Relationship Type="http://schemas.openxmlformats.org/officeDocument/2006/relationships/hyperlink" Target="https://www.noon.com/saudi-en/search/?q=Kaspersky+Total+Security+1+Year" TargetMode="External" Id="rId1044" /><Relationship Type="http://schemas.openxmlformats.org/officeDocument/2006/relationships/hyperlink" Target="https://www.jarir.com/sa-en/catalogsearch/result/?q=Kaspersky+Total+Security+1+Year" TargetMode="External" Id="rId1045" /><Relationship Type="http://schemas.openxmlformats.org/officeDocument/2006/relationships/hyperlink" Target="https://www.aliexpress.com/w/wholesale-Baseus+USB-C+100W+Charging+Cable.html" TargetMode="External" Id="rId1046" /><Relationship Type="http://schemas.openxmlformats.org/officeDocument/2006/relationships/hyperlink" Target="https://www.ebay.com/sch/i.html?_nkw=Baseus+USB-C+100W+Charging+Cable&amp;_sop=15" TargetMode="External" Id="rId1047" /><Relationship Type="http://schemas.openxmlformats.org/officeDocument/2006/relationships/hyperlink" Target="https://www.amazon.sa/s?k=Baseus+USB-C+100W+Charging+Cable" TargetMode="External" Id="rId1048" /><Relationship Type="http://schemas.openxmlformats.org/officeDocument/2006/relationships/hyperlink" Target="https://www.noon.com/saudi-en/search/?q=Baseus+USB-C+100W+Charging+Cable" TargetMode="External" Id="rId1049" /><Relationship Type="http://schemas.openxmlformats.org/officeDocument/2006/relationships/hyperlink" Target="https://www.jarir.com/sa-en/catalogsearch/result/?q=Baseus+USB-C+100W+Charging+Cable" TargetMode="External" Id="rId105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liexpress.com/w/wholesale-Gigabyte+AORUS+RTX+5090+Master+32GB.html" TargetMode="External" Id="rId1" /><Relationship Type="http://schemas.openxmlformats.org/officeDocument/2006/relationships/hyperlink" Target="https://www.ebay.com/sch/i.html?_nkw=Gigabyte+AORUS+RTX+5090+Master+32GB&amp;_sop=15" TargetMode="External" Id="rId2" /><Relationship Type="http://schemas.openxmlformats.org/officeDocument/2006/relationships/hyperlink" Target="https://www.amazon.sa/s?k=Gigabyte+AORUS+RTX+5090+Master+32GB" TargetMode="External" Id="rId3" /><Relationship Type="http://schemas.openxmlformats.org/officeDocument/2006/relationships/hyperlink" Target="https://www.noon.com/saudi-en/search/?q=Gigabyte+AORUS+RTX+5090+Master+32GB" TargetMode="External" Id="rId4" /><Relationship Type="http://schemas.openxmlformats.org/officeDocument/2006/relationships/hyperlink" Target="https://www.jarir.com/sa-en/catalogsearch/result/?q=Gigabyte+AORUS+RTX+5090+Master+32GB" TargetMode="External" Id="rId5" /><Relationship Type="http://schemas.openxmlformats.org/officeDocument/2006/relationships/hyperlink" Target="https://www.aliexpress.com/w/wholesale-NVIDIA+RTX+5090+Founders+Edition.html" TargetMode="External" Id="rId6" /><Relationship Type="http://schemas.openxmlformats.org/officeDocument/2006/relationships/hyperlink" Target="https://www.ebay.com/sch/i.html?_nkw=NVIDIA+RTX+5090+Founders+Edition&amp;_sop=15" TargetMode="External" Id="rId7" /><Relationship Type="http://schemas.openxmlformats.org/officeDocument/2006/relationships/hyperlink" Target="https://www.amazon.sa/s?k=NVIDIA+RTX+5090+Founders+Edition" TargetMode="External" Id="rId8" /><Relationship Type="http://schemas.openxmlformats.org/officeDocument/2006/relationships/hyperlink" Target="https://www.noon.com/saudi-en/search/?q=NVIDIA+RTX+5090+Founders+Edition" TargetMode="External" Id="rId9" /><Relationship Type="http://schemas.openxmlformats.org/officeDocument/2006/relationships/hyperlink" Target="https://www.jarir.com/sa-en/catalogsearch/result/?q=NVIDIA+RTX+5090+Founders+Edition" TargetMode="External" Id="rId10" /><Relationship Type="http://schemas.openxmlformats.org/officeDocument/2006/relationships/hyperlink" Target="https://www.aliexpress.com/w/wholesale-Dell+PowerEdge+R730+Refurbished+Server.html" TargetMode="External" Id="rId11" /><Relationship Type="http://schemas.openxmlformats.org/officeDocument/2006/relationships/hyperlink" Target="https://www.ebay.com/sch/i.html?_nkw=Dell+PowerEdge+R730+Refurbished+Server&amp;_sop=15" TargetMode="External" Id="rId12" /><Relationship Type="http://schemas.openxmlformats.org/officeDocument/2006/relationships/hyperlink" Target="https://www.amazon.sa/s?k=Dell+PowerEdge+R730+Refurbished+Server" TargetMode="External" Id="rId13" /><Relationship Type="http://schemas.openxmlformats.org/officeDocument/2006/relationships/hyperlink" Target="https://www.noon.com/saudi-en/search/?q=Dell+PowerEdge+R730+Refurbished+Server" TargetMode="External" Id="rId14" /><Relationship Type="http://schemas.openxmlformats.org/officeDocument/2006/relationships/hyperlink" Target="https://www.jarir.com/sa-en/catalogsearch/result/?q=Dell+PowerEdge+R730+Refurbished+Server" TargetMode="External" Id="rId15" /><Relationship Type="http://schemas.openxmlformats.org/officeDocument/2006/relationships/hyperlink" Target="https://www.aliexpress.com/w/wholesale-Samsung+Odyssey+OLED+G8.html" TargetMode="External" Id="rId16" /><Relationship Type="http://schemas.openxmlformats.org/officeDocument/2006/relationships/hyperlink" Target="https://www.ebay.com/sch/i.html?_nkw=Samsung+Odyssey+OLED+G8&amp;_sop=15" TargetMode="External" Id="rId17" /><Relationship Type="http://schemas.openxmlformats.org/officeDocument/2006/relationships/hyperlink" Target="https://www.amazon.sa/s?k=Samsung+Odyssey+OLED+G8" TargetMode="External" Id="rId18" /><Relationship Type="http://schemas.openxmlformats.org/officeDocument/2006/relationships/hyperlink" Target="https://www.noon.com/saudi-en/search/?q=Samsung+Odyssey+OLED+G8" TargetMode="External" Id="rId19" /><Relationship Type="http://schemas.openxmlformats.org/officeDocument/2006/relationships/hyperlink" Target="https://www.jarir.com/sa-en/catalogsearch/result/?q=Samsung+Odyssey+OLED+G8" TargetMode="External" Id="rId20" /><Relationship Type="http://schemas.openxmlformats.org/officeDocument/2006/relationships/hyperlink" Target="https://www.aliexpress.com/w/wholesale-Roborock+S8+MaxV+Ultra.html" TargetMode="External" Id="rId21" /><Relationship Type="http://schemas.openxmlformats.org/officeDocument/2006/relationships/hyperlink" Target="https://www.ebay.com/sch/i.html?_nkw=Roborock+S8+MaxV+Ultra&amp;_sop=15" TargetMode="External" Id="rId22" /><Relationship Type="http://schemas.openxmlformats.org/officeDocument/2006/relationships/hyperlink" Target="https://www.amazon.sa/s?k=Roborock+S8+MaxV+Ultra" TargetMode="External" Id="rId23" /><Relationship Type="http://schemas.openxmlformats.org/officeDocument/2006/relationships/hyperlink" Target="https://www.noon.com/saudi-en/search/?q=Roborock+S8+MaxV+Ultra" TargetMode="External" Id="rId24" /><Relationship Type="http://schemas.openxmlformats.org/officeDocument/2006/relationships/hyperlink" Target="https://www.jarir.com/sa-en/catalogsearch/result/?q=Roborock+S8+MaxV+Ultra" TargetMode="External" Id="rId25" /><Relationship Type="http://schemas.openxmlformats.org/officeDocument/2006/relationships/hyperlink" Target="https://www.aliexpress.com/w/wholesale-NVIDIA+RTX+5080+Founders+Edition.html" TargetMode="External" Id="rId26" /><Relationship Type="http://schemas.openxmlformats.org/officeDocument/2006/relationships/hyperlink" Target="https://www.ebay.com/sch/i.html?_nkw=NVIDIA+RTX+5080+Founders+Edition&amp;_sop=15" TargetMode="External" Id="rId27" /><Relationship Type="http://schemas.openxmlformats.org/officeDocument/2006/relationships/hyperlink" Target="https://www.amazon.sa/s?k=NVIDIA+RTX+5080+Founders+Edition" TargetMode="External" Id="rId28" /><Relationship Type="http://schemas.openxmlformats.org/officeDocument/2006/relationships/hyperlink" Target="https://www.noon.com/saudi-en/search/?q=NVIDIA+RTX+5080+Founders+Edition" TargetMode="External" Id="rId29" /><Relationship Type="http://schemas.openxmlformats.org/officeDocument/2006/relationships/hyperlink" Target="https://www.jarir.com/sa-en/catalogsearch/result/?q=NVIDIA+RTX+5080+Founders+Edition" TargetMode="External" Id="rId30" /><Relationship Type="http://schemas.openxmlformats.org/officeDocument/2006/relationships/hyperlink" Target="https://www.aliexpress.com/w/wholesale-HPE+ProLiant+DL380+Gen10+Server.html" TargetMode="External" Id="rId31" /><Relationship Type="http://schemas.openxmlformats.org/officeDocument/2006/relationships/hyperlink" Target="https://www.ebay.com/sch/i.html?_nkw=HPE+ProLiant+DL380+Gen10+Server&amp;_sop=15" TargetMode="External" Id="rId32" /><Relationship Type="http://schemas.openxmlformats.org/officeDocument/2006/relationships/hyperlink" Target="https://www.amazon.sa/s?k=HPE+ProLiant+DL380+Gen10+Server" TargetMode="External" Id="rId33" /><Relationship Type="http://schemas.openxmlformats.org/officeDocument/2006/relationships/hyperlink" Target="https://www.noon.com/saudi-en/search/?q=HPE+ProLiant+DL380+Gen10+Server" TargetMode="External" Id="rId34" /><Relationship Type="http://schemas.openxmlformats.org/officeDocument/2006/relationships/hyperlink" Target="https://www.jarir.com/sa-en/catalogsearch/result/?q=HPE+ProLiant+DL380+Gen10+Server" TargetMode="External" Id="rId35" /><Relationship Type="http://schemas.openxmlformats.org/officeDocument/2006/relationships/hyperlink" Target="https://www.aliexpress.com/w/wholesale-DJI+Mini+4+Pro.html" TargetMode="External" Id="rId36" /><Relationship Type="http://schemas.openxmlformats.org/officeDocument/2006/relationships/hyperlink" Target="https://www.ebay.com/sch/i.html?_nkw=DJI+Mini+4+Pro&amp;_sop=15" TargetMode="External" Id="rId37" /><Relationship Type="http://schemas.openxmlformats.org/officeDocument/2006/relationships/hyperlink" Target="https://www.amazon.sa/s?k=DJI+Mini+4+Pro" TargetMode="External" Id="rId38" /><Relationship Type="http://schemas.openxmlformats.org/officeDocument/2006/relationships/hyperlink" Target="https://www.noon.com/saudi-en/search/?q=DJI+Mini+4+Pro" TargetMode="External" Id="rId39" /><Relationship Type="http://schemas.openxmlformats.org/officeDocument/2006/relationships/hyperlink" Target="https://www.jarir.com/sa-en/catalogsearch/result/?q=DJI+Mini+4+Pro" TargetMode="External" Id="rId40" /><Relationship Type="http://schemas.openxmlformats.org/officeDocument/2006/relationships/hyperlink" Target="https://www.aliexpress.com/w/wholesale-Ecovacs+Deebot+X9+Pro+Omni.html" TargetMode="External" Id="rId41" /><Relationship Type="http://schemas.openxmlformats.org/officeDocument/2006/relationships/hyperlink" Target="https://www.ebay.com/sch/i.html?_nkw=Ecovacs+Deebot+X9+Pro+Omni&amp;_sop=15" TargetMode="External" Id="rId42" /><Relationship Type="http://schemas.openxmlformats.org/officeDocument/2006/relationships/hyperlink" Target="https://www.amazon.sa/s?k=Ecovacs+Deebot+X9+Pro+Omni" TargetMode="External" Id="rId43" /><Relationship Type="http://schemas.openxmlformats.org/officeDocument/2006/relationships/hyperlink" Target="https://www.noon.com/saudi-en/search/?q=Ecovacs+Deebot+X9+Pro+Omni" TargetMode="External" Id="rId44" /><Relationship Type="http://schemas.openxmlformats.org/officeDocument/2006/relationships/hyperlink" Target="https://www.jarir.com/sa-en/catalogsearch/result/?q=Ecovacs+Deebot+X9+Pro+Omni" TargetMode="External" Id="rId45" /><Relationship Type="http://schemas.openxmlformats.org/officeDocument/2006/relationships/hyperlink" Target="https://www.aliexpress.com/w/wholesale-Dell+Alienware+AW2725DF.html" TargetMode="External" Id="rId46" /><Relationship Type="http://schemas.openxmlformats.org/officeDocument/2006/relationships/hyperlink" Target="https://www.ebay.com/sch/i.html?_nkw=Dell+Alienware+AW2725DF&amp;_sop=15" TargetMode="External" Id="rId47" /><Relationship Type="http://schemas.openxmlformats.org/officeDocument/2006/relationships/hyperlink" Target="https://www.amazon.sa/s?k=Dell+Alienware+AW2725DF" TargetMode="External" Id="rId48" /><Relationship Type="http://schemas.openxmlformats.org/officeDocument/2006/relationships/hyperlink" Target="https://www.noon.com/saudi-en/search/?q=Dell+Alienware+AW2725DF" TargetMode="External" Id="rId49" /><Relationship Type="http://schemas.openxmlformats.org/officeDocument/2006/relationships/hyperlink" Target="https://www.jarir.com/sa-en/catalogsearch/result/?q=Dell+Alienware+AW2725DF" TargetMode="External" Id="rId50" /><Relationship Type="http://schemas.openxmlformats.org/officeDocument/2006/relationships/hyperlink" Target="https://www.aliexpress.com/w/wholesale-Synology+DiskStation+DS1621%2B+6-Bay+NAS.html" TargetMode="External" Id="rId51" /><Relationship Type="http://schemas.openxmlformats.org/officeDocument/2006/relationships/hyperlink" Target="https://www.ebay.com/sch/i.html?_nkw=Synology+DiskStation+DS1621%2B+6-Bay+NAS&amp;_sop=15" TargetMode="External" Id="rId52" /><Relationship Type="http://schemas.openxmlformats.org/officeDocument/2006/relationships/hyperlink" Target="https://www.amazon.sa/s?k=Synology+DiskStation+DS1621%2B+6-Bay+NAS" TargetMode="External" Id="rId53" /><Relationship Type="http://schemas.openxmlformats.org/officeDocument/2006/relationships/hyperlink" Target="https://www.noon.com/saudi-en/search/?q=Synology+DiskStation+DS1621%2B+6-Bay+NAS" TargetMode="External" Id="rId54" /><Relationship Type="http://schemas.openxmlformats.org/officeDocument/2006/relationships/hyperlink" Target="https://www.jarir.com/sa-en/catalogsearch/result/?q=Synology+DiskStation+DS1621%2B+6-Bay+NAS" TargetMode="External" Id="rId55" /><Relationship Type="http://schemas.openxmlformats.org/officeDocument/2006/relationships/hyperlink" Target="https://www.aliexpress.com/w/wholesale-Fortinet+FortiGate+60F.html" TargetMode="External" Id="rId56" /><Relationship Type="http://schemas.openxmlformats.org/officeDocument/2006/relationships/hyperlink" Target="https://www.ebay.com/sch/i.html?_nkw=Fortinet+FortiGate+60F&amp;_sop=15" TargetMode="External" Id="rId57" /><Relationship Type="http://schemas.openxmlformats.org/officeDocument/2006/relationships/hyperlink" Target="https://www.amazon.sa/s?k=Fortinet+FortiGate+60F" TargetMode="External" Id="rId58" /><Relationship Type="http://schemas.openxmlformats.org/officeDocument/2006/relationships/hyperlink" Target="https://www.noon.com/saudi-en/search/?q=Fortinet+FortiGate+60F" TargetMode="External" Id="rId59" /><Relationship Type="http://schemas.openxmlformats.org/officeDocument/2006/relationships/hyperlink" Target="https://www.jarir.com/sa-en/catalogsearch/result/?q=Fortinet+FortiGate+60F" TargetMode="External" Id="rId60" /><Relationship Type="http://schemas.openxmlformats.org/officeDocument/2006/relationships/hyperlink" Target="https://www.aliexpress.com/w/wholesale-ASUS+ROG+Swift+OLED+PG27AQDM.html" TargetMode="External" Id="rId61" /><Relationship Type="http://schemas.openxmlformats.org/officeDocument/2006/relationships/hyperlink" Target="https://www.ebay.com/sch/i.html?_nkw=ASUS+ROG+Swift+OLED+PG27AQDM&amp;_sop=15" TargetMode="External" Id="rId62" /><Relationship Type="http://schemas.openxmlformats.org/officeDocument/2006/relationships/hyperlink" Target="https://www.amazon.sa/s?k=ASUS+ROG+Swift+OLED+PG27AQDM" TargetMode="External" Id="rId63" /><Relationship Type="http://schemas.openxmlformats.org/officeDocument/2006/relationships/hyperlink" Target="https://www.noon.com/saudi-en/search/?q=ASUS+ROG+Swift+OLED+PG27AQDM" TargetMode="External" Id="rId64" /><Relationship Type="http://schemas.openxmlformats.org/officeDocument/2006/relationships/hyperlink" Target="https://www.jarir.com/sa-en/catalogsearch/result/?q=ASUS+ROG+Swift+OLED+PG27AQDM" TargetMode="External" Id="rId65" /><Relationship Type="http://schemas.openxmlformats.org/officeDocument/2006/relationships/hyperlink" Target="https://www.aliexpress.com/w/wholesale-Bambu+Lab+P1S+3D+Printer.html" TargetMode="External" Id="rId66" /><Relationship Type="http://schemas.openxmlformats.org/officeDocument/2006/relationships/hyperlink" Target="https://www.ebay.com/sch/i.html?_nkw=Bambu+Lab+P1S+3D+Printer&amp;_sop=15" TargetMode="External" Id="rId67" /><Relationship Type="http://schemas.openxmlformats.org/officeDocument/2006/relationships/hyperlink" Target="https://www.amazon.sa/s?k=Bambu+Lab+P1S+3D+Printer" TargetMode="External" Id="rId68" /><Relationship Type="http://schemas.openxmlformats.org/officeDocument/2006/relationships/hyperlink" Target="https://www.noon.com/saudi-en/search/?q=Bambu+Lab+P1S+3D+Printer" TargetMode="External" Id="rId69" /><Relationship Type="http://schemas.openxmlformats.org/officeDocument/2006/relationships/hyperlink" Target="https://www.jarir.com/sa-en/catalogsearch/result/?q=Bambu+Lab+P1S+3D+Printer" TargetMode="External" Id="rId70" /><Relationship Type="http://schemas.openxmlformats.org/officeDocument/2006/relationships/hyperlink" Target="https://www.aliexpress.com/w/wholesale-LG+UltraGear+OLED+27GR95QE-B.html" TargetMode="External" Id="rId71" /><Relationship Type="http://schemas.openxmlformats.org/officeDocument/2006/relationships/hyperlink" Target="https://www.ebay.com/sch/i.html?_nkw=LG+UltraGear+OLED+27GR95QE-B&amp;_sop=15" TargetMode="External" Id="rId72" /><Relationship Type="http://schemas.openxmlformats.org/officeDocument/2006/relationships/hyperlink" Target="https://www.amazon.sa/s?k=LG+UltraGear+OLED+27GR95QE-B" TargetMode="External" Id="rId73" /><Relationship Type="http://schemas.openxmlformats.org/officeDocument/2006/relationships/hyperlink" Target="https://www.noon.com/saudi-en/search/?q=LG+UltraGear+OLED+27GR95QE-B" TargetMode="External" Id="rId74" /><Relationship Type="http://schemas.openxmlformats.org/officeDocument/2006/relationships/hyperlink" Target="https://www.jarir.com/sa-en/catalogsearch/result/?q=LG+UltraGear+OLED+27GR95QE-B" TargetMode="External" Id="rId75" /><Relationship Type="http://schemas.openxmlformats.org/officeDocument/2006/relationships/hyperlink" Target="https://www.aliexpress.com/w/wholesale-APC+Smart-UPS+SMT1500RM2UC.html" TargetMode="External" Id="rId76" /><Relationship Type="http://schemas.openxmlformats.org/officeDocument/2006/relationships/hyperlink" Target="https://www.ebay.com/sch/i.html?_nkw=APC+Smart-UPS+SMT1500RM2UC&amp;_sop=15" TargetMode="External" Id="rId77" /><Relationship Type="http://schemas.openxmlformats.org/officeDocument/2006/relationships/hyperlink" Target="https://www.amazon.sa/s?k=APC+Smart-UPS+SMT1500RM2UC" TargetMode="External" Id="rId78" /><Relationship Type="http://schemas.openxmlformats.org/officeDocument/2006/relationships/hyperlink" Target="https://www.noon.com/saudi-en/search/?q=APC+Smart-UPS+SMT1500RM2UC" TargetMode="External" Id="rId79" /><Relationship Type="http://schemas.openxmlformats.org/officeDocument/2006/relationships/hyperlink" Target="https://www.jarir.com/sa-en/catalogsearch/result/?q=APC+Smart-UPS+SMT1500RM2UC" TargetMode="External" Id="rId80" /><Relationship Type="http://schemas.openxmlformats.org/officeDocument/2006/relationships/hyperlink" Target="https://www.aliexpress.com/w/wholesale-APC+Smart-UPS+1500VA+LCD+RM+2U.html" TargetMode="External" Id="rId81" /><Relationship Type="http://schemas.openxmlformats.org/officeDocument/2006/relationships/hyperlink" Target="https://www.ebay.com/sch/i.html?_nkw=APC+Smart-UPS+1500VA+LCD+RM+2U&amp;_sop=15" TargetMode="External" Id="rId82" /><Relationship Type="http://schemas.openxmlformats.org/officeDocument/2006/relationships/hyperlink" Target="https://www.amazon.sa/s?k=APC+Smart-UPS+1500VA+LCD+RM+2U" TargetMode="External" Id="rId83" /><Relationship Type="http://schemas.openxmlformats.org/officeDocument/2006/relationships/hyperlink" Target="https://www.noon.com/saudi-en/search/?q=APC+Smart-UPS+1500VA+LCD+RM+2U" TargetMode="External" Id="rId84" /><Relationship Type="http://schemas.openxmlformats.org/officeDocument/2006/relationships/hyperlink" Target="https://www.jarir.com/sa-en/catalogsearch/result/?q=APC+Smart-UPS+1500VA+LCD+RM+2U" TargetMode="External" Id="rId85" /><Relationship Type="http://schemas.openxmlformats.org/officeDocument/2006/relationships/hyperlink" Target="https://www.aliexpress.com/w/wholesale-ASUS+ROG+Rapture+GT-BE19000AI.html" TargetMode="External" Id="rId86" /><Relationship Type="http://schemas.openxmlformats.org/officeDocument/2006/relationships/hyperlink" Target="https://www.ebay.com/sch/i.html?_nkw=ASUS+ROG+Rapture+GT-BE19000AI&amp;_sop=15" TargetMode="External" Id="rId87" /><Relationship Type="http://schemas.openxmlformats.org/officeDocument/2006/relationships/hyperlink" Target="https://www.amazon.sa/s?k=ASUS+ROG+Rapture+GT-BE19000AI" TargetMode="External" Id="rId88" /><Relationship Type="http://schemas.openxmlformats.org/officeDocument/2006/relationships/hyperlink" Target="https://www.noon.com/saudi-en/search/?q=ASUS+ROG+Rapture+GT-BE19000AI" TargetMode="External" Id="rId89" /><Relationship Type="http://schemas.openxmlformats.org/officeDocument/2006/relationships/hyperlink" Target="https://www.jarir.com/sa-en/catalogsearch/result/?q=ASUS+ROG+Rapture+GT-BE19000AI" TargetMode="External" Id="rId90" /><Relationship Type="http://schemas.openxmlformats.org/officeDocument/2006/relationships/hyperlink" Target="https://www.aliexpress.com/w/wholesale-Dreame+L50+Ultra.html" TargetMode="External" Id="rId91" /><Relationship Type="http://schemas.openxmlformats.org/officeDocument/2006/relationships/hyperlink" Target="https://www.ebay.com/sch/i.html?_nkw=Dreame+L50+Ultra&amp;_sop=15" TargetMode="External" Id="rId92" /><Relationship Type="http://schemas.openxmlformats.org/officeDocument/2006/relationships/hyperlink" Target="https://www.amazon.sa/s?k=Dreame+L50+Ultra" TargetMode="External" Id="rId93" /><Relationship Type="http://schemas.openxmlformats.org/officeDocument/2006/relationships/hyperlink" Target="https://www.noon.com/saudi-en/search/?q=Dreame+L50+Ultra" TargetMode="External" Id="rId94" /><Relationship Type="http://schemas.openxmlformats.org/officeDocument/2006/relationships/hyperlink" Target="https://www.jarir.com/sa-en/catalogsearch/result/?q=Dreame+L50+Ultra" TargetMode="External" Id="rId95" /><Relationship Type="http://schemas.openxmlformats.org/officeDocument/2006/relationships/hyperlink" Target="https://www.aliexpress.com/w/wholesale-Roborock+Qrevo+CurvX.html" TargetMode="External" Id="rId96" /><Relationship Type="http://schemas.openxmlformats.org/officeDocument/2006/relationships/hyperlink" Target="https://www.ebay.com/sch/i.html?_nkw=Roborock+Qrevo+CurvX&amp;_sop=15" TargetMode="External" Id="rId97" /><Relationship Type="http://schemas.openxmlformats.org/officeDocument/2006/relationships/hyperlink" Target="https://www.amazon.sa/s?k=Roborock+Qrevo+CurvX" TargetMode="External" Id="rId98" /><Relationship Type="http://schemas.openxmlformats.org/officeDocument/2006/relationships/hyperlink" Target="https://www.noon.com/saudi-en/search/?q=Roborock+Qrevo+CurvX" TargetMode="External" Id="rId99" /><Relationship Type="http://schemas.openxmlformats.org/officeDocument/2006/relationships/hyperlink" Target="https://www.jarir.com/sa-en/catalogsearch/result/?q=Roborock+Qrevo+CurvX" TargetMode="External" Id="rId100" /><Relationship Type="http://schemas.openxmlformats.org/officeDocument/2006/relationships/hyperlink" Target="https://www.aliexpress.com/w/wholesale-Creality+K1+Max.html" TargetMode="External" Id="rId101" /><Relationship Type="http://schemas.openxmlformats.org/officeDocument/2006/relationships/hyperlink" Target="https://www.ebay.com/sch/i.html?_nkw=Creality+K1+Max&amp;_sop=15" TargetMode="External" Id="rId102" /><Relationship Type="http://schemas.openxmlformats.org/officeDocument/2006/relationships/hyperlink" Target="https://www.amazon.sa/s?k=Creality+K1+Max" TargetMode="External" Id="rId103" /><Relationship Type="http://schemas.openxmlformats.org/officeDocument/2006/relationships/hyperlink" Target="https://www.noon.com/saudi-en/search/?q=Creality+K1+Max" TargetMode="External" Id="rId104" /><Relationship Type="http://schemas.openxmlformats.org/officeDocument/2006/relationships/hyperlink" Target="https://www.jarir.com/sa-en/catalogsearch/result/?q=Creality+K1+Max" TargetMode="External" Id="rId105" /><Relationship Type="http://schemas.openxmlformats.org/officeDocument/2006/relationships/hyperlink" Target="https://www.aliexpress.com/w/wholesale-Ubiquiti+UniFi+Switch+Pro+24+PoE.html" TargetMode="External" Id="rId106" /><Relationship Type="http://schemas.openxmlformats.org/officeDocument/2006/relationships/hyperlink" Target="https://www.ebay.com/sch/i.html?_nkw=Ubiquiti+UniFi+Switch+Pro+24+PoE&amp;_sop=15" TargetMode="External" Id="rId107" /><Relationship Type="http://schemas.openxmlformats.org/officeDocument/2006/relationships/hyperlink" Target="https://www.amazon.sa/s?k=Ubiquiti+UniFi+Switch+Pro+24+PoE" TargetMode="External" Id="rId108" /><Relationship Type="http://schemas.openxmlformats.org/officeDocument/2006/relationships/hyperlink" Target="https://www.noon.com/saudi-en/search/?q=Ubiquiti+UniFi+Switch+Pro+24+PoE" TargetMode="External" Id="rId109" /><Relationship Type="http://schemas.openxmlformats.org/officeDocument/2006/relationships/hyperlink" Target="https://www.jarir.com/sa-en/catalogsearch/result/?q=Ubiquiti+UniFi+Switch+Pro+24+PoE" TargetMode="External" Id="rId110" /><Relationship Type="http://schemas.openxmlformats.org/officeDocument/2006/relationships/hyperlink" Target="https://www.aliexpress.com/w/wholesale-DJI+Avata+2.html" TargetMode="External" Id="rId111" /><Relationship Type="http://schemas.openxmlformats.org/officeDocument/2006/relationships/hyperlink" Target="https://www.ebay.com/sch/i.html?_nkw=DJI+Avata+2&amp;_sop=15" TargetMode="External" Id="rId112" /><Relationship Type="http://schemas.openxmlformats.org/officeDocument/2006/relationships/hyperlink" Target="https://www.amazon.sa/s?k=DJI+Avata+2" TargetMode="External" Id="rId113" /><Relationship Type="http://schemas.openxmlformats.org/officeDocument/2006/relationships/hyperlink" Target="https://www.noon.com/saudi-en/search/?q=DJI+Avata+2" TargetMode="External" Id="rId114" /><Relationship Type="http://schemas.openxmlformats.org/officeDocument/2006/relationships/hyperlink" Target="https://www.jarir.com/sa-en/catalogsearch/result/?q=DJI+Avata+2" TargetMode="External" Id="rId115" /><Relationship Type="http://schemas.openxmlformats.org/officeDocument/2006/relationships/hyperlink" Target="https://www.aliexpress.com/w/wholesale-MinisForum+MS-01.html" TargetMode="External" Id="rId116" /><Relationship Type="http://schemas.openxmlformats.org/officeDocument/2006/relationships/hyperlink" Target="https://www.ebay.com/sch/i.html?_nkw=MinisForum+MS-01&amp;_sop=15" TargetMode="External" Id="rId117" /><Relationship Type="http://schemas.openxmlformats.org/officeDocument/2006/relationships/hyperlink" Target="https://www.amazon.sa/s?k=MinisForum+MS-01" TargetMode="External" Id="rId118" /><Relationship Type="http://schemas.openxmlformats.org/officeDocument/2006/relationships/hyperlink" Target="https://www.noon.com/saudi-en/search/?q=MinisForum+MS-01" TargetMode="External" Id="rId119" /><Relationship Type="http://schemas.openxmlformats.org/officeDocument/2006/relationships/hyperlink" Target="https://www.jarir.com/sa-en/catalogsearch/result/?q=MinisForum+MS-01" TargetMode="External" Id="rId120" /><Relationship Type="http://schemas.openxmlformats.org/officeDocument/2006/relationships/hyperlink" Target="https://www.aliexpress.com/w/wholesale-Ubiquiti+USW-Pro-24-PoE.html" TargetMode="External" Id="rId121" /><Relationship Type="http://schemas.openxmlformats.org/officeDocument/2006/relationships/hyperlink" Target="https://www.ebay.com/sch/i.html?_nkw=Ubiquiti+USW-Pro-24-PoE&amp;_sop=15" TargetMode="External" Id="rId122" /><Relationship Type="http://schemas.openxmlformats.org/officeDocument/2006/relationships/hyperlink" Target="https://www.amazon.sa/s?k=Ubiquiti+USW-Pro-24-PoE" TargetMode="External" Id="rId123" /><Relationship Type="http://schemas.openxmlformats.org/officeDocument/2006/relationships/hyperlink" Target="https://www.noon.com/saudi-en/search/?q=Ubiquiti+USW-Pro-24-PoE" TargetMode="External" Id="rId124" /><Relationship Type="http://schemas.openxmlformats.org/officeDocument/2006/relationships/hyperlink" Target="https://www.jarir.com/sa-en/catalogsearch/result/?q=Ubiquiti+USW-Pro-24-PoE" TargetMode="External" Id="rId125" /><Relationship Type="http://schemas.openxmlformats.org/officeDocument/2006/relationships/hyperlink" Target="https://www.aliexpress.com/w/wholesale-Secretlab+Titan+Evo.html" TargetMode="External" Id="rId126" /><Relationship Type="http://schemas.openxmlformats.org/officeDocument/2006/relationships/hyperlink" Target="https://www.ebay.com/sch/i.html?_nkw=Secretlab+Titan+Evo&amp;_sop=15" TargetMode="External" Id="rId127" /><Relationship Type="http://schemas.openxmlformats.org/officeDocument/2006/relationships/hyperlink" Target="https://www.amazon.sa/s?k=Secretlab+Titan+Evo" TargetMode="External" Id="rId128" /><Relationship Type="http://schemas.openxmlformats.org/officeDocument/2006/relationships/hyperlink" Target="https://www.noon.com/saudi-en/search/?q=Secretlab+Titan+Evo" TargetMode="External" Id="rId129" /><Relationship Type="http://schemas.openxmlformats.org/officeDocument/2006/relationships/hyperlink" Target="https://www.jarir.com/sa-en/catalogsearch/result/?q=Secretlab+Titan+Evo" TargetMode="External" Id="rId130" /><Relationship Type="http://schemas.openxmlformats.org/officeDocument/2006/relationships/hyperlink" Target="https://www.aliexpress.com/w/wholesale-Samsung+Odyssey+G7+G70D.html" TargetMode="External" Id="rId131" /><Relationship Type="http://schemas.openxmlformats.org/officeDocument/2006/relationships/hyperlink" Target="https://www.ebay.com/sch/i.html?_nkw=Samsung+Odyssey+G7+G70D&amp;_sop=15" TargetMode="External" Id="rId132" /><Relationship Type="http://schemas.openxmlformats.org/officeDocument/2006/relationships/hyperlink" Target="https://www.amazon.sa/s?k=Samsung+Odyssey+G7+G70D" TargetMode="External" Id="rId133" /><Relationship Type="http://schemas.openxmlformats.org/officeDocument/2006/relationships/hyperlink" Target="https://www.noon.com/saudi-en/search/?q=Samsung+Odyssey+G7+G70D" TargetMode="External" Id="rId134" /><Relationship Type="http://schemas.openxmlformats.org/officeDocument/2006/relationships/hyperlink" Target="https://www.jarir.com/sa-en/catalogsearch/result/?q=Samsung+Odyssey+G7+G70D" TargetMode="External" Id="rId135" /><Relationship Type="http://schemas.openxmlformats.org/officeDocument/2006/relationships/hyperlink" Target="https://www.aliexpress.com/w/wholesale-Synology+DS925%2B.html" TargetMode="External" Id="rId136" /><Relationship Type="http://schemas.openxmlformats.org/officeDocument/2006/relationships/hyperlink" Target="https://www.ebay.com/sch/i.html?_nkw=Synology+DS925%2B&amp;_sop=15" TargetMode="External" Id="rId137" /><Relationship Type="http://schemas.openxmlformats.org/officeDocument/2006/relationships/hyperlink" Target="https://www.amazon.sa/s?k=Synology+DS925%2B" TargetMode="External" Id="rId138" /><Relationship Type="http://schemas.openxmlformats.org/officeDocument/2006/relationships/hyperlink" Target="https://www.noon.com/saudi-en/search/?q=Synology+DS925%2B" TargetMode="External" Id="rId139" /><Relationship Type="http://schemas.openxmlformats.org/officeDocument/2006/relationships/hyperlink" Target="https://www.jarir.com/sa-en/catalogsearch/result/?q=Synology+DS925%2B" TargetMode="External" Id="rId140" /><Relationship Type="http://schemas.openxmlformats.org/officeDocument/2006/relationships/hyperlink" Target="https://www.aliexpress.com/w/wholesale-Insta360+X4.html" TargetMode="External" Id="rId141" /><Relationship Type="http://schemas.openxmlformats.org/officeDocument/2006/relationships/hyperlink" Target="https://www.ebay.com/sch/i.html?_nkw=Insta360+X4&amp;_sop=15" TargetMode="External" Id="rId142" /><Relationship Type="http://schemas.openxmlformats.org/officeDocument/2006/relationships/hyperlink" Target="https://www.amazon.sa/s?k=Insta360+X4" TargetMode="External" Id="rId143" /><Relationship Type="http://schemas.openxmlformats.org/officeDocument/2006/relationships/hyperlink" Target="https://www.noon.com/saudi-en/search/?q=Insta360+X4" TargetMode="External" Id="rId144" /><Relationship Type="http://schemas.openxmlformats.org/officeDocument/2006/relationships/hyperlink" Target="https://www.jarir.com/sa-en/catalogsearch/result/?q=Insta360+X4" TargetMode="External" Id="rId145" /><Relationship Type="http://schemas.openxmlformats.org/officeDocument/2006/relationships/hyperlink" Target="https://www.aliexpress.com/w/wholesale-Elegoo+Saturn+3+Ultra.html" TargetMode="External" Id="rId146" /><Relationship Type="http://schemas.openxmlformats.org/officeDocument/2006/relationships/hyperlink" Target="https://www.ebay.com/sch/i.html?_nkw=Elegoo+Saturn+3+Ultra&amp;_sop=15" TargetMode="External" Id="rId147" /><Relationship Type="http://schemas.openxmlformats.org/officeDocument/2006/relationships/hyperlink" Target="https://www.amazon.sa/s?k=Elegoo+Saturn+3+Ultra" TargetMode="External" Id="rId148" /><Relationship Type="http://schemas.openxmlformats.org/officeDocument/2006/relationships/hyperlink" Target="https://www.noon.com/saudi-en/search/?q=Elegoo+Saturn+3+Ultra" TargetMode="External" Id="rId149" /><Relationship Type="http://schemas.openxmlformats.org/officeDocument/2006/relationships/hyperlink" Target="https://www.jarir.com/sa-en/catalogsearch/result/?q=Elegoo+Saturn+3+Ultra" TargetMode="External" Id="rId150" /><Relationship Type="http://schemas.openxmlformats.org/officeDocument/2006/relationships/hyperlink" Target="https://www.aliexpress.com/w/wholesale-Netgate+4200+MAX+pfSense%2B+Gateway.html" TargetMode="External" Id="rId151" /><Relationship Type="http://schemas.openxmlformats.org/officeDocument/2006/relationships/hyperlink" Target="https://www.ebay.com/sch/i.html?_nkw=Netgate+4200+MAX+pfSense%2B+Gateway&amp;_sop=15" TargetMode="External" Id="rId152" /><Relationship Type="http://schemas.openxmlformats.org/officeDocument/2006/relationships/hyperlink" Target="https://www.amazon.sa/s?k=Netgate+4200+MAX+pfSense%2B+Gateway" TargetMode="External" Id="rId153" /><Relationship Type="http://schemas.openxmlformats.org/officeDocument/2006/relationships/hyperlink" Target="https://www.noon.com/saudi-en/search/?q=Netgate+4200+MAX+pfSense%2B+Gateway" TargetMode="External" Id="rId154" /><Relationship Type="http://schemas.openxmlformats.org/officeDocument/2006/relationships/hyperlink" Target="https://www.jarir.com/sa-en/catalogsearch/result/?q=Netgate+4200+MAX+pfSense%2B+Gateway" TargetMode="External" Id="rId155" /><Relationship Type="http://schemas.openxmlformats.org/officeDocument/2006/relationships/hyperlink" Target="https://www.aliexpress.com/w/wholesale-Prusa+Mini%2B+3D+Printer.html" TargetMode="External" Id="rId156" /><Relationship Type="http://schemas.openxmlformats.org/officeDocument/2006/relationships/hyperlink" Target="https://www.ebay.com/sch/i.html?_nkw=Prusa+Mini%2B+3D+Printer&amp;_sop=15" TargetMode="External" Id="rId157" /><Relationship Type="http://schemas.openxmlformats.org/officeDocument/2006/relationships/hyperlink" Target="https://www.amazon.sa/s?k=Prusa+Mini%2B+3D+Printer" TargetMode="External" Id="rId158" /><Relationship Type="http://schemas.openxmlformats.org/officeDocument/2006/relationships/hyperlink" Target="https://www.noon.com/saudi-en/search/?q=Prusa+Mini%2B+3D+Printer" TargetMode="External" Id="rId159" /><Relationship Type="http://schemas.openxmlformats.org/officeDocument/2006/relationships/hyperlink" Target="https://www.jarir.com/sa-en/catalogsearch/result/?q=Prusa+Mini%2B+3D+Printer" TargetMode="External" Id="rId160" /><Relationship Type="http://schemas.openxmlformats.org/officeDocument/2006/relationships/hyperlink" Target="https://www.aliexpress.com/w/wholesale-Meta+Quest+3+128GB.html" TargetMode="External" Id="rId161" /><Relationship Type="http://schemas.openxmlformats.org/officeDocument/2006/relationships/hyperlink" Target="https://www.ebay.com/sch/i.html?_nkw=Meta+Quest+3+128GB&amp;_sop=15" TargetMode="External" Id="rId162" /><Relationship Type="http://schemas.openxmlformats.org/officeDocument/2006/relationships/hyperlink" Target="https://www.amazon.sa/s?k=Meta+Quest+3+128GB" TargetMode="External" Id="rId163" /><Relationship Type="http://schemas.openxmlformats.org/officeDocument/2006/relationships/hyperlink" Target="https://www.noon.com/saudi-en/search/?q=Meta+Quest+3+128GB" TargetMode="External" Id="rId164" /><Relationship Type="http://schemas.openxmlformats.org/officeDocument/2006/relationships/hyperlink" Target="https://www.jarir.com/sa-en/catalogsearch/result/?q=Meta+Quest+3+128GB" TargetMode="External" Id="rId165" /><Relationship Type="http://schemas.openxmlformats.org/officeDocument/2006/relationships/hyperlink" Target="https://www.aliexpress.com/w/wholesale-Razer+Iskur+V2+NewGen.html" TargetMode="External" Id="rId166" /><Relationship Type="http://schemas.openxmlformats.org/officeDocument/2006/relationships/hyperlink" Target="https://www.ebay.com/sch/i.html?_nkw=Razer+Iskur+V2+NewGen&amp;_sop=15" TargetMode="External" Id="rId167" /><Relationship Type="http://schemas.openxmlformats.org/officeDocument/2006/relationships/hyperlink" Target="https://www.amazon.sa/s?k=Razer+Iskur+V2+NewGen" TargetMode="External" Id="rId168" /><Relationship Type="http://schemas.openxmlformats.org/officeDocument/2006/relationships/hyperlink" Target="https://www.noon.com/saudi-en/search/?q=Razer+Iskur+V2+NewGen" TargetMode="External" Id="rId169" /><Relationship Type="http://schemas.openxmlformats.org/officeDocument/2006/relationships/hyperlink" Target="https://www.jarir.com/sa-en/catalogsearch/result/?q=Razer+Iskur+V2+NewGen" TargetMode="External" Id="rId170" /><Relationship Type="http://schemas.openxmlformats.org/officeDocument/2006/relationships/hyperlink" Target="https://www.aliexpress.com/w/wholesale-DJI+RS+4.html" TargetMode="External" Id="rId171" /><Relationship Type="http://schemas.openxmlformats.org/officeDocument/2006/relationships/hyperlink" Target="https://www.ebay.com/sch/i.html?_nkw=DJI+RS+4&amp;_sop=15" TargetMode="External" Id="rId172" /><Relationship Type="http://schemas.openxmlformats.org/officeDocument/2006/relationships/hyperlink" Target="https://www.amazon.sa/s?k=DJI+RS+4" TargetMode="External" Id="rId173" /><Relationship Type="http://schemas.openxmlformats.org/officeDocument/2006/relationships/hyperlink" Target="https://www.noon.com/saudi-en/search/?q=DJI+RS+4" TargetMode="External" Id="rId174" /><Relationship Type="http://schemas.openxmlformats.org/officeDocument/2006/relationships/hyperlink" Target="https://www.jarir.com/sa-en/catalogsearch/result/?q=DJI+RS+4" TargetMode="External" Id="rId175" /><Relationship Type="http://schemas.openxmlformats.org/officeDocument/2006/relationships/hyperlink" Target="https://www.aliexpress.com/w/wholesale-Asustor+Flashstor+6.html" TargetMode="External" Id="rId176" /><Relationship Type="http://schemas.openxmlformats.org/officeDocument/2006/relationships/hyperlink" Target="https://www.ebay.com/sch/i.html?_nkw=Asustor+Flashstor+6&amp;_sop=15" TargetMode="External" Id="rId177" /><Relationship Type="http://schemas.openxmlformats.org/officeDocument/2006/relationships/hyperlink" Target="https://www.amazon.sa/s?k=Asustor+Flashstor+6" TargetMode="External" Id="rId178" /><Relationship Type="http://schemas.openxmlformats.org/officeDocument/2006/relationships/hyperlink" Target="https://www.noon.com/saudi-en/search/?q=Asustor+Flashstor+6" TargetMode="External" Id="rId179" /><Relationship Type="http://schemas.openxmlformats.org/officeDocument/2006/relationships/hyperlink" Target="https://www.jarir.com/sa-en/catalogsearch/result/?q=Asustor+Flashstor+6" TargetMode="External" Id="rId180" /><Relationship Type="http://schemas.openxmlformats.org/officeDocument/2006/relationships/hyperlink" Target="https://www.aliexpress.com/w/wholesale-Ubiquiti+UniFi+Dream+Machine+Pro.html" TargetMode="External" Id="rId181" /><Relationship Type="http://schemas.openxmlformats.org/officeDocument/2006/relationships/hyperlink" Target="https://www.ebay.com/sch/i.html?_nkw=Ubiquiti+UniFi+Dream+Machine+Pro&amp;_sop=15" TargetMode="External" Id="rId182" /><Relationship Type="http://schemas.openxmlformats.org/officeDocument/2006/relationships/hyperlink" Target="https://www.amazon.sa/s?k=Ubiquiti+UniFi+Dream+Machine+Pro" TargetMode="External" Id="rId183" /><Relationship Type="http://schemas.openxmlformats.org/officeDocument/2006/relationships/hyperlink" Target="https://www.noon.com/saudi-en/search/?q=Ubiquiti+UniFi+Dream+Machine+Pro" TargetMode="External" Id="rId184" /><Relationship Type="http://schemas.openxmlformats.org/officeDocument/2006/relationships/hyperlink" Target="https://www.jarir.com/sa-en/catalogsearch/result/?q=Ubiquiti+UniFi+Dream+Machine+Pro" TargetMode="External" Id="rId185" /><Relationship Type="http://schemas.openxmlformats.org/officeDocument/2006/relationships/hyperlink" Target="https://www.aliexpress.com/w/wholesale-Asustor+Lockerstor+4.html" TargetMode="External" Id="rId186" /><Relationship Type="http://schemas.openxmlformats.org/officeDocument/2006/relationships/hyperlink" Target="https://www.ebay.com/sch/i.html?_nkw=Asustor+Lockerstor+4&amp;_sop=15" TargetMode="External" Id="rId187" /><Relationship Type="http://schemas.openxmlformats.org/officeDocument/2006/relationships/hyperlink" Target="https://www.amazon.sa/s?k=Asustor+Lockerstor+4" TargetMode="External" Id="rId188" /><Relationship Type="http://schemas.openxmlformats.org/officeDocument/2006/relationships/hyperlink" Target="https://www.noon.com/saudi-en/search/?q=Asustor+Lockerstor+4" TargetMode="External" Id="rId189" /><Relationship Type="http://schemas.openxmlformats.org/officeDocument/2006/relationships/hyperlink" Target="https://www.jarir.com/sa-en/catalogsearch/result/?q=Asustor+Lockerstor+4" TargetMode="External" Id="rId190" /><Relationship Type="http://schemas.openxmlformats.org/officeDocument/2006/relationships/hyperlink" Target="https://www.aliexpress.com/w/wholesale-DJI+Pocket+3.html" TargetMode="External" Id="rId191" /><Relationship Type="http://schemas.openxmlformats.org/officeDocument/2006/relationships/hyperlink" Target="https://www.ebay.com/sch/i.html?_nkw=DJI+Pocket+3&amp;_sop=15" TargetMode="External" Id="rId192" /><Relationship Type="http://schemas.openxmlformats.org/officeDocument/2006/relationships/hyperlink" Target="https://www.amazon.sa/s?k=DJI+Pocket+3" TargetMode="External" Id="rId193" /><Relationship Type="http://schemas.openxmlformats.org/officeDocument/2006/relationships/hyperlink" Target="https://www.noon.com/saudi-en/search/?q=DJI+Pocket+3" TargetMode="External" Id="rId194" /><Relationship Type="http://schemas.openxmlformats.org/officeDocument/2006/relationships/hyperlink" Target="https://www.jarir.com/sa-en/catalogsearch/result/?q=DJI+Pocket+3" TargetMode="External" Id="rId195" /><Relationship Type="http://schemas.openxmlformats.org/officeDocument/2006/relationships/hyperlink" Target="https://www.aliexpress.com/w/wholesale-BenQ+Zowie+XL2546K.html" TargetMode="External" Id="rId196" /><Relationship Type="http://schemas.openxmlformats.org/officeDocument/2006/relationships/hyperlink" Target="https://www.ebay.com/sch/i.html?_nkw=BenQ+Zowie+XL2546K&amp;_sop=15" TargetMode="External" Id="rId197" /><Relationship Type="http://schemas.openxmlformats.org/officeDocument/2006/relationships/hyperlink" Target="https://www.amazon.sa/s?k=BenQ+Zowie+XL2546K" TargetMode="External" Id="rId198" /><Relationship Type="http://schemas.openxmlformats.org/officeDocument/2006/relationships/hyperlink" Target="https://www.noon.com/saudi-en/search/?q=BenQ+Zowie+XL2546K" TargetMode="External" Id="rId199" /><Relationship Type="http://schemas.openxmlformats.org/officeDocument/2006/relationships/hyperlink" Target="https://www.jarir.com/sa-en/catalogsearch/result/?q=BenQ+Zowie+XL2546K" TargetMode="External" Id="rId200" /><Relationship Type="http://schemas.openxmlformats.org/officeDocument/2006/relationships/hyperlink" Target="https://www.aliexpress.com/w/wholesale-Phrozen+Sonic+Mini+8K+S.html" TargetMode="External" Id="rId201" /><Relationship Type="http://schemas.openxmlformats.org/officeDocument/2006/relationships/hyperlink" Target="https://www.ebay.com/sch/i.html?_nkw=Phrozen+Sonic+Mini+8K+S&amp;_sop=15" TargetMode="External" Id="rId202" /><Relationship Type="http://schemas.openxmlformats.org/officeDocument/2006/relationships/hyperlink" Target="https://www.amazon.sa/s?k=Phrozen+Sonic+Mini+8K+S" TargetMode="External" Id="rId203" /><Relationship Type="http://schemas.openxmlformats.org/officeDocument/2006/relationships/hyperlink" Target="https://www.noon.com/saudi-en/search/?q=Phrozen+Sonic+Mini+8K+S" TargetMode="External" Id="rId204" /><Relationship Type="http://schemas.openxmlformats.org/officeDocument/2006/relationships/hyperlink" Target="https://www.jarir.com/sa-en/catalogsearch/result/?q=Phrozen+Sonic+Mini+8K+S" TargetMode="External" Id="rId205" /><Relationship Type="http://schemas.openxmlformats.org/officeDocument/2006/relationships/hyperlink" Target="https://www.aliexpress.com/w/wholesale-CalDigit+TS4+Thunderbolt+4+Dock.html" TargetMode="External" Id="rId206" /><Relationship Type="http://schemas.openxmlformats.org/officeDocument/2006/relationships/hyperlink" Target="https://www.ebay.com/sch/i.html?_nkw=CalDigit+TS4+Thunderbolt+4+Dock&amp;_sop=15" TargetMode="External" Id="rId207" /><Relationship Type="http://schemas.openxmlformats.org/officeDocument/2006/relationships/hyperlink" Target="https://www.amazon.sa/s?k=CalDigit+TS4+Thunderbolt+4+Dock" TargetMode="External" Id="rId208" /><Relationship Type="http://schemas.openxmlformats.org/officeDocument/2006/relationships/hyperlink" Target="https://www.noon.com/saudi-en/search/?q=CalDigit+TS4+Thunderbolt+4+Dock" TargetMode="External" Id="rId209" /><Relationship Type="http://schemas.openxmlformats.org/officeDocument/2006/relationships/hyperlink" Target="https://www.jarir.com/sa-en/catalogsearch/result/?q=CalDigit+TS4+Thunderbolt+4+Dock" TargetMode="External" Id="rId210" /><Relationship Type="http://schemas.openxmlformats.org/officeDocument/2006/relationships/hyperlink" Target="https://www.aliexpress.com/w/wholesale-UniFi+Protect+G4+Pro+Camera.html" TargetMode="External" Id="rId211" /><Relationship Type="http://schemas.openxmlformats.org/officeDocument/2006/relationships/hyperlink" Target="https://www.ebay.com/sch/i.html?_nkw=UniFi+Protect+G4+Pro+Camera&amp;_sop=15" TargetMode="External" Id="rId212" /><Relationship Type="http://schemas.openxmlformats.org/officeDocument/2006/relationships/hyperlink" Target="https://www.amazon.sa/s?k=UniFi+Protect+G4+Pro+Camera" TargetMode="External" Id="rId213" /><Relationship Type="http://schemas.openxmlformats.org/officeDocument/2006/relationships/hyperlink" Target="https://www.noon.com/saudi-en/search/?q=UniFi+Protect+G4+Pro+Camera" TargetMode="External" Id="rId214" /><Relationship Type="http://schemas.openxmlformats.org/officeDocument/2006/relationships/hyperlink" Target="https://www.jarir.com/sa-en/catalogsearch/result/?q=UniFi+Protect+G4+Pro+Camera" TargetMode="External" Id="rId215" /><Relationship Type="http://schemas.openxmlformats.org/officeDocument/2006/relationships/hyperlink" Target="https://www.aliexpress.com/w/wholesale-QNAP+TS-464-8G.html" TargetMode="External" Id="rId216" /><Relationship Type="http://schemas.openxmlformats.org/officeDocument/2006/relationships/hyperlink" Target="https://www.ebay.com/sch/i.html?_nkw=QNAP+TS-464-8G&amp;_sop=15" TargetMode="External" Id="rId217" /><Relationship Type="http://schemas.openxmlformats.org/officeDocument/2006/relationships/hyperlink" Target="https://www.amazon.sa/s?k=QNAP+TS-464-8G" TargetMode="External" Id="rId218" /><Relationship Type="http://schemas.openxmlformats.org/officeDocument/2006/relationships/hyperlink" Target="https://www.noon.com/saudi-en/search/?q=QNAP+TS-464-8G" TargetMode="External" Id="rId219" /><Relationship Type="http://schemas.openxmlformats.org/officeDocument/2006/relationships/hyperlink" Target="https://www.jarir.com/sa-en/catalogsearch/result/?q=QNAP+TS-464-8G" TargetMode="External" Id="rId220" /><Relationship Type="http://schemas.openxmlformats.org/officeDocument/2006/relationships/hyperlink" Target="https://www.aliexpress.com/w/wholesale-MikroTik+CRS312-4C%2B8XG-RM.html" TargetMode="External" Id="rId221" /><Relationship Type="http://schemas.openxmlformats.org/officeDocument/2006/relationships/hyperlink" Target="https://www.ebay.com/sch/i.html?_nkw=MikroTik+CRS312-4C%2B8XG-RM&amp;_sop=15" TargetMode="External" Id="rId222" /><Relationship Type="http://schemas.openxmlformats.org/officeDocument/2006/relationships/hyperlink" Target="https://www.amazon.sa/s?k=MikroTik+CRS312-4C%2B8XG-RM" TargetMode="External" Id="rId223" /><Relationship Type="http://schemas.openxmlformats.org/officeDocument/2006/relationships/hyperlink" Target="https://www.noon.com/saudi-en/search/?q=MikroTik+CRS312-4C%2B8XG-RM" TargetMode="External" Id="rId224" /><Relationship Type="http://schemas.openxmlformats.org/officeDocument/2006/relationships/hyperlink" Target="https://www.jarir.com/sa-en/catalogsearch/result/?q=MikroTik+CRS312-4C%2B8XG-RM" TargetMode="External" Id="rId225" /><Relationship Type="http://schemas.openxmlformats.org/officeDocument/2006/relationships/hyperlink" Target="https://www.aliexpress.com/w/wholesale-MikroTik+CRS328-24P-4S%2BRM.html" TargetMode="External" Id="rId226" /><Relationship Type="http://schemas.openxmlformats.org/officeDocument/2006/relationships/hyperlink" Target="https://www.ebay.com/sch/i.html?_nkw=MikroTik+CRS328-24P-4S%2BRM&amp;_sop=15" TargetMode="External" Id="rId227" /><Relationship Type="http://schemas.openxmlformats.org/officeDocument/2006/relationships/hyperlink" Target="https://www.amazon.sa/s?k=MikroTik+CRS328-24P-4S%2BRM" TargetMode="External" Id="rId228" /><Relationship Type="http://schemas.openxmlformats.org/officeDocument/2006/relationships/hyperlink" Target="https://www.noon.com/saudi-en/search/?q=MikroTik+CRS328-24P-4S%2BRM" TargetMode="External" Id="rId229" /><Relationship Type="http://schemas.openxmlformats.org/officeDocument/2006/relationships/hyperlink" Target="https://www.jarir.com/sa-en/catalogsearch/result/?q=MikroTik+CRS328-24P-4S%2BRM" TargetMode="External" Id="rId230" /><Relationship Type="http://schemas.openxmlformats.org/officeDocument/2006/relationships/hyperlink" Target="https://www.aliexpress.com/w/wholesale-Seagate+IronWolf+18TB+NAS+Internal+Hard+Drive.html" TargetMode="External" Id="rId231" /><Relationship Type="http://schemas.openxmlformats.org/officeDocument/2006/relationships/hyperlink" Target="https://www.ebay.com/sch/i.html?_nkw=Seagate+IronWolf+18TB+NAS+Internal+Hard+Drive&amp;_sop=15" TargetMode="External" Id="rId232" /><Relationship Type="http://schemas.openxmlformats.org/officeDocument/2006/relationships/hyperlink" Target="https://www.amazon.sa/s?k=Seagate+IronWolf+18TB+NAS+Internal+Hard+Drive" TargetMode="External" Id="rId233" /><Relationship Type="http://schemas.openxmlformats.org/officeDocument/2006/relationships/hyperlink" Target="https://www.noon.com/saudi-en/search/?q=Seagate+IronWolf+18TB+NAS+Internal+Hard+Drive" TargetMode="External" Id="rId234" /><Relationship Type="http://schemas.openxmlformats.org/officeDocument/2006/relationships/hyperlink" Target="https://www.jarir.com/sa-en/catalogsearch/result/?q=Seagate+IronWolf+18TB+NAS+Internal+Hard+Drive" TargetMode="External" Id="rId235" /><Relationship Type="http://schemas.openxmlformats.org/officeDocument/2006/relationships/hyperlink" Target="https://www.aliexpress.com/w/wholesale-Netgate+2100+MAX+pfSense%2B+Gateway.html" TargetMode="External" Id="rId236" /><Relationship Type="http://schemas.openxmlformats.org/officeDocument/2006/relationships/hyperlink" Target="https://www.ebay.com/sch/i.html?_nkw=Netgate+2100+MAX+pfSense%2B+Gateway&amp;_sop=15" TargetMode="External" Id="rId237" /><Relationship Type="http://schemas.openxmlformats.org/officeDocument/2006/relationships/hyperlink" Target="https://www.amazon.sa/s?k=Netgate+2100+MAX+pfSense%2B+Gateway" TargetMode="External" Id="rId238" /><Relationship Type="http://schemas.openxmlformats.org/officeDocument/2006/relationships/hyperlink" Target="https://www.noon.com/saudi-en/search/?q=Netgate+2100+MAX+pfSense%2B+Gateway" TargetMode="External" Id="rId239" /><Relationship Type="http://schemas.openxmlformats.org/officeDocument/2006/relationships/hyperlink" Target="https://www.jarir.com/sa-en/catalogsearch/result/?q=Netgate+2100+MAX+pfSense%2B+Gateway" TargetMode="External" Id="rId240" /><Relationship Type="http://schemas.openxmlformats.org/officeDocument/2006/relationships/hyperlink" Target="https://www.aliexpress.com/w/wholesale-Ajax+Hub+2+Plus.html" TargetMode="External" Id="rId241" /><Relationship Type="http://schemas.openxmlformats.org/officeDocument/2006/relationships/hyperlink" Target="https://www.ebay.com/sch/i.html?_nkw=Ajax+Hub+2+Plus&amp;_sop=15" TargetMode="External" Id="rId242" /><Relationship Type="http://schemas.openxmlformats.org/officeDocument/2006/relationships/hyperlink" Target="https://www.amazon.sa/s?k=Ajax+Hub+2+Plus" TargetMode="External" Id="rId243" /><Relationship Type="http://schemas.openxmlformats.org/officeDocument/2006/relationships/hyperlink" Target="https://www.noon.com/saudi-en/search/?q=Ajax+Hub+2+Plus" TargetMode="External" Id="rId244" /><Relationship Type="http://schemas.openxmlformats.org/officeDocument/2006/relationships/hyperlink" Target="https://www.jarir.com/sa-en/catalogsearch/result/?q=Ajax+Hub+2+Plus" TargetMode="External" Id="rId245" /><Relationship Type="http://schemas.openxmlformats.org/officeDocument/2006/relationships/hyperlink" Target="https://www.aliexpress.com/w/wholesale-DJI+Osmo+Action+5+Pro.html" TargetMode="External" Id="rId246" /><Relationship Type="http://schemas.openxmlformats.org/officeDocument/2006/relationships/hyperlink" Target="https://www.ebay.com/sch/i.html?_nkw=DJI+Osmo+Action+5+Pro&amp;_sop=15" TargetMode="External" Id="rId247" /><Relationship Type="http://schemas.openxmlformats.org/officeDocument/2006/relationships/hyperlink" Target="https://www.amazon.sa/s?k=DJI+Osmo+Action+5+Pro" TargetMode="External" Id="rId248" /><Relationship Type="http://schemas.openxmlformats.org/officeDocument/2006/relationships/hyperlink" Target="https://www.noon.com/saudi-en/search/?q=DJI+Osmo+Action+5+Pro" TargetMode="External" Id="rId249" /><Relationship Type="http://schemas.openxmlformats.org/officeDocument/2006/relationships/hyperlink" Target="https://www.jarir.com/sa-en/catalogsearch/result/?q=DJI+Osmo+Action+5+Pro" TargetMode="External" Id="rId2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6"/>
  <sheetViews>
    <sheetView rightToLeft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4" customWidth="1" min="3" max="3"/>
    <col width="45" customWidth="1" min="4" max="4"/>
    <col width="22" customWidth="1" min="5" max="5"/>
    <col width="12" customWidth="1" min="6" max="6"/>
    <col width="7" customWidth="1" min="7" max="7"/>
    <col width="7" customWidth="1" min="8" max="8"/>
    <col width="9" customWidth="1" min="9" max="9"/>
    <col width="7" customWidth="1" min="10" max="10"/>
    <col width="7" customWidth="1" min="11" max="11"/>
    <col width="13" customWidth="1" min="12" max="12"/>
    <col width="13" customWidth="1" min="13" max="13"/>
    <col width="13" customWidth="1" min="14" max="14"/>
    <col width="12" customWidth="1" min="15" max="15"/>
    <col width="12" customWidth="1" min="16" max="16"/>
    <col width="13" customWidth="1" min="17" max="17"/>
    <col width="13" customWidth="1" min="18" max="18"/>
    <col width="14" customWidth="1" min="19" max="19"/>
    <col width="12" customWidth="1" min="20" max="20"/>
    <col width="12" customWidth="1" min="21" max="21"/>
    <col width="13" customWidth="1" min="22" max="22"/>
    <col width="14" customWidth="1" min="23" max="23"/>
    <col width="12" customWidth="1" min="24" max="24"/>
    <col width="11" customWidth="1" min="25" max="25"/>
    <col width="14" customWidth="1" min="26" max="26"/>
    <col width="10" customWidth="1" min="27" max="27"/>
    <col width="22" customWidth="1" min="28" max="28"/>
  </cols>
  <sheetData>
    <row r="1" ht="56" customHeight="1">
      <c r="A1" s="1" t="inlineStr">
        <is>
          <t>Priority</t>
        </is>
      </c>
      <c r="B1" s="1" t="inlineStr">
        <is>
          <t>Rank</t>
        </is>
      </c>
      <c r="C1" s="1" t="inlineStr">
        <is>
          <t>SKU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Current Sale (SAR)</t>
        </is>
      </c>
      <c r="G1" s="1" t="inlineStr">
        <is>
          <t>AliExp</t>
        </is>
      </c>
      <c r="H1" s="1" t="inlineStr">
        <is>
          <t>eBay</t>
        </is>
      </c>
      <c r="I1" s="1" t="inlineStr">
        <is>
          <t>Amazon.sa</t>
        </is>
      </c>
      <c r="J1" s="1" t="inlineStr">
        <is>
          <t>Noon</t>
        </is>
      </c>
      <c r="K1" s="1" t="inlineStr">
        <is>
          <t>Jarir</t>
        </is>
      </c>
      <c r="L1" s="1" t="inlineStr">
        <is>
          <t>AliExp Est (USD)</t>
        </is>
      </c>
      <c r="M1" s="1" t="inlineStr">
        <is>
          <t>eBay Est (USD)</t>
        </is>
      </c>
      <c r="N1" s="1" t="inlineStr">
        <is>
          <t>Amazon.sa Est (SAR)</t>
        </is>
      </c>
      <c r="O1" s="1" t="inlineStr">
        <is>
          <t>Noon Est (SAR)</t>
        </is>
      </c>
      <c r="P1" s="1" t="inlineStr">
        <is>
          <t>Jarir Est (SAR)</t>
        </is>
      </c>
      <c r="Q1" s="1" t="inlineStr">
        <is>
          <t>AliExp REAL (USD)</t>
        </is>
      </c>
      <c r="R1" s="1" t="inlineStr">
        <is>
          <t>eBay REAL (USD)</t>
        </is>
      </c>
      <c r="S1" s="1" t="inlineStr">
        <is>
          <t>Amazon.sa REAL (SAR)</t>
        </is>
      </c>
      <c r="T1" s="1" t="inlineStr">
        <is>
          <t>Noon REAL (SAR)</t>
        </is>
      </c>
      <c r="U1" s="1" t="inlineStr">
        <is>
          <t>Jarir REAL (SAR)</t>
        </is>
      </c>
      <c r="V1" s="1" t="inlineStr">
        <is>
          <t>Best Cost (SAR)</t>
        </is>
      </c>
      <c r="W1" s="1" t="inlineStr">
        <is>
          <t>Best Source</t>
        </is>
      </c>
      <c r="X1" s="1" t="inlineStr">
        <is>
          <t>Profit (SAR)</t>
        </is>
      </c>
      <c r="Y1" s="1" t="inlineStr">
        <is>
          <t>Margin %</t>
        </is>
      </c>
      <c r="Z1" s="1" t="inlineStr">
        <is>
          <t>Suggested Sell</t>
        </is>
      </c>
      <c r="AA1" s="1" t="inlineStr">
        <is>
          <t>vs Noon</t>
        </is>
      </c>
      <c r="AB1" s="1" t="inlineStr">
        <is>
          <t>Recommendation</t>
        </is>
      </c>
    </row>
    <row r="2">
      <c r="A2" s="2" t="inlineStr">
        <is>
          <t>⭐ TOP 50</t>
        </is>
      </c>
      <c r="B2" s="2" t="n">
        <v>1</v>
      </c>
      <c r="C2" s="2" t="inlineStr">
        <is>
          <t>GM-GPU-GIG-001</t>
        </is>
      </c>
      <c r="D2" s="2" t="inlineStr">
        <is>
          <t>Gigabyte AORUS RTX 5090 Master 32GB</t>
        </is>
      </c>
      <c r="E2" s="2" t="inlineStr">
        <is>
          <t>Hardware</t>
        </is>
      </c>
      <c r="F2" s="3" t="n">
        <v>27999</v>
      </c>
      <c r="G2" s="4" t="inlineStr">
        <is>
          <t>🔗</t>
        </is>
      </c>
      <c r="H2" s="4" t="inlineStr">
        <is>
          <t>🔗</t>
        </is>
      </c>
      <c r="I2" s="4" t="inlineStr">
        <is>
          <t>🔗</t>
        </is>
      </c>
      <c r="J2" s="4" t="inlineStr">
        <is>
          <t>🔗</t>
        </is>
      </c>
      <c r="K2" s="4" t="inlineStr">
        <is>
          <t>🔗</t>
        </is>
      </c>
      <c r="L2" s="5" t="n">
        <v>6743.1</v>
      </c>
      <c r="M2" s="5" t="n">
        <v>6374.45</v>
      </c>
      <c r="N2" s="6" t="n">
        <v>25948.21</v>
      </c>
      <c r="O2" s="6" t="n">
        <v>26759.03</v>
      </c>
      <c r="P2" s="6" t="n">
        <v>30104.53</v>
      </c>
      <c r="Q2" s="7" t="n"/>
      <c r="R2" s="7" t="n"/>
      <c r="S2" s="8" t="n"/>
      <c r="T2" s="8" t="n"/>
      <c r="U2" s="8" t="n"/>
      <c r="V2" s="9">
        <f>MIN(IF(Q2&lt;&gt;"",Q2*3.75,L2*3.75),IF(R2&lt;&gt;"",R2*3.75,M2*3.75),IF(S2&lt;&gt;"",S2,N2),IF(T2&lt;&gt;"",T2,O2),IF(U2&lt;&gt;"",U2,P2))</f>
        <v/>
      </c>
      <c r="W2" s="10">
        <f>INDEX({"AliExpress","eBay","Amazon.sa","Noon","Jarir"},MATCH(V2,{IF(Q2&lt;&gt;"",Q2*3.75,L2*3.75),IF(R2&lt;&gt;"",R2*3.75,M2*3.75),IF(S2&lt;&gt;"",S2,N2),IF(T2&lt;&gt;"",T2,O2),IF(U2&lt;&gt;"",U2,P2)},0))</f>
        <v/>
      </c>
      <c r="X2" s="9">
        <f>F2-V2</f>
        <v/>
      </c>
      <c r="Y2" s="11">
        <f>IF(V2=0,0,(F2-V2)/V2)</f>
        <v/>
      </c>
      <c r="Z2" s="9">
        <f>CEILING(MAX(V2*1.4,IF(IF(T2&lt;&gt;"",T2,O2)=0,V2*1.5,IF(T2&lt;&gt;"",T2,O2)*0.95)),10)-1</f>
        <v/>
      </c>
      <c r="AA2" s="12">
        <f>IF(IF(T2&lt;&gt;"",T2,O2)=0,"",TEXT((Z2-IF(T2&lt;&gt;"",T2,O2))/IF(T2&lt;&gt;"",T2,O2),"+0.0%;-0.0%"))</f>
        <v/>
      </c>
      <c r="AB2" s="10">
        <f>IF(Y2&gt;0.5,"✅ PROFITABLE — keep",IF(Y2&gt;0.2,"🟡 OK — optimize",IF(Y2&gt;0,"⚠️ THIN — raise or drop","❌ LOSING MONEY")))</f>
        <v/>
      </c>
    </row>
    <row r="3">
      <c r="A3" s="2" t="inlineStr">
        <is>
          <t>⭐ TOP 50</t>
        </is>
      </c>
      <c r="B3" s="2" t="n">
        <v>2</v>
      </c>
      <c r="C3" s="2" t="inlineStr">
        <is>
          <t>GM-GPU-NVD-001</t>
        </is>
      </c>
      <c r="D3" s="2" t="inlineStr">
        <is>
          <t>NVIDIA RTX 5090 Founders Edition (32GB)</t>
        </is>
      </c>
      <c r="E3" s="2" t="inlineStr">
        <is>
          <t>Hardware</t>
        </is>
      </c>
      <c r="F3" s="3" t="n">
        <v>22999</v>
      </c>
      <c r="G3" s="4" t="inlineStr">
        <is>
          <t>🔗</t>
        </is>
      </c>
      <c r="H3" s="4" t="inlineStr">
        <is>
          <t>🔗</t>
        </is>
      </c>
      <c r="I3" s="4" t="inlineStr">
        <is>
          <t>🔗</t>
        </is>
      </c>
      <c r="J3" s="4" t="inlineStr">
        <is>
          <t>🔗</t>
        </is>
      </c>
      <c r="K3" s="4" t="inlineStr">
        <is>
          <t>🔗</t>
        </is>
      </c>
      <c r="L3" s="5" t="n">
        <v>5568.65</v>
      </c>
      <c r="M3" s="5" t="n">
        <v>6033.88</v>
      </c>
      <c r="N3" s="6" t="n">
        <v>20579.04</v>
      </c>
      <c r="O3" s="6" t="n">
        <v>22711.68</v>
      </c>
      <c r="P3" s="6" t="n">
        <v>21965.55</v>
      </c>
      <c r="Q3" s="7" t="n"/>
      <c r="R3" s="7" t="n"/>
      <c r="S3" s="8" t="n"/>
      <c r="T3" s="8" t="n"/>
      <c r="U3" s="8" t="n"/>
      <c r="V3" s="9">
        <f>MIN(IF(Q3&lt;&gt;"",Q3*3.75,L3*3.75),IF(R3&lt;&gt;"",R3*3.75,M3*3.75),IF(S3&lt;&gt;"",S3,N3),IF(T3&lt;&gt;"",T3,O3),IF(U3&lt;&gt;"",U3,P3))</f>
        <v/>
      </c>
      <c r="W3" s="10">
        <f>INDEX({"AliExpress","eBay","Amazon.sa","Noon","Jarir"},MATCH(V3,{IF(Q3&lt;&gt;"",Q3*3.75,L3*3.75),IF(R3&lt;&gt;"",R3*3.75,M3*3.75),IF(S3&lt;&gt;"",S3,N3),IF(T3&lt;&gt;"",T3,O3),IF(U3&lt;&gt;"",U3,P3)},0))</f>
        <v/>
      </c>
      <c r="X3" s="9">
        <f>F3-V3</f>
        <v/>
      </c>
      <c r="Y3" s="11">
        <f>IF(V3=0,0,(F3-V3)/V3)</f>
        <v/>
      </c>
      <c r="Z3" s="9">
        <f>CEILING(MAX(V3*1.4,IF(IF(T3&lt;&gt;"",T3,O3)=0,V3*1.5,IF(T3&lt;&gt;"",T3,O3)*0.95)),10)-1</f>
        <v/>
      </c>
      <c r="AA3" s="12">
        <f>IF(IF(T3&lt;&gt;"",T3,O3)=0,"",TEXT((Z3-IF(T3&lt;&gt;"",T3,O3))/IF(T3&lt;&gt;"",T3,O3),"+0.0%;-0.0%"))</f>
        <v/>
      </c>
      <c r="AB3" s="10">
        <f>IF(Y3&gt;0.5,"✅ PROFITABLE — keep",IF(Y3&gt;0.2,"🟡 OK — optimize",IF(Y3&gt;0,"⚠️ THIN — raise or drop","❌ LOSING MONEY")))</f>
        <v/>
      </c>
    </row>
    <row r="4">
      <c r="A4" s="2" t="inlineStr">
        <is>
          <t>⭐ TOP 50</t>
        </is>
      </c>
      <c r="B4" s="2" t="n">
        <v>3</v>
      </c>
      <c r="C4" s="2" t="inlineStr">
        <is>
          <t>NG-ENT-001</t>
        </is>
      </c>
      <c r="D4" s="2" t="inlineStr">
        <is>
          <t>Dell PowerEdge R730 Refurbished Server - Enterprise Power, Smart Investment</t>
        </is>
      </c>
      <c r="E4" s="2" t="inlineStr">
        <is>
          <t>Homelab</t>
        </is>
      </c>
      <c r="F4" s="3" t="n">
        <v>8099</v>
      </c>
      <c r="G4" s="4" t="inlineStr">
        <is>
          <t>🔗</t>
        </is>
      </c>
      <c r="H4" s="4" t="inlineStr">
        <is>
          <t>🔗</t>
        </is>
      </c>
      <c r="I4" s="4" t="inlineStr">
        <is>
          <t>🔗</t>
        </is>
      </c>
      <c r="J4" s="4" t="inlineStr">
        <is>
          <t>🔗</t>
        </is>
      </c>
      <c r="K4" s="4" t="inlineStr">
        <is>
          <t>🔗</t>
        </is>
      </c>
      <c r="L4" s="5" t="n">
        <v>1268.13</v>
      </c>
      <c r="M4" s="5" t="n">
        <v>1589.37</v>
      </c>
      <c r="N4" s="6" t="n">
        <v>6353.76</v>
      </c>
      <c r="O4" s="6" t="n">
        <v>7481.4</v>
      </c>
      <c r="P4" s="6" t="n">
        <v>8661.67</v>
      </c>
      <c r="Q4" s="7" t="n"/>
      <c r="R4" s="7" t="n"/>
      <c r="S4" s="8" t="n"/>
      <c r="T4" s="8" t="n"/>
      <c r="U4" s="8" t="n"/>
      <c r="V4" s="9">
        <f>MIN(IF(Q4&lt;&gt;"",Q4*3.75,L4*3.75),IF(R4&lt;&gt;"",R4*3.75,M4*3.75),IF(S4&lt;&gt;"",S4,N4),IF(T4&lt;&gt;"",T4,O4),IF(U4&lt;&gt;"",U4,P4))</f>
        <v/>
      </c>
      <c r="W4" s="10">
        <f>INDEX({"AliExpress","eBay","Amazon.sa","Noon","Jarir"},MATCH(V4,{IF(Q4&lt;&gt;"",Q4*3.75,L4*3.75),IF(R4&lt;&gt;"",R4*3.75,M4*3.75),IF(S4&lt;&gt;"",S4,N4),IF(T4&lt;&gt;"",T4,O4),IF(U4&lt;&gt;"",U4,P4)},0))</f>
        <v/>
      </c>
      <c r="X4" s="9">
        <f>F4-V4</f>
        <v/>
      </c>
      <c r="Y4" s="11">
        <f>IF(V4=0,0,(F4-V4)/V4)</f>
        <v/>
      </c>
      <c r="Z4" s="9">
        <f>CEILING(MAX(V4*1.4,IF(IF(T4&lt;&gt;"",T4,O4)=0,V4*1.5,IF(T4&lt;&gt;"",T4,O4)*0.95)),10)-1</f>
        <v/>
      </c>
      <c r="AA4" s="12">
        <f>IF(IF(T4&lt;&gt;"",T4,O4)=0,"",TEXT((Z4-IF(T4&lt;&gt;"",T4,O4))/IF(T4&lt;&gt;"",T4,O4),"+0.0%;-0.0%"))</f>
        <v/>
      </c>
      <c r="AB4" s="10">
        <f>IF(Y4&gt;0.5,"✅ PROFITABLE — keep",IF(Y4&gt;0.2,"🟡 OK — optimize",IF(Y4&gt;0,"⚠️ THIN — raise or drop","❌ LOSING MONEY")))</f>
        <v/>
      </c>
    </row>
    <row r="5">
      <c r="A5" s="2" t="inlineStr">
        <is>
          <t>⭐ TOP 50</t>
        </is>
      </c>
      <c r="B5" s="2" t="n">
        <v>4</v>
      </c>
      <c r="C5" s="2" t="inlineStr">
        <is>
          <t>GM-MON-SAM-001</t>
        </is>
      </c>
      <c r="D5" s="2" t="inlineStr">
        <is>
          <t>Samsung Odyssey OLED G8 (34" UWQHD 175Hz)</t>
        </is>
      </c>
      <c r="E5" s="2" t="inlineStr">
        <is>
          <t>Gaming</t>
        </is>
      </c>
      <c r="F5" s="3" t="n">
        <v>7799</v>
      </c>
      <c r="G5" s="4" t="inlineStr">
        <is>
          <t>🔗</t>
        </is>
      </c>
      <c r="H5" s="4" t="inlineStr">
        <is>
          <t>🔗</t>
        </is>
      </c>
      <c r="I5" s="4" t="inlineStr">
        <is>
          <t>🔗</t>
        </is>
      </c>
      <c r="J5" s="4" t="inlineStr">
        <is>
          <t>🔗</t>
        </is>
      </c>
      <c r="K5" s="4" t="inlineStr">
        <is>
          <t>🔗</t>
        </is>
      </c>
      <c r="L5" s="5" t="n">
        <v>1625.81</v>
      </c>
      <c r="M5" s="5" t="n">
        <v>1732.55</v>
      </c>
      <c r="N5" s="6" t="n">
        <v>7410.42</v>
      </c>
      <c r="O5" s="6" t="n">
        <v>8185.12</v>
      </c>
      <c r="P5" s="6" t="n">
        <v>7417.67</v>
      </c>
      <c r="Q5" s="7" t="n"/>
      <c r="R5" s="7" t="n"/>
      <c r="S5" s="8" t="n"/>
      <c r="T5" s="8" t="n"/>
      <c r="U5" s="8" t="n"/>
      <c r="V5" s="9">
        <f>MIN(IF(Q5&lt;&gt;"",Q5*3.75,L5*3.75),IF(R5&lt;&gt;"",R5*3.75,M5*3.75),IF(S5&lt;&gt;"",S5,N5),IF(T5&lt;&gt;"",T5,O5),IF(U5&lt;&gt;"",U5,P5))</f>
        <v/>
      </c>
      <c r="W5" s="10">
        <f>INDEX({"AliExpress","eBay","Amazon.sa","Noon","Jarir"},MATCH(V5,{IF(Q5&lt;&gt;"",Q5*3.75,L5*3.75),IF(R5&lt;&gt;"",R5*3.75,M5*3.75),IF(S5&lt;&gt;"",S5,N5),IF(T5&lt;&gt;"",T5,O5),IF(U5&lt;&gt;"",U5,P5)},0))</f>
        <v/>
      </c>
      <c r="X5" s="9">
        <f>F5-V5</f>
        <v/>
      </c>
      <c r="Y5" s="11">
        <f>IF(V5=0,0,(F5-V5)/V5)</f>
        <v/>
      </c>
      <c r="Z5" s="9">
        <f>CEILING(MAX(V5*1.4,IF(IF(T5&lt;&gt;"",T5,O5)=0,V5*1.5,IF(T5&lt;&gt;"",T5,O5)*0.95)),10)-1</f>
        <v/>
      </c>
      <c r="AA5" s="12">
        <f>IF(IF(T5&lt;&gt;"",T5,O5)=0,"",TEXT((Z5-IF(T5&lt;&gt;"",T5,O5))/IF(T5&lt;&gt;"",T5,O5),"+0.0%;-0.0%"))</f>
        <v/>
      </c>
      <c r="AB5" s="10">
        <f>IF(Y5&gt;0.5,"✅ PROFITABLE — keep",IF(Y5&gt;0.2,"🟡 OK — optimize",IF(Y5&gt;0,"⚠️ THIN — raise or drop","❌ LOSING MONEY")))</f>
        <v/>
      </c>
    </row>
    <row r="6">
      <c r="A6" s="2" t="inlineStr">
        <is>
          <t>⭐ TOP 50</t>
        </is>
      </c>
      <c r="B6" s="2" t="n">
        <v>5</v>
      </c>
      <c r="C6" s="2" t="inlineStr">
        <is>
          <t>NG-DRN-007</t>
        </is>
      </c>
      <c r="D6" s="2" t="inlineStr">
        <is>
          <t>Roborock S8 MaxV Ultra - Smart Robot Vacuum with 10,000Pa Suction</t>
        </is>
      </c>
      <c r="E6" s="2" t="inlineStr">
        <is>
          <t>Drones &amp;amp; Robotics</t>
        </is>
      </c>
      <c r="F6" s="3" t="n">
        <v>7699</v>
      </c>
      <c r="G6" s="4" t="inlineStr">
        <is>
          <t>🔗</t>
        </is>
      </c>
      <c r="H6" s="4" t="inlineStr">
        <is>
          <t>🔗</t>
        </is>
      </c>
      <c r="I6" s="4" t="inlineStr">
        <is>
          <t>🔗</t>
        </is>
      </c>
      <c r="J6" s="4" t="inlineStr">
        <is>
          <t>🔗</t>
        </is>
      </c>
      <c r="K6" s="4" t="inlineStr">
        <is>
          <t>🔗</t>
        </is>
      </c>
      <c r="L6" s="5" t="n">
        <v>1833.01</v>
      </c>
      <c r="M6" s="5" t="n">
        <v>1912.85</v>
      </c>
      <c r="N6" s="6" t="n">
        <v>7322.04</v>
      </c>
      <c r="O6" s="6" t="n">
        <v>7298.55</v>
      </c>
      <c r="P6" s="6" t="n">
        <v>8566.879999999999</v>
      </c>
      <c r="Q6" s="7" t="n"/>
      <c r="R6" s="7" t="n"/>
      <c r="S6" s="8" t="n"/>
      <c r="T6" s="8" t="n"/>
      <c r="U6" s="8" t="n"/>
      <c r="V6" s="9">
        <f>MIN(IF(Q6&lt;&gt;"",Q6*3.75,L6*3.75),IF(R6&lt;&gt;"",R6*3.75,M6*3.75),IF(S6&lt;&gt;"",S6,N6),IF(T6&lt;&gt;"",T6,O6),IF(U6&lt;&gt;"",U6,P6))</f>
        <v/>
      </c>
      <c r="W6" s="10">
        <f>INDEX({"AliExpress","eBay","Amazon.sa","Noon","Jarir"},MATCH(V6,{IF(Q6&lt;&gt;"",Q6*3.75,L6*3.75),IF(R6&lt;&gt;"",R6*3.75,M6*3.75),IF(S6&lt;&gt;"",S6,N6),IF(T6&lt;&gt;"",T6,O6),IF(U6&lt;&gt;"",U6,P6)},0))</f>
        <v/>
      </c>
      <c r="X6" s="9">
        <f>F6-V6</f>
        <v/>
      </c>
      <c r="Y6" s="11">
        <f>IF(V6=0,0,(F6-V6)/V6)</f>
        <v/>
      </c>
      <c r="Z6" s="9">
        <f>CEILING(MAX(V6*1.4,IF(IF(T6&lt;&gt;"",T6,O6)=0,V6*1.5,IF(T6&lt;&gt;"",T6,O6)*0.95)),10)-1</f>
        <v/>
      </c>
      <c r="AA6" s="12">
        <f>IF(IF(T6&lt;&gt;"",T6,O6)=0,"",TEXT((Z6-IF(T6&lt;&gt;"",T6,O6))/IF(T6&lt;&gt;"",T6,O6),"+0.0%;-0.0%"))</f>
        <v/>
      </c>
      <c r="AB6" s="10">
        <f>IF(Y6&gt;0.5,"✅ PROFITABLE — keep",IF(Y6&gt;0.2,"🟡 OK — optimize",IF(Y6&gt;0,"⚠️ THIN — raise or drop","❌ LOSING MONEY")))</f>
        <v/>
      </c>
    </row>
    <row r="7">
      <c r="A7" s="2" t="inlineStr">
        <is>
          <t>⭐ TOP 50</t>
        </is>
      </c>
      <c r="B7" s="2" t="n">
        <v>6</v>
      </c>
      <c r="C7" s="2" t="inlineStr">
        <is>
          <t>GM-GPU-NVD-002</t>
        </is>
      </c>
      <c r="D7" s="2" t="inlineStr">
        <is>
          <t>NVIDIA RTX 5080 Founders Edition (16GB)</t>
        </is>
      </c>
      <c r="E7" s="2" t="inlineStr">
        <is>
          <t>Hardware</t>
        </is>
      </c>
      <c r="F7" s="3" t="n">
        <v>6499</v>
      </c>
      <c r="G7" s="4" t="inlineStr">
        <is>
          <t>🔗</t>
        </is>
      </c>
      <c r="H7" s="4" t="inlineStr">
        <is>
          <t>🔗</t>
        </is>
      </c>
      <c r="I7" s="4" t="inlineStr">
        <is>
          <t>🔗</t>
        </is>
      </c>
      <c r="J7" s="4" t="inlineStr">
        <is>
          <t>🔗</t>
        </is>
      </c>
      <c r="K7" s="4" t="inlineStr">
        <is>
          <t>🔗</t>
        </is>
      </c>
      <c r="L7" s="5" t="n">
        <v>1496.95</v>
      </c>
      <c r="M7" s="5" t="n">
        <v>1497.22</v>
      </c>
      <c r="N7" s="6" t="n">
        <v>5825.98</v>
      </c>
      <c r="O7" s="6" t="n">
        <v>6860.34</v>
      </c>
      <c r="P7" s="6" t="n">
        <v>6841.06</v>
      </c>
      <c r="Q7" s="7" t="n"/>
      <c r="R7" s="7" t="n"/>
      <c r="S7" s="8" t="n"/>
      <c r="T7" s="8" t="n"/>
      <c r="U7" s="8" t="n"/>
      <c r="V7" s="9">
        <f>MIN(IF(Q7&lt;&gt;"",Q7*3.75,L7*3.75),IF(R7&lt;&gt;"",R7*3.75,M7*3.75),IF(S7&lt;&gt;"",S7,N7),IF(T7&lt;&gt;"",T7,O7),IF(U7&lt;&gt;"",U7,P7))</f>
        <v/>
      </c>
      <c r="W7" s="10">
        <f>INDEX({"AliExpress","eBay","Amazon.sa","Noon","Jarir"},MATCH(V7,{IF(Q7&lt;&gt;"",Q7*3.75,L7*3.75),IF(R7&lt;&gt;"",R7*3.75,M7*3.75),IF(S7&lt;&gt;"",S7,N7),IF(T7&lt;&gt;"",T7,O7),IF(U7&lt;&gt;"",U7,P7)},0))</f>
        <v/>
      </c>
      <c r="X7" s="9">
        <f>F7-V7</f>
        <v/>
      </c>
      <c r="Y7" s="11">
        <f>IF(V7=0,0,(F7-V7)/V7)</f>
        <v/>
      </c>
      <c r="Z7" s="9">
        <f>CEILING(MAX(V7*1.4,IF(IF(T7&lt;&gt;"",T7,O7)=0,V7*1.5,IF(T7&lt;&gt;"",T7,O7)*0.95)),10)-1</f>
        <v/>
      </c>
      <c r="AA7" s="12">
        <f>IF(IF(T7&lt;&gt;"",T7,O7)=0,"",TEXT((Z7-IF(T7&lt;&gt;"",T7,O7))/IF(T7&lt;&gt;"",T7,O7),"+0.0%;-0.0%"))</f>
        <v/>
      </c>
      <c r="AB7" s="10">
        <f>IF(Y7&gt;0.5,"✅ PROFITABLE — keep",IF(Y7&gt;0.2,"🟡 OK — optimize",IF(Y7&gt;0,"⚠️ THIN — raise or drop","❌ LOSING MONEY")))</f>
        <v/>
      </c>
    </row>
    <row r="8">
      <c r="A8" s="2" t="inlineStr">
        <is>
          <t>⭐ TOP 50</t>
        </is>
      </c>
      <c r="B8" s="2" t="n">
        <v>7</v>
      </c>
      <c r="C8" s="2" t="inlineStr">
        <is>
          <t>NG-ENT-009</t>
        </is>
      </c>
      <c r="D8" s="2" t="inlineStr">
        <is>
          <t>HPE ProLiant DL380 Gen10 Server (Refurbished) - Data Center Power at Smart Pricing</t>
        </is>
      </c>
      <c r="E8" s="2" t="inlineStr">
        <is>
          <t>Homelab</t>
        </is>
      </c>
      <c r="F8" s="3" t="n">
        <v>6499</v>
      </c>
      <c r="G8" s="4" t="inlineStr">
        <is>
          <t>🔗</t>
        </is>
      </c>
      <c r="H8" s="4" t="inlineStr">
        <is>
          <t>🔗</t>
        </is>
      </c>
      <c r="I8" s="4" t="inlineStr">
        <is>
          <t>🔗</t>
        </is>
      </c>
      <c r="J8" s="4" t="inlineStr">
        <is>
          <t>🔗</t>
        </is>
      </c>
      <c r="K8" s="4" t="inlineStr">
        <is>
          <t>🔗</t>
        </is>
      </c>
      <c r="L8" s="5" t="n">
        <v>1190.98</v>
      </c>
      <c r="M8" s="5" t="n">
        <v>1341.49</v>
      </c>
      <c r="N8" s="6" t="n">
        <v>5661.66</v>
      </c>
      <c r="O8" s="6" t="n">
        <v>7110.46</v>
      </c>
      <c r="P8" s="6" t="n">
        <v>6544.9</v>
      </c>
      <c r="Q8" s="7" t="n"/>
      <c r="R8" s="7" t="n"/>
      <c r="S8" s="8" t="n"/>
      <c r="T8" s="8" t="n"/>
      <c r="U8" s="8" t="n"/>
      <c r="V8" s="9">
        <f>MIN(IF(Q8&lt;&gt;"",Q8*3.75,L8*3.75),IF(R8&lt;&gt;"",R8*3.75,M8*3.75),IF(S8&lt;&gt;"",S8,N8),IF(T8&lt;&gt;"",T8,O8),IF(U8&lt;&gt;"",U8,P8))</f>
        <v/>
      </c>
      <c r="W8" s="10">
        <f>INDEX({"AliExpress","eBay","Amazon.sa","Noon","Jarir"},MATCH(V8,{IF(Q8&lt;&gt;"",Q8*3.75,L8*3.75),IF(R8&lt;&gt;"",R8*3.75,M8*3.75),IF(S8&lt;&gt;"",S8,N8),IF(T8&lt;&gt;"",T8,O8),IF(U8&lt;&gt;"",U8,P8)},0))</f>
        <v/>
      </c>
      <c r="X8" s="9">
        <f>F8-V8</f>
        <v/>
      </c>
      <c r="Y8" s="11">
        <f>IF(V8=0,0,(F8-V8)/V8)</f>
        <v/>
      </c>
      <c r="Z8" s="9">
        <f>CEILING(MAX(V8*1.4,IF(IF(T8&lt;&gt;"",T8,O8)=0,V8*1.5,IF(T8&lt;&gt;"",T8,O8)*0.95)),10)-1</f>
        <v/>
      </c>
      <c r="AA8" s="12">
        <f>IF(IF(T8&lt;&gt;"",T8,O8)=0,"",TEXT((Z8-IF(T8&lt;&gt;"",T8,O8))/IF(T8&lt;&gt;"",T8,O8),"+0.0%;-0.0%"))</f>
        <v/>
      </c>
      <c r="AB8" s="10">
        <f>IF(Y8&gt;0.5,"✅ PROFITABLE — keep",IF(Y8&gt;0.2,"🟡 OK — optimize",IF(Y8&gt;0,"⚠️ THIN — raise or drop","❌ LOSING MONEY")))</f>
        <v/>
      </c>
    </row>
    <row r="9">
      <c r="A9" s="2" t="inlineStr">
        <is>
          <t>⭐ TOP 50</t>
        </is>
      </c>
      <c r="B9" s="2" t="n">
        <v>8</v>
      </c>
      <c r="C9" s="2" t="inlineStr">
        <is>
          <t>NG-DRN-001</t>
        </is>
      </c>
      <c r="D9" s="2" t="inlineStr">
        <is>
          <t>DJI Mini 4 Pro - Sub-249g Drone with 4K/60fps Camera</t>
        </is>
      </c>
      <c r="E9" s="2" t="inlineStr">
        <is>
          <t>Drones &amp;amp; Robotics</t>
        </is>
      </c>
      <c r="F9" s="3" t="n">
        <v>6099</v>
      </c>
      <c r="G9" s="4" t="inlineStr">
        <is>
          <t>🔗</t>
        </is>
      </c>
      <c r="H9" s="4" t="inlineStr">
        <is>
          <t>🔗</t>
        </is>
      </c>
      <c r="I9" s="4" t="inlineStr">
        <is>
          <t>🔗</t>
        </is>
      </c>
      <c r="J9" s="4" t="inlineStr">
        <is>
          <t>🔗</t>
        </is>
      </c>
      <c r="K9" s="4" t="inlineStr">
        <is>
          <t>🔗</t>
        </is>
      </c>
      <c r="L9" s="5" t="n">
        <v>1394.29</v>
      </c>
      <c r="M9" s="5" t="n">
        <v>1549.48</v>
      </c>
      <c r="N9" s="6" t="n">
        <v>6054.95</v>
      </c>
      <c r="O9" s="6" t="n">
        <v>6557.08</v>
      </c>
      <c r="P9" s="6" t="n">
        <v>6392.67</v>
      </c>
      <c r="Q9" s="7" t="n"/>
      <c r="R9" s="7" t="n"/>
      <c r="S9" s="8" t="n"/>
      <c r="T9" s="8" t="n"/>
      <c r="U9" s="8" t="n"/>
      <c r="V9" s="9">
        <f>MIN(IF(Q9&lt;&gt;"",Q9*3.75,L9*3.75),IF(R9&lt;&gt;"",R9*3.75,M9*3.75),IF(S9&lt;&gt;"",S9,N9),IF(T9&lt;&gt;"",T9,O9),IF(U9&lt;&gt;"",U9,P9))</f>
        <v/>
      </c>
      <c r="W9" s="10">
        <f>INDEX({"AliExpress","eBay","Amazon.sa","Noon","Jarir"},MATCH(V9,{IF(Q9&lt;&gt;"",Q9*3.75,L9*3.75),IF(R9&lt;&gt;"",R9*3.75,M9*3.75),IF(S9&lt;&gt;"",S9,N9),IF(T9&lt;&gt;"",T9,O9),IF(U9&lt;&gt;"",U9,P9)},0))</f>
        <v/>
      </c>
      <c r="X9" s="9">
        <f>F9-V9</f>
        <v/>
      </c>
      <c r="Y9" s="11">
        <f>IF(V9=0,0,(F9-V9)/V9)</f>
        <v/>
      </c>
      <c r="Z9" s="9">
        <f>CEILING(MAX(V9*1.4,IF(IF(T9&lt;&gt;"",T9,O9)=0,V9*1.5,IF(T9&lt;&gt;"",T9,O9)*0.95)),10)-1</f>
        <v/>
      </c>
      <c r="AA9" s="12">
        <f>IF(IF(T9&lt;&gt;"",T9,O9)=0,"",TEXT((Z9-IF(T9&lt;&gt;"",T9,O9))/IF(T9&lt;&gt;"",T9,O9),"+0.0%;-0.0%"))</f>
        <v/>
      </c>
      <c r="AB9" s="10">
        <f>IF(Y9&gt;0.5,"✅ PROFITABLE — keep",IF(Y9&gt;0.2,"🟡 OK — optimize",IF(Y9&gt;0,"⚠️ THIN — raise or drop","❌ LOSING MONEY")))</f>
        <v/>
      </c>
    </row>
    <row r="10">
      <c r="A10" s="2" t="inlineStr">
        <is>
          <t>⭐ TOP 50</t>
        </is>
      </c>
      <c r="B10" s="2" t="n">
        <v>9</v>
      </c>
      <c r="C10" s="2" t="inlineStr">
        <is>
          <t>SH-RVC-ECVX-001</t>
        </is>
      </c>
      <c r="D10" s="2" t="inlineStr">
        <is>
          <t>Ecovacs Deebot X9 Pro Omni</t>
        </is>
      </c>
      <c r="E10" s="2" t="inlineStr">
        <is>
          <t>Smart Home &amp;amp; IoT</t>
        </is>
      </c>
      <c r="F10" s="3" t="n">
        <v>5699</v>
      </c>
      <c r="G10" s="4" t="inlineStr">
        <is>
          <t>🔗</t>
        </is>
      </c>
      <c r="H10" s="4" t="inlineStr">
        <is>
          <t>🔗</t>
        </is>
      </c>
      <c r="I10" s="4" t="inlineStr">
        <is>
          <t>🔗</t>
        </is>
      </c>
      <c r="J10" s="4" t="inlineStr">
        <is>
          <t>🔗</t>
        </is>
      </c>
      <c r="K10" s="4" t="inlineStr">
        <is>
          <t>🔗</t>
        </is>
      </c>
      <c r="L10" s="5" t="n">
        <v>746.0599999999999</v>
      </c>
      <c r="M10" s="5" t="n">
        <v>851.87</v>
      </c>
      <c r="N10" s="6" t="n">
        <v>4314</v>
      </c>
      <c r="O10" s="6" t="n">
        <v>4971.51</v>
      </c>
      <c r="P10" s="6" t="n">
        <v>5137.9</v>
      </c>
      <c r="Q10" s="7" t="n"/>
      <c r="R10" s="7" t="n"/>
      <c r="S10" s="8" t="n"/>
      <c r="T10" s="8" t="n"/>
      <c r="U10" s="8" t="n"/>
      <c r="V10" s="9">
        <f>MIN(IF(Q10&lt;&gt;"",Q10*3.75,L10*3.75),IF(R10&lt;&gt;"",R10*3.75,M10*3.75),IF(S10&lt;&gt;"",S10,N10),IF(T10&lt;&gt;"",T10,O10),IF(U10&lt;&gt;"",U10,P10))</f>
        <v/>
      </c>
      <c r="W10" s="10">
        <f>INDEX({"AliExpress","eBay","Amazon.sa","Noon","Jarir"},MATCH(V10,{IF(Q10&lt;&gt;"",Q10*3.75,L10*3.75),IF(R10&lt;&gt;"",R10*3.75,M10*3.75),IF(S10&lt;&gt;"",S10,N10),IF(T10&lt;&gt;"",T10,O10),IF(U10&lt;&gt;"",U10,P10)},0))</f>
        <v/>
      </c>
      <c r="X10" s="9">
        <f>F10-V10</f>
        <v/>
      </c>
      <c r="Y10" s="11">
        <f>IF(V10=0,0,(F10-V10)/V10)</f>
        <v/>
      </c>
      <c r="Z10" s="9">
        <f>CEILING(MAX(V10*1.4,IF(IF(T10&lt;&gt;"",T10,O10)=0,V10*1.5,IF(T10&lt;&gt;"",T10,O10)*0.95)),10)-1</f>
        <v/>
      </c>
      <c r="AA10" s="12">
        <f>IF(IF(T10&lt;&gt;"",T10,O10)=0,"",TEXT((Z10-IF(T10&lt;&gt;"",T10,O10))/IF(T10&lt;&gt;"",T10,O10),"+0.0%;-0.0%"))</f>
        <v/>
      </c>
      <c r="AB10" s="10">
        <f>IF(Y10&gt;0.5,"✅ PROFITABLE — keep",IF(Y10&gt;0.2,"🟡 OK — optimize",IF(Y10&gt;0,"⚠️ THIN — raise or drop","❌ LOSING MONEY")))</f>
        <v/>
      </c>
    </row>
    <row r="11">
      <c r="A11" s="2" t="inlineStr">
        <is>
          <t>⭐ TOP 50</t>
        </is>
      </c>
      <c r="B11" s="2" t="n">
        <v>10</v>
      </c>
      <c r="C11" s="2" t="inlineStr">
        <is>
          <t>GM-MON-DEL-001</t>
        </is>
      </c>
      <c r="D11" s="2" t="inlineStr">
        <is>
          <t>Dell Alienware AW2725DF (27" QD-OLED 360Hz)</t>
        </is>
      </c>
      <c r="E11" s="2" t="inlineStr">
        <is>
          <t>Gaming</t>
        </is>
      </c>
      <c r="F11" s="3" t="n">
        <v>5599</v>
      </c>
      <c r="G11" s="4" t="inlineStr">
        <is>
          <t>🔗</t>
        </is>
      </c>
      <c r="H11" s="4" t="inlineStr">
        <is>
          <t>🔗</t>
        </is>
      </c>
      <c r="I11" s="4" t="inlineStr">
        <is>
          <t>🔗</t>
        </is>
      </c>
      <c r="J11" s="4" t="inlineStr">
        <is>
          <t>🔗</t>
        </is>
      </c>
      <c r="K11" s="4" t="inlineStr">
        <is>
          <t>🔗</t>
        </is>
      </c>
      <c r="L11" s="5" t="n">
        <v>1097.28</v>
      </c>
      <c r="M11" s="5" t="n">
        <v>1217.07</v>
      </c>
      <c r="N11" s="6" t="n">
        <v>5023.73</v>
      </c>
      <c r="O11" s="6" t="n">
        <v>5720.55</v>
      </c>
      <c r="P11" s="6" t="n">
        <v>5666.31</v>
      </c>
      <c r="Q11" s="7" t="n"/>
      <c r="R11" s="7" t="n"/>
      <c r="S11" s="8" t="n"/>
      <c r="T11" s="8" t="n"/>
      <c r="U11" s="8" t="n"/>
      <c r="V11" s="9">
        <f>MIN(IF(Q11&lt;&gt;"",Q11*3.75,L11*3.75),IF(R11&lt;&gt;"",R11*3.75,M11*3.75),IF(S11&lt;&gt;"",S11,N11),IF(T11&lt;&gt;"",T11,O11),IF(U11&lt;&gt;"",U11,P11))</f>
        <v/>
      </c>
      <c r="W11" s="10">
        <f>INDEX({"AliExpress","eBay","Amazon.sa","Noon","Jarir"},MATCH(V11,{IF(Q11&lt;&gt;"",Q11*3.75,L11*3.75),IF(R11&lt;&gt;"",R11*3.75,M11*3.75),IF(S11&lt;&gt;"",S11,N11),IF(T11&lt;&gt;"",T11,O11),IF(U11&lt;&gt;"",U11,P11)},0))</f>
        <v/>
      </c>
      <c r="X11" s="9">
        <f>F11-V11</f>
        <v/>
      </c>
      <c r="Y11" s="11">
        <f>IF(V11=0,0,(F11-V11)/V11)</f>
        <v/>
      </c>
      <c r="Z11" s="9">
        <f>CEILING(MAX(V11*1.4,IF(IF(T11&lt;&gt;"",T11,O11)=0,V11*1.5,IF(T11&lt;&gt;"",T11,O11)*0.95)),10)-1</f>
        <v/>
      </c>
      <c r="AA11" s="12">
        <f>IF(IF(T11&lt;&gt;"",T11,O11)=0,"",TEXT((Z11-IF(T11&lt;&gt;"",T11,O11))/IF(T11&lt;&gt;"",T11,O11),"+0.0%;-0.0%"))</f>
        <v/>
      </c>
      <c r="AB11" s="10">
        <f>IF(Y11&gt;0.5,"✅ PROFITABLE — keep",IF(Y11&gt;0.2,"🟡 OK — optimize",IF(Y11&gt;0,"⚠️ THIN — raise or drop","❌ LOSING MONEY")))</f>
        <v/>
      </c>
    </row>
    <row r="12">
      <c r="A12" s="2" t="inlineStr">
        <is>
          <t>⭐ TOP 50</t>
        </is>
      </c>
      <c r="B12" s="2" t="n">
        <v>11</v>
      </c>
      <c r="C12" s="2" t="inlineStr">
        <is>
          <t>NG-ENT-006</t>
        </is>
      </c>
      <c r="D12" s="2" t="inlineStr">
        <is>
          <t>Synology DiskStation DS1621+ 6-Bay NAS - Enterprise Storage Powerhouse</t>
        </is>
      </c>
      <c r="E12" s="2" t="inlineStr">
        <is>
          <t>Homelab</t>
        </is>
      </c>
      <c r="F12" s="3" t="n">
        <v>5599</v>
      </c>
      <c r="G12" s="4" t="inlineStr">
        <is>
          <t>🔗</t>
        </is>
      </c>
      <c r="H12" s="4" t="inlineStr">
        <is>
          <t>🔗</t>
        </is>
      </c>
      <c r="I12" s="4" t="inlineStr">
        <is>
          <t>🔗</t>
        </is>
      </c>
      <c r="J12" s="4" t="inlineStr">
        <is>
          <t>🔗</t>
        </is>
      </c>
      <c r="K12" s="4" t="inlineStr">
        <is>
          <t>🔗</t>
        </is>
      </c>
      <c r="L12" s="5" t="n">
        <v>915.15</v>
      </c>
      <c r="M12" s="5" t="n">
        <v>1023.67</v>
      </c>
      <c r="N12" s="6" t="n">
        <v>4621.34</v>
      </c>
      <c r="O12" s="6" t="n">
        <v>6080.87</v>
      </c>
      <c r="P12" s="6" t="n">
        <v>5985.6</v>
      </c>
      <c r="Q12" s="7" t="n"/>
      <c r="R12" s="7" t="n"/>
      <c r="S12" s="8" t="n"/>
      <c r="T12" s="8" t="n"/>
      <c r="U12" s="8" t="n"/>
      <c r="V12" s="9">
        <f>MIN(IF(Q12&lt;&gt;"",Q12*3.75,L12*3.75),IF(R12&lt;&gt;"",R12*3.75,M12*3.75),IF(S12&lt;&gt;"",S12,N12),IF(T12&lt;&gt;"",T12,O12),IF(U12&lt;&gt;"",U12,P12))</f>
        <v/>
      </c>
      <c r="W12" s="10">
        <f>INDEX({"AliExpress","eBay","Amazon.sa","Noon","Jarir"},MATCH(V12,{IF(Q12&lt;&gt;"",Q12*3.75,L12*3.75),IF(R12&lt;&gt;"",R12*3.75,M12*3.75),IF(S12&lt;&gt;"",S12,N12),IF(T12&lt;&gt;"",T12,O12),IF(U12&lt;&gt;"",U12,P12)},0))</f>
        <v/>
      </c>
      <c r="X12" s="9">
        <f>F12-V12</f>
        <v/>
      </c>
      <c r="Y12" s="11">
        <f>IF(V12=0,0,(F12-V12)/V12)</f>
        <v/>
      </c>
      <c r="Z12" s="9">
        <f>CEILING(MAX(V12*1.4,IF(IF(T12&lt;&gt;"",T12,O12)=0,V12*1.5,IF(T12&lt;&gt;"",T12,O12)*0.95)),10)-1</f>
        <v/>
      </c>
      <c r="AA12" s="12">
        <f>IF(IF(T12&lt;&gt;"",T12,O12)=0,"",TEXT((Z12-IF(T12&lt;&gt;"",T12,O12))/IF(T12&lt;&gt;"",T12,O12),"+0.0%;-0.0%"))</f>
        <v/>
      </c>
      <c r="AB12" s="10">
        <f>IF(Y12&gt;0.5,"✅ PROFITABLE — keep",IF(Y12&gt;0.2,"🟡 OK — optimize",IF(Y12&gt;0,"⚠️ THIN — raise or drop","❌ LOSING MONEY")))</f>
        <v/>
      </c>
    </row>
    <row r="13">
      <c r="A13" s="2" t="inlineStr">
        <is>
          <t>⭐ TOP 50</t>
        </is>
      </c>
      <c r="B13" s="2" t="n">
        <v>12</v>
      </c>
      <c r="C13" s="2" t="inlineStr">
        <is>
          <t>NT-FWL-FTN-001</t>
        </is>
      </c>
      <c r="D13" s="2" t="inlineStr">
        <is>
          <t>Fortinet FortiGate 60F</t>
        </is>
      </c>
      <c r="E13" s="2" t="inlineStr">
        <is>
          <t>Homelab</t>
        </is>
      </c>
      <c r="F13" s="3" t="n">
        <v>5499</v>
      </c>
      <c r="G13" s="4" t="inlineStr">
        <is>
          <t>🔗</t>
        </is>
      </c>
      <c r="H13" s="4" t="inlineStr">
        <is>
          <t>🔗</t>
        </is>
      </c>
      <c r="I13" s="4" t="inlineStr">
        <is>
          <t>🔗</t>
        </is>
      </c>
      <c r="J13" s="4" t="inlineStr">
        <is>
          <t>🔗</t>
        </is>
      </c>
      <c r="K13" s="4" t="inlineStr">
        <is>
          <t>🔗</t>
        </is>
      </c>
      <c r="L13" s="5" t="n">
        <v>958.37</v>
      </c>
      <c r="M13" s="5" t="n">
        <v>995.8200000000001</v>
      </c>
      <c r="N13" s="6" t="n">
        <v>4970.83</v>
      </c>
      <c r="O13" s="6" t="n">
        <v>5036.8</v>
      </c>
      <c r="P13" s="6" t="n">
        <v>5539</v>
      </c>
      <c r="Q13" s="7" t="n"/>
      <c r="R13" s="7" t="n"/>
      <c r="S13" s="8" t="n"/>
      <c r="T13" s="8" t="n"/>
      <c r="U13" s="8" t="n"/>
      <c r="V13" s="9">
        <f>MIN(IF(Q13&lt;&gt;"",Q13*3.75,L13*3.75),IF(R13&lt;&gt;"",R13*3.75,M13*3.75),IF(S13&lt;&gt;"",S13,N13),IF(T13&lt;&gt;"",T13,O13),IF(U13&lt;&gt;"",U13,P13))</f>
        <v/>
      </c>
      <c r="W13" s="10">
        <f>INDEX({"AliExpress","eBay","Amazon.sa","Noon","Jarir"},MATCH(V13,{IF(Q13&lt;&gt;"",Q13*3.75,L13*3.75),IF(R13&lt;&gt;"",R13*3.75,M13*3.75),IF(S13&lt;&gt;"",S13,N13),IF(T13&lt;&gt;"",T13,O13),IF(U13&lt;&gt;"",U13,P13)},0))</f>
        <v/>
      </c>
      <c r="X13" s="9">
        <f>F13-V13</f>
        <v/>
      </c>
      <c r="Y13" s="11">
        <f>IF(V13=0,0,(F13-V13)/V13)</f>
        <v/>
      </c>
      <c r="Z13" s="9">
        <f>CEILING(MAX(V13*1.4,IF(IF(T13&lt;&gt;"",T13,O13)=0,V13*1.5,IF(T13&lt;&gt;"",T13,O13)*0.95)),10)-1</f>
        <v/>
      </c>
      <c r="AA13" s="12">
        <f>IF(IF(T13&lt;&gt;"",T13,O13)=0,"",TEXT((Z13-IF(T13&lt;&gt;"",T13,O13))/IF(T13&lt;&gt;"",T13,O13),"+0.0%;-0.0%"))</f>
        <v/>
      </c>
      <c r="AB13" s="10">
        <f>IF(Y13&gt;0.5,"✅ PROFITABLE — keep",IF(Y13&gt;0.2,"🟡 OK — optimize",IF(Y13&gt;0,"⚠️ THIN — raise or drop","❌ LOSING MONEY")))</f>
        <v/>
      </c>
    </row>
    <row r="14">
      <c r="A14" s="2" t="inlineStr">
        <is>
          <t>⭐ TOP 50</t>
        </is>
      </c>
      <c r="B14" s="2" t="n">
        <v>13</v>
      </c>
      <c r="C14" s="2" t="inlineStr">
        <is>
          <t>GM-MON-ASU-001</t>
        </is>
      </c>
      <c r="D14" s="2" t="inlineStr">
        <is>
          <t>ASUS ROG Swift OLED PG27AQDM (27" QHD 240Hz)</t>
        </is>
      </c>
      <c r="E14" s="2" t="inlineStr">
        <is>
          <t>Gaming</t>
        </is>
      </c>
      <c r="F14" s="3" t="n">
        <v>5399</v>
      </c>
      <c r="G14" s="4" t="inlineStr">
        <is>
          <t>🔗</t>
        </is>
      </c>
      <c r="H14" s="4" t="inlineStr">
        <is>
          <t>🔗</t>
        </is>
      </c>
      <c r="I14" s="4" t="inlineStr">
        <is>
          <t>🔗</t>
        </is>
      </c>
      <c r="J14" s="4" t="inlineStr">
        <is>
          <t>🔗</t>
        </is>
      </c>
      <c r="K14" s="4" t="inlineStr">
        <is>
          <t>🔗</t>
        </is>
      </c>
      <c r="L14" s="5" t="n">
        <v>1221.51</v>
      </c>
      <c r="M14" s="5" t="n">
        <v>1290</v>
      </c>
      <c r="N14" s="6" t="n">
        <v>5100.34</v>
      </c>
      <c r="O14" s="6" t="n">
        <v>5558.48</v>
      </c>
      <c r="P14" s="6" t="n">
        <v>5902.64</v>
      </c>
      <c r="Q14" s="7" t="n"/>
      <c r="R14" s="7" t="n"/>
      <c r="S14" s="8" t="n"/>
      <c r="T14" s="8" t="n"/>
      <c r="U14" s="8" t="n"/>
      <c r="V14" s="9">
        <f>MIN(IF(Q14&lt;&gt;"",Q14*3.75,L14*3.75),IF(R14&lt;&gt;"",R14*3.75,M14*3.75),IF(S14&lt;&gt;"",S14,N14),IF(T14&lt;&gt;"",T14,O14),IF(U14&lt;&gt;"",U14,P14))</f>
        <v/>
      </c>
      <c r="W14" s="10">
        <f>INDEX({"AliExpress","eBay","Amazon.sa","Noon","Jarir"},MATCH(V14,{IF(Q14&lt;&gt;"",Q14*3.75,L14*3.75),IF(R14&lt;&gt;"",R14*3.75,M14*3.75),IF(S14&lt;&gt;"",S14,N14),IF(T14&lt;&gt;"",T14,O14),IF(U14&lt;&gt;"",U14,P14)},0))</f>
        <v/>
      </c>
      <c r="X14" s="9">
        <f>F14-V14</f>
        <v/>
      </c>
      <c r="Y14" s="11">
        <f>IF(V14=0,0,(F14-V14)/V14)</f>
        <v/>
      </c>
      <c r="Z14" s="9">
        <f>CEILING(MAX(V14*1.4,IF(IF(T14&lt;&gt;"",T14,O14)=0,V14*1.5,IF(T14&lt;&gt;"",T14,O14)*0.95)),10)-1</f>
        <v/>
      </c>
      <c r="AA14" s="12">
        <f>IF(IF(T14&lt;&gt;"",T14,O14)=0,"",TEXT((Z14-IF(T14&lt;&gt;"",T14,O14))/IF(T14&lt;&gt;"",T14,O14),"+0.0%;-0.0%"))</f>
        <v/>
      </c>
      <c r="AB14" s="10">
        <f>IF(Y14&gt;0.5,"✅ PROFITABLE — keep",IF(Y14&gt;0.2,"🟡 OK — optimize",IF(Y14&gt;0,"⚠️ THIN — raise or drop","❌ LOSING MONEY")))</f>
        <v/>
      </c>
    </row>
    <row r="15">
      <c r="A15" s="2" t="inlineStr">
        <is>
          <t>⭐ TOP 50</t>
        </is>
      </c>
      <c r="B15" s="2" t="n">
        <v>14</v>
      </c>
      <c r="C15" s="2" t="inlineStr">
        <is>
          <t>NG-3DP-001</t>
        </is>
      </c>
      <c r="D15" s="2" t="inlineStr">
        <is>
          <t>Bambu Lab P1S 3D Printer - Blazing Speed and Pro Quality in an Enclosed Design</t>
        </is>
      </c>
      <c r="E15" s="2" t="inlineStr">
        <is>
          <t>3D Printing &amp;amp; CNC</t>
        </is>
      </c>
      <c r="F15" s="3" t="n">
        <v>5099</v>
      </c>
      <c r="G15" s="4" t="inlineStr">
        <is>
          <t>🔗</t>
        </is>
      </c>
      <c r="H15" s="4" t="inlineStr">
        <is>
          <t>🔗</t>
        </is>
      </c>
      <c r="I15" s="4" t="inlineStr">
        <is>
          <t>🔗</t>
        </is>
      </c>
      <c r="J15" s="4" t="inlineStr">
        <is>
          <t>🔗</t>
        </is>
      </c>
      <c r="K15" s="4" t="inlineStr">
        <is>
          <t>🔗</t>
        </is>
      </c>
      <c r="L15" s="5" t="n">
        <v>958.88</v>
      </c>
      <c r="M15" s="5" t="n">
        <v>946.11</v>
      </c>
      <c r="N15" s="6" t="n">
        <v>4210.64</v>
      </c>
      <c r="O15" s="6" t="n">
        <v>5012.78</v>
      </c>
      <c r="P15" s="6" t="n">
        <v>5270.06</v>
      </c>
      <c r="Q15" s="7" t="n"/>
      <c r="R15" s="7" t="n"/>
      <c r="S15" s="8" t="n"/>
      <c r="T15" s="8" t="n"/>
      <c r="U15" s="8" t="n"/>
      <c r="V15" s="9">
        <f>MIN(IF(Q15&lt;&gt;"",Q15*3.75,L15*3.75),IF(R15&lt;&gt;"",R15*3.75,M15*3.75),IF(S15&lt;&gt;"",S15,N15),IF(T15&lt;&gt;"",T15,O15),IF(U15&lt;&gt;"",U15,P15))</f>
        <v/>
      </c>
      <c r="W15" s="10">
        <f>INDEX({"AliExpress","eBay","Amazon.sa","Noon","Jarir"},MATCH(V15,{IF(Q15&lt;&gt;"",Q15*3.75,L15*3.75),IF(R15&lt;&gt;"",R15*3.75,M15*3.75),IF(S15&lt;&gt;"",S15,N15),IF(T15&lt;&gt;"",T15,O15),IF(U15&lt;&gt;"",U15,P15)},0))</f>
        <v/>
      </c>
      <c r="X15" s="9">
        <f>F15-V15</f>
        <v/>
      </c>
      <c r="Y15" s="11">
        <f>IF(V15=0,0,(F15-V15)/V15)</f>
        <v/>
      </c>
      <c r="Z15" s="9">
        <f>CEILING(MAX(V15*1.4,IF(IF(T15&lt;&gt;"",T15,O15)=0,V15*1.5,IF(T15&lt;&gt;"",T15,O15)*0.95)),10)-1</f>
        <v/>
      </c>
      <c r="AA15" s="12">
        <f>IF(IF(T15&lt;&gt;"",T15,O15)=0,"",TEXT((Z15-IF(T15&lt;&gt;"",T15,O15))/IF(T15&lt;&gt;"",T15,O15),"+0.0%;-0.0%"))</f>
        <v/>
      </c>
      <c r="AB15" s="10">
        <f>IF(Y15&gt;0.5,"✅ PROFITABLE — keep",IF(Y15&gt;0.2,"🟡 OK — optimize",IF(Y15&gt;0,"⚠️ THIN — raise or drop","❌ LOSING MONEY")))</f>
        <v/>
      </c>
    </row>
    <row r="16">
      <c r="A16" s="2" t="inlineStr">
        <is>
          <t>⭐ TOP 50</t>
        </is>
      </c>
      <c r="B16" s="2" t="n">
        <v>15</v>
      </c>
      <c r="C16" s="2" t="inlineStr">
        <is>
          <t>GM-MON-LGE-001</t>
        </is>
      </c>
      <c r="D16" s="2" t="inlineStr">
        <is>
          <t>LG UltraGear OLED 27GR95QE-B (27" QHD 240Hz)</t>
        </is>
      </c>
      <c r="E16" s="2" t="inlineStr">
        <is>
          <t>Gaming</t>
        </is>
      </c>
      <c r="F16" s="3" t="n">
        <v>4899</v>
      </c>
      <c r="G16" s="4" t="inlineStr">
        <is>
          <t>🔗</t>
        </is>
      </c>
      <c r="H16" s="4" t="inlineStr">
        <is>
          <t>🔗</t>
        </is>
      </c>
      <c r="I16" s="4" t="inlineStr">
        <is>
          <t>🔗</t>
        </is>
      </c>
      <c r="J16" s="4" t="inlineStr">
        <is>
          <t>🔗</t>
        </is>
      </c>
      <c r="K16" s="4" t="inlineStr">
        <is>
          <t>🔗</t>
        </is>
      </c>
      <c r="L16" s="5" t="n">
        <v>955.8200000000001</v>
      </c>
      <c r="M16" s="5" t="n">
        <v>1229.89</v>
      </c>
      <c r="N16" s="6" t="n">
        <v>4894.02</v>
      </c>
      <c r="O16" s="6" t="n">
        <v>4753.74</v>
      </c>
      <c r="P16" s="6" t="n">
        <v>5199.92</v>
      </c>
      <c r="Q16" s="7" t="n"/>
      <c r="R16" s="7" t="n"/>
      <c r="S16" s="8" t="n"/>
      <c r="T16" s="8" t="n"/>
      <c r="U16" s="8" t="n"/>
      <c r="V16" s="9">
        <f>MIN(IF(Q16&lt;&gt;"",Q16*3.75,L16*3.75),IF(R16&lt;&gt;"",R16*3.75,M16*3.75),IF(S16&lt;&gt;"",S16,N16),IF(T16&lt;&gt;"",T16,O16),IF(U16&lt;&gt;"",U16,P16))</f>
        <v/>
      </c>
      <c r="W16" s="10">
        <f>INDEX({"AliExpress","eBay","Amazon.sa","Noon","Jarir"},MATCH(V16,{IF(Q16&lt;&gt;"",Q16*3.75,L16*3.75),IF(R16&lt;&gt;"",R16*3.75,M16*3.75),IF(S16&lt;&gt;"",S16,N16),IF(T16&lt;&gt;"",T16,O16),IF(U16&lt;&gt;"",U16,P16)},0))</f>
        <v/>
      </c>
      <c r="X16" s="9">
        <f>F16-V16</f>
        <v/>
      </c>
      <c r="Y16" s="11">
        <f>IF(V16=0,0,(F16-V16)/V16)</f>
        <v/>
      </c>
      <c r="Z16" s="9">
        <f>CEILING(MAX(V16*1.4,IF(IF(T16&lt;&gt;"",T16,O16)=0,V16*1.5,IF(T16&lt;&gt;"",T16,O16)*0.95)),10)-1</f>
        <v/>
      </c>
      <c r="AA16" s="12">
        <f>IF(IF(T16&lt;&gt;"",T16,O16)=0,"",TEXT((Z16-IF(T16&lt;&gt;"",T16,O16))/IF(T16&lt;&gt;"",T16,O16),"+0.0%;-0.0%"))</f>
        <v/>
      </c>
      <c r="AB16" s="10">
        <f>IF(Y16&gt;0.5,"✅ PROFITABLE — keep",IF(Y16&gt;0.2,"🟡 OK — optimize",IF(Y16&gt;0,"⚠️ THIN — raise or drop","❌ LOSING MONEY")))</f>
        <v/>
      </c>
    </row>
    <row r="17">
      <c r="A17" s="2" t="inlineStr">
        <is>
          <t>⭐ TOP 50</t>
        </is>
      </c>
      <c r="B17" s="2" t="n">
        <v>16</v>
      </c>
      <c r="C17" s="2" t="inlineStr">
        <is>
          <t>NT-UPS-APC-001</t>
        </is>
      </c>
      <c r="D17" s="2" t="inlineStr">
        <is>
          <t>APC Smart-UPS SMT1500RM2UC (1500VA Rack)</t>
        </is>
      </c>
      <c r="E17" s="2" t="inlineStr">
        <is>
          <t>Homelab</t>
        </is>
      </c>
      <c r="F17" s="3" t="n">
        <v>4899</v>
      </c>
      <c r="G17" s="4" t="inlineStr">
        <is>
          <t>🔗</t>
        </is>
      </c>
      <c r="H17" s="4" t="inlineStr">
        <is>
          <t>🔗</t>
        </is>
      </c>
      <c r="I17" s="4" t="inlineStr">
        <is>
          <t>🔗</t>
        </is>
      </c>
      <c r="J17" s="4" t="inlineStr">
        <is>
          <t>🔗</t>
        </is>
      </c>
      <c r="K17" s="4" t="inlineStr">
        <is>
          <t>🔗</t>
        </is>
      </c>
      <c r="L17" s="5" t="n">
        <v>806.38</v>
      </c>
      <c r="M17" s="5" t="n">
        <v>1052.27</v>
      </c>
      <c r="N17" s="6" t="n">
        <v>4203.37</v>
      </c>
      <c r="O17" s="6" t="n">
        <v>4596.6</v>
      </c>
      <c r="P17" s="6" t="n">
        <v>4784.97</v>
      </c>
      <c r="Q17" s="7" t="n"/>
      <c r="R17" s="7" t="n"/>
      <c r="S17" s="8" t="n"/>
      <c r="T17" s="8" t="n"/>
      <c r="U17" s="8" t="n"/>
      <c r="V17" s="9">
        <f>MIN(IF(Q17&lt;&gt;"",Q17*3.75,L17*3.75),IF(R17&lt;&gt;"",R17*3.75,M17*3.75),IF(S17&lt;&gt;"",S17,N17),IF(T17&lt;&gt;"",T17,O17),IF(U17&lt;&gt;"",U17,P17))</f>
        <v/>
      </c>
      <c r="W17" s="10">
        <f>INDEX({"AliExpress","eBay","Amazon.sa","Noon","Jarir"},MATCH(V17,{IF(Q17&lt;&gt;"",Q17*3.75,L17*3.75),IF(R17&lt;&gt;"",R17*3.75,M17*3.75),IF(S17&lt;&gt;"",S17,N17),IF(T17&lt;&gt;"",T17,O17),IF(U17&lt;&gt;"",U17,P17)},0))</f>
        <v/>
      </c>
      <c r="X17" s="9">
        <f>F17-V17</f>
        <v/>
      </c>
      <c r="Y17" s="11">
        <f>IF(V17=0,0,(F17-V17)/V17)</f>
        <v/>
      </c>
      <c r="Z17" s="9">
        <f>CEILING(MAX(V17*1.4,IF(IF(T17&lt;&gt;"",T17,O17)=0,V17*1.5,IF(T17&lt;&gt;"",T17,O17)*0.95)),10)-1</f>
        <v/>
      </c>
      <c r="AA17" s="12">
        <f>IF(IF(T17&lt;&gt;"",T17,O17)=0,"",TEXT((Z17-IF(T17&lt;&gt;"",T17,O17))/IF(T17&lt;&gt;"",T17,O17),"+0.0%;-0.0%"))</f>
        <v/>
      </c>
      <c r="AB17" s="10">
        <f>IF(Y17&gt;0.5,"✅ PROFITABLE — keep",IF(Y17&gt;0.2,"🟡 OK — optimize",IF(Y17&gt;0,"⚠️ THIN — raise or drop","❌ LOSING MONEY")))</f>
        <v/>
      </c>
    </row>
    <row r="18">
      <c r="A18" s="2" t="inlineStr">
        <is>
          <t>⭐ TOP 50</t>
        </is>
      </c>
      <c r="B18" s="2" t="n">
        <v>17</v>
      </c>
      <c r="C18" s="2" t="inlineStr">
        <is>
          <t>NG-ENT-008</t>
        </is>
      </c>
      <c r="D18" s="2" t="inlineStr">
        <is>
          <t>APC Smart-UPS 1500VA LCD RM 2U (SMT1500RMI2U) - Pure Sine Wave Rack UPS</t>
        </is>
      </c>
      <c r="E18" s="2" t="inlineStr">
        <is>
          <t>Homelab</t>
        </is>
      </c>
      <c r="F18" s="3" t="n">
        <v>4899</v>
      </c>
      <c r="G18" s="4" t="inlineStr">
        <is>
          <t>🔗</t>
        </is>
      </c>
      <c r="H18" s="4" t="inlineStr">
        <is>
          <t>🔗</t>
        </is>
      </c>
      <c r="I18" s="4" t="inlineStr">
        <is>
          <t>🔗</t>
        </is>
      </c>
      <c r="J18" s="4" t="inlineStr">
        <is>
          <t>🔗</t>
        </is>
      </c>
      <c r="K18" s="4" t="inlineStr">
        <is>
          <t>🔗</t>
        </is>
      </c>
      <c r="L18" s="5" t="n">
        <v>843.1900000000001</v>
      </c>
      <c r="M18" s="5" t="n">
        <v>907.51</v>
      </c>
      <c r="N18" s="6" t="n">
        <v>4308.08</v>
      </c>
      <c r="O18" s="6" t="n">
        <v>5278.78</v>
      </c>
      <c r="P18" s="6" t="n">
        <v>4957.11</v>
      </c>
      <c r="Q18" s="7" t="n"/>
      <c r="R18" s="7" t="n"/>
      <c r="S18" s="8" t="n"/>
      <c r="T18" s="8" t="n"/>
      <c r="U18" s="8" t="n"/>
      <c r="V18" s="9">
        <f>MIN(IF(Q18&lt;&gt;"",Q18*3.75,L18*3.75),IF(R18&lt;&gt;"",R18*3.75,M18*3.75),IF(S18&lt;&gt;"",S18,N18),IF(T18&lt;&gt;"",T18,O18),IF(U18&lt;&gt;"",U18,P18))</f>
        <v/>
      </c>
      <c r="W18" s="10">
        <f>INDEX({"AliExpress","eBay","Amazon.sa","Noon","Jarir"},MATCH(V18,{IF(Q18&lt;&gt;"",Q18*3.75,L18*3.75),IF(R18&lt;&gt;"",R18*3.75,M18*3.75),IF(S18&lt;&gt;"",S18,N18),IF(T18&lt;&gt;"",T18,O18),IF(U18&lt;&gt;"",U18,P18)},0))</f>
        <v/>
      </c>
      <c r="X18" s="9">
        <f>F18-V18</f>
        <v/>
      </c>
      <c r="Y18" s="11">
        <f>IF(V18=0,0,(F18-V18)/V18)</f>
        <v/>
      </c>
      <c r="Z18" s="9">
        <f>CEILING(MAX(V18*1.4,IF(IF(T18&lt;&gt;"",T18,O18)=0,V18*1.5,IF(T18&lt;&gt;"",T18,O18)*0.95)),10)-1</f>
        <v/>
      </c>
      <c r="AA18" s="12">
        <f>IF(IF(T18&lt;&gt;"",T18,O18)=0,"",TEXT((Z18-IF(T18&lt;&gt;"",T18,O18))/IF(T18&lt;&gt;"",T18,O18),"+0.0%;-0.0%"))</f>
        <v/>
      </c>
      <c r="AB18" s="10">
        <f>IF(Y18&gt;0.5,"✅ PROFITABLE — keep",IF(Y18&gt;0.2,"🟡 OK — optimize",IF(Y18&gt;0,"⚠️ THIN — raise or drop","❌ LOSING MONEY")))</f>
        <v/>
      </c>
    </row>
    <row r="19">
      <c r="A19" s="2" t="inlineStr">
        <is>
          <t>⭐ TOP 50</t>
        </is>
      </c>
      <c r="B19" s="2" t="n">
        <v>18</v>
      </c>
      <c r="C19" s="2" t="inlineStr">
        <is>
          <t>GM-RTR-ASU-001</t>
        </is>
      </c>
      <c r="D19" s="2" t="inlineStr">
        <is>
          <t>ASUS ROG Rapture GT-BE19000AI (WiFi 7)</t>
        </is>
      </c>
      <c r="E19" s="2" t="inlineStr">
        <is>
          <t>Gaming</t>
        </is>
      </c>
      <c r="F19" s="3" t="n">
        <v>4799</v>
      </c>
      <c r="G19" s="4" t="inlineStr">
        <is>
          <t>🔗</t>
        </is>
      </c>
      <c r="H19" s="4" t="inlineStr">
        <is>
          <t>🔗</t>
        </is>
      </c>
      <c r="I19" s="4" t="inlineStr">
        <is>
          <t>🔗</t>
        </is>
      </c>
      <c r="J19" s="4" t="inlineStr">
        <is>
          <t>🔗</t>
        </is>
      </c>
      <c r="K19" s="4" t="inlineStr">
        <is>
          <t>🔗</t>
        </is>
      </c>
      <c r="L19" s="5" t="n">
        <v>1085.87</v>
      </c>
      <c r="M19" s="5" t="n">
        <v>1279.26</v>
      </c>
      <c r="N19" s="6" t="n">
        <v>4638.81</v>
      </c>
      <c r="O19" s="6" t="n">
        <v>4484.88</v>
      </c>
      <c r="P19" s="6" t="n">
        <v>4597.49</v>
      </c>
      <c r="Q19" s="7" t="n"/>
      <c r="R19" s="7" t="n"/>
      <c r="S19" s="8" t="n"/>
      <c r="T19" s="8" t="n"/>
      <c r="U19" s="8" t="n"/>
      <c r="V19" s="9">
        <f>MIN(IF(Q19&lt;&gt;"",Q19*3.75,L19*3.75),IF(R19&lt;&gt;"",R19*3.75,M19*3.75),IF(S19&lt;&gt;"",S19,N19),IF(T19&lt;&gt;"",T19,O19),IF(U19&lt;&gt;"",U19,P19))</f>
        <v/>
      </c>
      <c r="W19" s="10">
        <f>INDEX({"AliExpress","eBay","Amazon.sa","Noon","Jarir"},MATCH(V19,{IF(Q19&lt;&gt;"",Q19*3.75,L19*3.75),IF(R19&lt;&gt;"",R19*3.75,M19*3.75),IF(S19&lt;&gt;"",S19,N19),IF(T19&lt;&gt;"",T19,O19),IF(U19&lt;&gt;"",U19,P19)},0))</f>
        <v/>
      </c>
      <c r="X19" s="9">
        <f>F19-V19</f>
        <v/>
      </c>
      <c r="Y19" s="11">
        <f>IF(V19=0,0,(F19-V19)/V19)</f>
        <v/>
      </c>
      <c r="Z19" s="9">
        <f>CEILING(MAX(V19*1.4,IF(IF(T19&lt;&gt;"",T19,O19)=0,V19*1.5,IF(T19&lt;&gt;"",T19,O19)*0.95)),10)-1</f>
        <v/>
      </c>
      <c r="AA19" s="12">
        <f>IF(IF(T19&lt;&gt;"",T19,O19)=0,"",TEXT((Z19-IF(T19&lt;&gt;"",T19,O19))/IF(T19&lt;&gt;"",T19,O19),"+0.0%;-0.0%"))</f>
        <v/>
      </c>
      <c r="AB19" s="10">
        <f>IF(Y19&gt;0.5,"✅ PROFITABLE — keep",IF(Y19&gt;0.2,"🟡 OK — optimize",IF(Y19&gt;0,"⚠️ THIN — raise or drop","❌ LOSING MONEY")))</f>
        <v/>
      </c>
    </row>
    <row r="20">
      <c r="A20" s="2" t="inlineStr">
        <is>
          <t>⭐ TOP 50</t>
        </is>
      </c>
      <c r="B20" s="2" t="n">
        <v>19</v>
      </c>
      <c r="C20" s="2" t="inlineStr">
        <is>
          <t>SH-RVC-DREM-001</t>
        </is>
      </c>
      <c r="D20" s="2" t="inlineStr">
        <is>
          <t>Dreame L50 Ultra</t>
        </is>
      </c>
      <c r="E20" s="2" t="inlineStr">
        <is>
          <t>Smart Home &amp;amp; IoT</t>
        </is>
      </c>
      <c r="F20" s="3" t="n">
        <v>4599</v>
      </c>
      <c r="G20" s="4" t="inlineStr">
        <is>
          <t>🔗</t>
        </is>
      </c>
      <c r="H20" s="4" t="inlineStr">
        <is>
          <t>🔗</t>
        </is>
      </c>
      <c r="I20" s="4" t="inlineStr">
        <is>
          <t>🔗</t>
        </is>
      </c>
      <c r="J20" s="4" t="inlineStr">
        <is>
          <t>🔗</t>
        </is>
      </c>
      <c r="K20" s="4" t="inlineStr">
        <is>
          <t>🔗</t>
        </is>
      </c>
      <c r="L20" s="5" t="n">
        <v>456.14</v>
      </c>
      <c r="M20" s="5" t="n">
        <v>851.5</v>
      </c>
      <c r="N20" s="6" t="n">
        <v>4129.99</v>
      </c>
      <c r="O20" s="6" t="n">
        <v>4164.58</v>
      </c>
      <c r="P20" s="6" t="n">
        <v>4126</v>
      </c>
      <c r="Q20" s="7" t="n"/>
      <c r="R20" s="7" t="n"/>
      <c r="S20" s="8" t="n"/>
      <c r="T20" s="8" t="n"/>
      <c r="U20" s="8" t="n"/>
      <c r="V20" s="9">
        <f>MIN(IF(Q20&lt;&gt;"",Q20*3.75,L20*3.75),IF(R20&lt;&gt;"",R20*3.75,M20*3.75),IF(S20&lt;&gt;"",S20,N20),IF(T20&lt;&gt;"",T20,O20),IF(U20&lt;&gt;"",U20,P20))</f>
        <v/>
      </c>
      <c r="W20" s="10">
        <f>INDEX({"AliExpress","eBay","Amazon.sa","Noon","Jarir"},MATCH(V20,{IF(Q20&lt;&gt;"",Q20*3.75,L20*3.75),IF(R20&lt;&gt;"",R20*3.75,M20*3.75),IF(S20&lt;&gt;"",S20,N20),IF(T20&lt;&gt;"",T20,O20),IF(U20&lt;&gt;"",U20,P20)},0))</f>
        <v/>
      </c>
      <c r="X20" s="9">
        <f>F20-V20</f>
        <v/>
      </c>
      <c r="Y20" s="11">
        <f>IF(V20=0,0,(F20-V20)/V20)</f>
        <v/>
      </c>
      <c r="Z20" s="9">
        <f>CEILING(MAX(V20*1.4,IF(IF(T20&lt;&gt;"",T20,O20)=0,V20*1.5,IF(T20&lt;&gt;"",T20,O20)*0.95)),10)-1</f>
        <v/>
      </c>
      <c r="AA20" s="12">
        <f>IF(IF(T20&lt;&gt;"",T20,O20)=0,"",TEXT((Z20-IF(T20&lt;&gt;"",T20,O20))/IF(T20&lt;&gt;"",T20,O20),"+0.0%;-0.0%"))</f>
        <v/>
      </c>
      <c r="AB20" s="10">
        <f>IF(Y20&gt;0.5,"✅ PROFITABLE — keep",IF(Y20&gt;0.2,"🟡 OK — optimize",IF(Y20&gt;0,"⚠️ THIN — raise or drop","❌ LOSING MONEY")))</f>
        <v/>
      </c>
    </row>
    <row r="21">
      <c r="A21" s="2" t="inlineStr">
        <is>
          <t>⭐ TOP 50</t>
        </is>
      </c>
      <c r="B21" s="2" t="n">
        <v>20</v>
      </c>
      <c r="C21" s="2" t="inlineStr">
        <is>
          <t>SH-RVC-RBRC-001</t>
        </is>
      </c>
      <c r="D21" s="2" t="inlineStr">
        <is>
          <t>Roborock Qrevo CurvX</t>
        </is>
      </c>
      <c r="E21" s="2" t="inlineStr">
        <is>
          <t>Smart Home &amp;amp; IoT</t>
        </is>
      </c>
      <c r="F21" s="3" t="n">
        <v>4599</v>
      </c>
      <c r="G21" s="4" t="inlineStr">
        <is>
          <t>🔗</t>
        </is>
      </c>
      <c r="H21" s="4" t="inlineStr">
        <is>
          <t>🔗</t>
        </is>
      </c>
      <c r="I21" s="4" t="inlineStr">
        <is>
          <t>🔗</t>
        </is>
      </c>
      <c r="J21" s="4" t="inlineStr">
        <is>
          <t>🔗</t>
        </is>
      </c>
      <c r="K21" s="4" t="inlineStr">
        <is>
          <t>🔗</t>
        </is>
      </c>
      <c r="L21" s="5" t="n">
        <v>522.84</v>
      </c>
      <c r="M21" s="5" t="n">
        <v>955.5</v>
      </c>
      <c r="N21" s="6" t="n">
        <v>3827.65</v>
      </c>
      <c r="O21" s="6" t="n">
        <v>4795.7</v>
      </c>
      <c r="P21" s="6" t="n">
        <v>5115.98</v>
      </c>
      <c r="Q21" s="7" t="n"/>
      <c r="R21" s="7" t="n"/>
      <c r="S21" s="8" t="n"/>
      <c r="T21" s="8" t="n"/>
      <c r="U21" s="8" t="n"/>
      <c r="V21" s="9">
        <f>MIN(IF(Q21&lt;&gt;"",Q21*3.75,L21*3.75),IF(R21&lt;&gt;"",R21*3.75,M21*3.75),IF(S21&lt;&gt;"",S21,N21),IF(T21&lt;&gt;"",T21,O21),IF(U21&lt;&gt;"",U21,P21))</f>
        <v/>
      </c>
      <c r="W21" s="10">
        <f>INDEX({"AliExpress","eBay","Amazon.sa","Noon","Jarir"},MATCH(V21,{IF(Q21&lt;&gt;"",Q21*3.75,L21*3.75),IF(R21&lt;&gt;"",R21*3.75,M21*3.75),IF(S21&lt;&gt;"",S21,N21),IF(T21&lt;&gt;"",T21,O21),IF(U21&lt;&gt;"",U21,P21)},0))</f>
        <v/>
      </c>
      <c r="X21" s="9">
        <f>F21-V21</f>
        <v/>
      </c>
      <c r="Y21" s="11">
        <f>IF(V21=0,0,(F21-V21)/V21)</f>
        <v/>
      </c>
      <c r="Z21" s="9">
        <f>CEILING(MAX(V21*1.4,IF(IF(T21&lt;&gt;"",T21,O21)=0,V21*1.5,IF(T21&lt;&gt;"",T21,O21)*0.95)),10)-1</f>
        <v/>
      </c>
      <c r="AA21" s="12">
        <f>IF(IF(T21&lt;&gt;"",T21,O21)=0,"",TEXT((Z21-IF(T21&lt;&gt;"",T21,O21))/IF(T21&lt;&gt;"",T21,O21),"+0.0%;-0.0%"))</f>
        <v/>
      </c>
      <c r="AB21" s="10">
        <f>IF(Y21&gt;0.5,"✅ PROFITABLE — keep",IF(Y21&gt;0.2,"🟡 OK — optimize",IF(Y21&gt;0,"⚠️ THIN — raise or drop","❌ LOSING MONEY")))</f>
        <v/>
      </c>
    </row>
    <row r="22">
      <c r="A22" s="2" t="inlineStr">
        <is>
          <t>⭐ TOP 50</t>
        </is>
      </c>
      <c r="B22" s="2" t="n">
        <v>21</v>
      </c>
      <c r="C22" s="2" t="inlineStr">
        <is>
          <t>NG-3DP-003</t>
        </is>
      </c>
      <c r="D22" s="2" t="inlineStr">
        <is>
          <t>Creality K1 Max - Large Format 3D Printer at 600mm/s</t>
        </is>
      </c>
      <c r="E22" s="2" t="inlineStr">
        <is>
          <t>3D Printing &amp;amp; CNC</t>
        </is>
      </c>
      <c r="F22" s="3" t="n">
        <v>4199</v>
      </c>
      <c r="G22" s="4" t="inlineStr">
        <is>
          <t>🔗</t>
        </is>
      </c>
      <c r="H22" s="4" t="inlineStr">
        <is>
          <t>🔗</t>
        </is>
      </c>
      <c r="I22" s="4" t="inlineStr">
        <is>
          <t>🔗</t>
        </is>
      </c>
      <c r="J22" s="4" t="inlineStr">
        <is>
          <t>🔗</t>
        </is>
      </c>
      <c r="K22" s="4" t="inlineStr">
        <is>
          <t>🔗</t>
        </is>
      </c>
      <c r="L22" s="5" t="n">
        <v>618.42</v>
      </c>
      <c r="M22" s="5" t="n">
        <v>889.23</v>
      </c>
      <c r="N22" s="6" t="n">
        <v>3958.43</v>
      </c>
      <c r="O22" s="6" t="n">
        <v>4314.03</v>
      </c>
      <c r="P22" s="6" t="n">
        <v>4339.1</v>
      </c>
      <c r="Q22" s="7" t="n"/>
      <c r="R22" s="7" t="n"/>
      <c r="S22" s="8" t="n"/>
      <c r="T22" s="8" t="n"/>
      <c r="U22" s="8" t="n"/>
      <c r="V22" s="9">
        <f>MIN(IF(Q22&lt;&gt;"",Q22*3.75,L22*3.75),IF(R22&lt;&gt;"",R22*3.75,M22*3.75),IF(S22&lt;&gt;"",S22,N22),IF(T22&lt;&gt;"",T22,O22),IF(U22&lt;&gt;"",U22,P22))</f>
        <v/>
      </c>
      <c r="W22" s="10">
        <f>INDEX({"AliExpress","eBay","Amazon.sa","Noon","Jarir"},MATCH(V22,{IF(Q22&lt;&gt;"",Q22*3.75,L22*3.75),IF(R22&lt;&gt;"",R22*3.75,M22*3.75),IF(S22&lt;&gt;"",S22,N22),IF(T22&lt;&gt;"",T22,O22),IF(U22&lt;&gt;"",U22,P22)},0))</f>
        <v/>
      </c>
      <c r="X22" s="9">
        <f>F22-V22</f>
        <v/>
      </c>
      <c r="Y22" s="11">
        <f>IF(V22=0,0,(F22-V22)/V22)</f>
        <v/>
      </c>
      <c r="Z22" s="9">
        <f>CEILING(MAX(V22*1.4,IF(IF(T22&lt;&gt;"",T22,O22)=0,V22*1.5,IF(T22&lt;&gt;"",T22,O22)*0.95)),10)-1</f>
        <v/>
      </c>
      <c r="AA22" s="12">
        <f>IF(IF(T22&lt;&gt;"",T22,O22)=0,"",TEXT((Z22-IF(T22&lt;&gt;"",T22,O22))/IF(T22&lt;&gt;"",T22,O22),"+0.0%;-0.0%"))</f>
        <v/>
      </c>
      <c r="AB22" s="10">
        <f>IF(Y22&gt;0.5,"✅ PROFITABLE — keep",IF(Y22&gt;0.2,"🟡 OK — optimize",IF(Y22&gt;0,"⚠️ THIN — raise or drop","❌ LOSING MONEY")))</f>
        <v/>
      </c>
    </row>
    <row r="23">
      <c r="A23" s="2" t="inlineStr">
        <is>
          <t>⭐ TOP 50</t>
        </is>
      </c>
      <c r="B23" s="2" t="n">
        <v>22</v>
      </c>
      <c r="C23" s="2" t="inlineStr">
        <is>
          <t>NG-ENT-010</t>
        </is>
      </c>
      <c r="D23" s="2" t="inlineStr">
        <is>
          <t>Ubiquiti UniFi Switch Pro 24 PoE (USW-Pro-24-PoE) - Smart Managed PoE+ Switch</t>
        </is>
      </c>
      <c r="E23" s="2" t="inlineStr">
        <is>
          <t>Homelab</t>
        </is>
      </c>
      <c r="F23" s="3" t="n">
        <v>4199</v>
      </c>
      <c r="G23" s="4" t="inlineStr">
        <is>
          <t>🔗</t>
        </is>
      </c>
      <c r="H23" s="4" t="inlineStr">
        <is>
          <t>🔗</t>
        </is>
      </c>
      <c r="I23" s="4" t="inlineStr">
        <is>
          <t>🔗</t>
        </is>
      </c>
      <c r="J23" s="4" t="inlineStr">
        <is>
          <t>🔗</t>
        </is>
      </c>
      <c r="K23" s="4" t="inlineStr">
        <is>
          <t>🔗</t>
        </is>
      </c>
      <c r="L23" s="5" t="n">
        <v>737.86</v>
      </c>
      <c r="M23" s="5" t="n">
        <v>749.0599999999999</v>
      </c>
      <c r="N23" s="6" t="n">
        <v>3585.57</v>
      </c>
      <c r="O23" s="6" t="n">
        <v>4114.26</v>
      </c>
      <c r="P23" s="6" t="n">
        <v>4784.25</v>
      </c>
      <c r="Q23" s="7" t="n"/>
      <c r="R23" s="7" t="n"/>
      <c r="S23" s="8" t="n"/>
      <c r="T23" s="8" t="n"/>
      <c r="U23" s="8" t="n"/>
      <c r="V23" s="9">
        <f>MIN(IF(Q23&lt;&gt;"",Q23*3.75,L23*3.75),IF(R23&lt;&gt;"",R23*3.75,M23*3.75),IF(S23&lt;&gt;"",S23,N23),IF(T23&lt;&gt;"",T23,O23),IF(U23&lt;&gt;"",U23,P23))</f>
        <v/>
      </c>
      <c r="W23" s="10">
        <f>INDEX({"AliExpress","eBay","Amazon.sa","Noon","Jarir"},MATCH(V23,{IF(Q23&lt;&gt;"",Q23*3.75,L23*3.75),IF(R23&lt;&gt;"",R23*3.75,M23*3.75),IF(S23&lt;&gt;"",S23,N23),IF(T23&lt;&gt;"",T23,O23),IF(U23&lt;&gt;"",U23,P23)},0))</f>
        <v/>
      </c>
      <c r="X23" s="9">
        <f>F23-V23</f>
        <v/>
      </c>
      <c r="Y23" s="11">
        <f>IF(V23=0,0,(F23-V23)/V23)</f>
        <v/>
      </c>
      <c r="Z23" s="9">
        <f>CEILING(MAX(V23*1.4,IF(IF(T23&lt;&gt;"",T23,O23)=0,V23*1.5,IF(T23&lt;&gt;"",T23,O23)*0.95)),10)-1</f>
        <v/>
      </c>
      <c r="AA23" s="12">
        <f>IF(IF(T23&lt;&gt;"",T23,O23)=0,"",TEXT((Z23-IF(T23&lt;&gt;"",T23,O23))/IF(T23&lt;&gt;"",T23,O23),"+0.0%;-0.0%"))</f>
        <v/>
      </c>
      <c r="AB23" s="10">
        <f>IF(Y23&gt;0.5,"✅ PROFITABLE — keep",IF(Y23&gt;0.2,"🟡 OK — optimize",IF(Y23&gt;0,"⚠️ THIN — raise or drop","❌ LOSING MONEY")))</f>
        <v/>
      </c>
    </row>
    <row r="24">
      <c r="A24" s="2" t="inlineStr">
        <is>
          <t>⭐ TOP 50</t>
        </is>
      </c>
      <c r="B24" s="2" t="n">
        <v>23</v>
      </c>
      <c r="C24" s="2" t="inlineStr">
        <is>
          <t>NG-DRN-002</t>
        </is>
      </c>
      <c r="D24" s="2" t="inlineStr">
        <is>
          <t>DJI Avata 2 - Immersive FPV Drone with Goggles</t>
        </is>
      </c>
      <c r="E24" s="2" t="inlineStr">
        <is>
          <t>Drones &amp;amp; Robotics</t>
        </is>
      </c>
      <c r="F24" s="3" t="n">
        <v>4099</v>
      </c>
      <c r="G24" s="4" t="inlineStr">
        <is>
          <t>🔗</t>
        </is>
      </c>
      <c r="H24" s="4" t="inlineStr">
        <is>
          <t>🔗</t>
        </is>
      </c>
      <c r="I24" s="4" t="inlineStr">
        <is>
          <t>🔗</t>
        </is>
      </c>
      <c r="J24" s="4" t="inlineStr">
        <is>
          <t>🔗</t>
        </is>
      </c>
      <c r="K24" s="4" t="inlineStr">
        <is>
          <t>🔗</t>
        </is>
      </c>
      <c r="L24" s="5" t="n">
        <v>986.62</v>
      </c>
      <c r="M24" s="5" t="n">
        <v>942.38</v>
      </c>
      <c r="N24" s="6" t="n">
        <v>3996.89</v>
      </c>
      <c r="O24" s="6" t="n">
        <v>3902.89</v>
      </c>
      <c r="P24" s="6" t="n">
        <v>4530</v>
      </c>
      <c r="Q24" s="7" t="n"/>
      <c r="R24" s="7" t="n"/>
      <c r="S24" s="8" t="n"/>
      <c r="T24" s="8" t="n"/>
      <c r="U24" s="8" t="n"/>
      <c r="V24" s="9">
        <f>MIN(IF(Q24&lt;&gt;"",Q24*3.75,L24*3.75),IF(R24&lt;&gt;"",R24*3.75,M24*3.75),IF(S24&lt;&gt;"",S24,N24),IF(T24&lt;&gt;"",T24,O24),IF(U24&lt;&gt;"",U24,P24))</f>
        <v/>
      </c>
      <c r="W24" s="10">
        <f>INDEX({"AliExpress","eBay","Amazon.sa","Noon","Jarir"},MATCH(V24,{IF(Q24&lt;&gt;"",Q24*3.75,L24*3.75),IF(R24&lt;&gt;"",R24*3.75,M24*3.75),IF(S24&lt;&gt;"",S24,N24),IF(T24&lt;&gt;"",T24,O24),IF(U24&lt;&gt;"",U24,P24)},0))</f>
        <v/>
      </c>
      <c r="X24" s="9">
        <f>F24-V24</f>
        <v/>
      </c>
      <c r="Y24" s="11">
        <f>IF(V24=0,0,(F24-V24)/V24)</f>
        <v/>
      </c>
      <c r="Z24" s="9">
        <f>CEILING(MAX(V24*1.4,IF(IF(T24&lt;&gt;"",T24,O24)=0,V24*1.5,IF(T24&lt;&gt;"",T24,O24)*0.95)),10)-1</f>
        <v/>
      </c>
      <c r="AA24" s="12">
        <f>IF(IF(T24&lt;&gt;"",T24,O24)=0,"",TEXT((Z24-IF(T24&lt;&gt;"",T24,O24))/IF(T24&lt;&gt;"",T24,O24),"+0.0%;-0.0%"))</f>
        <v/>
      </c>
      <c r="AB24" s="10">
        <f>IF(Y24&gt;0.5,"✅ PROFITABLE — keep",IF(Y24&gt;0.2,"🟡 OK — optimize",IF(Y24&gt;0,"⚠️ THIN — raise or drop","❌ LOSING MONEY")))</f>
        <v/>
      </c>
    </row>
    <row r="25">
      <c r="A25" s="2" t="inlineStr">
        <is>
          <t>⭐ TOP 50</t>
        </is>
      </c>
      <c r="B25" s="2" t="n">
        <v>24</v>
      </c>
      <c r="C25" s="2" t="inlineStr">
        <is>
          <t>NT-MPC-MNF-001</t>
        </is>
      </c>
      <c r="D25" s="2" t="inlineStr">
        <is>
          <t>MinisForum MS-01 (Homelab Server)</t>
        </is>
      </c>
      <c r="E25" s="2" t="inlineStr">
        <is>
          <t>Homelab</t>
        </is>
      </c>
      <c r="F25" s="3" t="n">
        <v>3999</v>
      </c>
      <c r="G25" s="4" t="inlineStr">
        <is>
          <t>🔗</t>
        </is>
      </c>
      <c r="H25" s="4" t="inlineStr">
        <is>
          <t>🔗</t>
        </is>
      </c>
      <c r="I25" s="4" t="inlineStr">
        <is>
          <t>🔗</t>
        </is>
      </c>
      <c r="J25" s="4" t="inlineStr">
        <is>
          <t>🔗</t>
        </is>
      </c>
      <c r="K25" s="4" t="inlineStr">
        <is>
          <t>🔗</t>
        </is>
      </c>
      <c r="L25" s="5" t="n">
        <v>744.33</v>
      </c>
      <c r="M25" s="5" t="n">
        <v>747.26</v>
      </c>
      <c r="N25" s="6" t="n">
        <v>3553.6</v>
      </c>
      <c r="O25" s="6" t="n">
        <v>4054.88</v>
      </c>
      <c r="P25" s="6" t="n">
        <v>3819.66</v>
      </c>
      <c r="Q25" s="7" t="n"/>
      <c r="R25" s="7" t="n"/>
      <c r="S25" s="8" t="n"/>
      <c r="T25" s="8" t="n"/>
      <c r="U25" s="8" t="n"/>
      <c r="V25" s="9">
        <f>MIN(IF(Q25&lt;&gt;"",Q25*3.75,L25*3.75),IF(R25&lt;&gt;"",R25*3.75,M25*3.75),IF(S25&lt;&gt;"",S25,N25),IF(T25&lt;&gt;"",T25,O25),IF(U25&lt;&gt;"",U25,P25))</f>
        <v/>
      </c>
      <c r="W25" s="10">
        <f>INDEX({"AliExpress","eBay","Amazon.sa","Noon","Jarir"},MATCH(V25,{IF(Q25&lt;&gt;"",Q25*3.75,L25*3.75),IF(R25&lt;&gt;"",R25*3.75,M25*3.75),IF(S25&lt;&gt;"",S25,N25),IF(T25&lt;&gt;"",T25,O25),IF(U25&lt;&gt;"",U25,P25)},0))</f>
        <v/>
      </c>
      <c r="X25" s="9">
        <f>F25-V25</f>
        <v/>
      </c>
      <c r="Y25" s="11">
        <f>IF(V25=0,0,(F25-V25)/V25)</f>
        <v/>
      </c>
      <c r="Z25" s="9">
        <f>CEILING(MAX(V25*1.4,IF(IF(T25&lt;&gt;"",T25,O25)=0,V25*1.5,IF(T25&lt;&gt;"",T25,O25)*0.95)),10)-1</f>
        <v/>
      </c>
      <c r="AA25" s="12">
        <f>IF(IF(T25&lt;&gt;"",T25,O25)=0,"",TEXT((Z25-IF(T25&lt;&gt;"",T25,O25))/IF(T25&lt;&gt;"",T25,O25),"+0.0%;-0.0%"))</f>
        <v/>
      </c>
      <c r="AB25" s="10">
        <f>IF(Y25&gt;0.5,"✅ PROFITABLE — keep",IF(Y25&gt;0.2,"🟡 OK — optimize",IF(Y25&gt;0,"⚠️ THIN — raise or drop","❌ LOSING MONEY")))</f>
        <v/>
      </c>
    </row>
    <row r="26">
      <c r="A26" s="2" t="inlineStr">
        <is>
          <t>⭐ TOP 50</t>
        </is>
      </c>
      <c r="B26" s="2" t="n">
        <v>25</v>
      </c>
      <c r="C26" s="2" t="inlineStr">
        <is>
          <t>NT-NET-UBQ-001</t>
        </is>
      </c>
      <c r="D26" s="2" t="inlineStr">
        <is>
          <t>Ubiquiti USW-Pro-24-PoE</t>
        </is>
      </c>
      <c r="E26" s="2" t="inlineStr">
        <is>
          <t>Networking</t>
        </is>
      </c>
      <c r="F26" s="3" t="n">
        <v>3999</v>
      </c>
      <c r="G26" s="4" t="inlineStr">
        <is>
          <t>🔗</t>
        </is>
      </c>
      <c r="H26" s="4" t="inlineStr">
        <is>
          <t>🔗</t>
        </is>
      </c>
      <c r="I26" s="4" t="inlineStr">
        <is>
          <t>🔗</t>
        </is>
      </c>
      <c r="J26" s="4" t="inlineStr">
        <is>
          <t>🔗</t>
        </is>
      </c>
      <c r="K26" s="4" t="inlineStr">
        <is>
          <t>🔗</t>
        </is>
      </c>
      <c r="L26" s="5" t="n">
        <v>786.21</v>
      </c>
      <c r="M26" s="5" t="n">
        <v>897.58</v>
      </c>
      <c r="N26" s="6" t="n">
        <v>3928.48</v>
      </c>
      <c r="O26" s="6" t="n">
        <v>4060.84</v>
      </c>
      <c r="P26" s="6" t="n">
        <v>3799.51</v>
      </c>
      <c r="Q26" s="7" t="n"/>
      <c r="R26" s="7" t="n"/>
      <c r="S26" s="8" t="n"/>
      <c r="T26" s="8" t="n"/>
      <c r="U26" s="8" t="n"/>
      <c r="V26" s="9">
        <f>MIN(IF(Q26&lt;&gt;"",Q26*3.75,L26*3.75),IF(R26&lt;&gt;"",R26*3.75,M26*3.75),IF(S26&lt;&gt;"",S26,N26),IF(T26&lt;&gt;"",T26,O26),IF(U26&lt;&gt;"",U26,P26))</f>
        <v/>
      </c>
      <c r="W26" s="10">
        <f>INDEX({"AliExpress","eBay","Amazon.sa","Noon","Jarir"},MATCH(V26,{IF(Q26&lt;&gt;"",Q26*3.75,L26*3.75),IF(R26&lt;&gt;"",R26*3.75,M26*3.75),IF(S26&lt;&gt;"",S26,N26),IF(T26&lt;&gt;"",T26,O26),IF(U26&lt;&gt;"",U26,P26)},0))</f>
        <v/>
      </c>
      <c r="X26" s="9">
        <f>F26-V26</f>
        <v/>
      </c>
      <c r="Y26" s="11">
        <f>IF(V26=0,0,(F26-V26)/V26)</f>
        <v/>
      </c>
      <c r="Z26" s="9">
        <f>CEILING(MAX(V26*1.4,IF(IF(T26&lt;&gt;"",T26,O26)=0,V26*1.5,IF(T26&lt;&gt;"",T26,O26)*0.95)),10)-1</f>
        <v/>
      </c>
      <c r="AA26" s="12">
        <f>IF(IF(T26&lt;&gt;"",T26,O26)=0,"",TEXT((Z26-IF(T26&lt;&gt;"",T26,O26))/IF(T26&lt;&gt;"",T26,O26),"+0.0%;-0.0%"))</f>
        <v/>
      </c>
      <c r="AB26" s="10">
        <f>IF(Y26&gt;0.5,"✅ PROFITABLE — keep",IF(Y26&gt;0.2,"🟡 OK — optimize",IF(Y26&gt;0,"⚠️ THIN — raise or drop","❌ LOSING MONEY")))</f>
        <v/>
      </c>
    </row>
    <row r="27">
      <c r="A27" s="2" t="inlineStr">
        <is>
          <t>⭐ TOP 50</t>
        </is>
      </c>
      <c r="B27" s="2" t="n">
        <v>26</v>
      </c>
      <c r="C27" s="2" t="inlineStr">
        <is>
          <t>GM-CHR-SEC-001</t>
        </is>
      </c>
      <c r="D27" s="2" t="inlineStr">
        <is>
          <t>Secretlab Titan Evo</t>
        </is>
      </c>
      <c r="E27" s="2" t="inlineStr">
        <is>
          <t>Gaming</t>
        </is>
      </c>
      <c r="F27" s="3" t="n">
        <v>3499</v>
      </c>
      <c r="G27" s="4" t="inlineStr">
        <is>
          <t>🔗</t>
        </is>
      </c>
      <c r="H27" s="4" t="inlineStr">
        <is>
          <t>🔗</t>
        </is>
      </c>
      <c r="I27" s="4" t="inlineStr">
        <is>
          <t>🔗</t>
        </is>
      </c>
      <c r="J27" s="4" t="inlineStr">
        <is>
          <t>🔗</t>
        </is>
      </c>
      <c r="K27" s="4" t="inlineStr">
        <is>
          <t>🔗</t>
        </is>
      </c>
      <c r="L27" s="5" t="n">
        <v>698.51</v>
      </c>
      <c r="M27" s="5" t="n">
        <v>749.1799999999999</v>
      </c>
      <c r="N27" s="6" t="n">
        <v>3526.81</v>
      </c>
      <c r="O27" s="6" t="n">
        <v>3711.02</v>
      </c>
      <c r="P27" s="6" t="n">
        <v>3818.75</v>
      </c>
      <c r="Q27" s="7" t="n"/>
      <c r="R27" s="7" t="n"/>
      <c r="S27" s="8" t="n"/>
      <c r="T27" s="8" t="n"/>
      <c r="U27" s="8" t="n"/>
      <c r="V27" s="9">
        <f>MIN(IF(Q27&lt;&gt;"",Q27*3.75,L27*3.75),IF(R27&lt;&gt;"",R27*3.75,M27*3.75),IF(S27&lt;&gt;"",S27,N27),IF(T27&lt;&gt;"",T27,O27),IF(U27&lt;&gt;"",U27,P27))</f>
        <v/>
      </c>
      <c r="W27" s="10">
        <f>INDEX({"AliExpress","eBay","Amazon.sa","Noon","Jarir"},MATCH(V27,{IF(Q27&lt;&gt;"",Q27*3.75,L27*3.75),IF(R27&lt;&gt;"",R27*3.75,M27*3.75),IF(S27&lt;&gt;"",S27,N27),IF(T27&lt;&gt;"",T27,O27),IF(U27&lt;&gt;"",U27,P27)},0))</f>
        <v/>
      </c>
      <c r="X27" s="9">
        <f>F27-V27</f>
        <v/>
      </c>
      <c r="Y27" s="11">
        <f>IF(V27=0,0,(F27-V27)/V27)</f>
        <v/>
      </c>
      <c r="Z27" s="9">
        <f>CEILING(MAX(V27*1.4,IF(IF(T27&lt;&gt;"",T27,O27)=0,V27*1.5,IF(T27&lt;&gt;"",T27,O27)*0.95)),10)-1</f>
        <v/>
      </c>
      <c r="AA27" s="12">
        <f>IF(IF(T27&lt;&gt;"",T27,O27)=0,"",TEXT((Z27-IF(T27&lt;&gt;"",T27,O27))/IF(T27&lt;&gt;"",T27,O27),"+0.0%;-0.0%"))</f>
        <v/>
      </c>
      <c r="AB27" s="10">
        <f>IF(Y27&gt;0.5,"✅ PROFITABLE — keep",IF(Y27&gt;0.2,"🟡 OK — optimize",IF(Y27&gt;0,"⚠️ THIN — raise or drop","❌ LOSING MONEY")))</f>
        <v/>
      </c>
    </row>
    <row r="28">
      <c r="A28" s="2" t="inlineStr">
        <is>
          <t>⭐ TOP 50</t>
        </is>
      </c>
      <c r="B28" s="2" t="n">
        <v>27</v>
      </c>
      <c r="C28" s="2" t="inlineStr">
        <is>
          <t>GM-MON-SAM-002</t>
        </is>
      </c>
      <c r="D28" s="2" t="inlineStr">
        <is>
          <t>Samsung Odyssey G7 G70D (32" 4K 144Hz)</t>
        </is>
      </c>
      <c r="E28" s="2" t="inlineStr">
        <is>
          <t>Gaming</t>
        </is>
      </c>
      <c r="F28" s="3" t="n">
        <v>3499</v>
      </c>
      <c r="G28" s="4" t="inlineStr">
        <is>
          <t>🔗</t>
        </is>
      </c>
      <c r="H28" s="4" t="inlineStr">
        <is>
          <t>🔗</t>
        </is>
      </c>
      <c r="I28" s="4" t="inlineStr">
        <is>
          <t>🔗</t>
        </is>
      </c>
      <c r="J28" s="4" t="inlineStr">
        <is>
          <t>🔗</t>
        </is>
      </c>
      <c r="K28" s="4" t="inlineStr">
        <is>
          <t>🔗</t>
        </is>
      </c>
      <c r="L28" s="5" t="n">
        <v>696.1900000000001</v>
      </c>
      <c r="M28" s="5" t="n">
        <v>754.5599999999999</v>
      </c>
      <c r="N28" s="6" t="n">
        <v>3496.42</v>
      </c>
      <c r="O28" s="6" t="n">
        <v>3749.22</v>
      </c>
      <c r="P28" s="6" t="n">
        <v>3375</v>
      </c>
      <c r="Q28" s="7" t="n"/>
      <c r="R28" s="7" t="n"/>
      <c r="S28" s="8" t="n"/>
      <c r="T28" s="8" t="n"/>
      <c r="U28" s="8" t="n"/>
      <c r="V28" s="9">
        <f>MIN(IF(Q28&lt;&gt;"",Q28*3.75,L28*3.75),IF(R28&lt;&gt;"",R28*3.75,M28*3.75),IF(S28&lt;&gt;"",S28,N28),IF(T28&lt;&gt;"",T28,O28),IF(U28&lt;&gt;"",U28,P28))</f>
        <v/>
      </c>
      <c r="W28" s="10">
        <f>INDEX({"AliExpress","eBay","Amazon.sa","Noon","Jarir"},MATCH(V28,{IF(Q28&lt;&gt;"",Q28*3.75,L28*3.75),IF(R28&lt;&gt;"",R28*3.75,M28*3.75),IF(S28&lt;&gt;"",S28,N28),IF(T28&lt;&gt;"",T28,O28),IF(U28&lt;&gt;"",U28,P28)},0))</f>
        <v/>
      </c>
      <c r="X28" s="9">
        <f>F28-V28</f>
        <v/>
      </c>
      <c r="Y28" s="11">
        <f>IF(V28=0,0,(F28-V28)/V28)</f>
        <v/>
      </c>
      <c r="Z28" s="9">
        <f>CEILING(MAX(V28*1.4,IF(IF(T28&lt;&gt;"",T28,O28)=0,V28*1.5,IF(T28&lt;&gt;"",T28,O28)*0.95)),10)-1</f>
        <v/>
      </c>
      <c r="AA28" s="12">
        <f>IF(IF(T28&lt;&gt;"",T28,O28)=0,"",TEXT((Z28-IF(T28&lt;&gt;"",T28,O28))/IF(T28&lt;&gt;"",T28,O28),"+0.0%;-0.0%"))</f>
        <v/>
      </c>
      <c r="AB28" s="10">
        <f>IF(Y28&gt;0.5,"✅ PROFITABLE — keep",IF(Y28&gt;0.2,"🟡 OK — optimize",IF(Y28&gt;0,"⚠️ THIN — raise or drop","❌ LOSING MONEY")))</f>
        <v/>
      </c>
    </row>
    <row r="29">
      <c r="A29" s="2" t="inlineStr">
        <is>
          <t>⭐ TOP 50</t>
        </is>
      </c>
      <c r="B29" s="2" t="n">
        <v>28</v>
      </c>
      <c r="C29" s="2" t="inlineStr">
        <is>
          <t>NT-NAS-SYN-002</t>
        </is>
      </c>
      <c r="D29" s="2" t="inlineStr">
        <is>
          <t>Synology DS925+ (4-Bay)</t>
        </is>
      </c>
      <c r="E29" s="2" t="inlineStr">
        <is>
          <t>Homelab</t>
        </is>
      </c>
      <c r="F29" s="3" t="n">
        <v>3499</v>
      </c>
      <c r="G29" s="4" t="inlineStr">
        <is>
          <t>🔗</t>
        </is>
      </c>
      <c r="H29" s="4" t="inlineStr">
        <is>
          <t>🔗</t>
        </is>
      </c>
      <c r="I29" s="4" t="inlineStr">
        <is>
          <t>🔗</t>
        </is>
      </c>
      <c r="J29" s="4" t="inlineStr">
        <is>
          <t>🔗</t>
        </is>
      </c>
      <c r="K29" s="4" t="inlineStr">
        <is>
          <t>🔗</t>
        </is>
      </c>
      <c r="L29" s="5" t="n">
        <v>590.27</v>
      </c>
      <c r="M29" s="5" t="n">
        <v>617.47</v>
      </c>
      <c r="N29" s="6" t="n">
        <v>3181.65</v>
      </c>
      <c r="O29" s="6" t="n">
        <v>3668.64</v>
      </c>
      <c r="P29" s="6" t="n">
        <v>3322.41</v>
      </c>
      <c r="Q29" s="7" t="n"/>
      <c r="R29" s="7" t="n"/>
      <c r="S29" s="8" t="n"/>
      <c r="T29" s="8" t="n"/>
      <c r="U29" s="8" t="n"/>
      <c r="V29" s="9">
        <f>MIN(IF(Q29&lt;&gt;"",Q29*3.75,L29*3.75),IF(R29&lt;&gt;"",R29*3.75,M29*3.75),IF(S29&lt;&gt;"",S29,N29),IF(T29&lt;&gt;"",T29,O29),IF(U29&lt;&gt;"",U29,P29))</f>
        <v/>
      </c>
      <c r="W29" s="10">
        <f>INDEX({"AliExpress","eBay","Amazon.sa","Noon","Jarir"},MATCH(V29,{IF(Q29&lt;&gt;"",Q29*3.75,L29*3.75),IF(R29&lt;&gt;"",R29*3.75,M29*3.75),IF(S29&lt;&gt;"",S29,N29),IF(T29&lt;&gt;"",T29,O29),IF(U29&lt;&gt;"",U29,P29)},0))</f>
        <v/>
      </c>
      <c r="X29" s="9">
        <f>F29-V29</f>
        <v/>
      </c>
      <c r="Y29" s="11">
        <f>IF(V29=0,0,(F29-V29)/V29)</f>
        <v/>
      </c>
      <c r="Z29" s="9">
        <f>CEILING(MAX(V29*1.4,IF(IF(T29&lt;&gt;"",T29,O29)=0,V29*1.5,IF(T29&lt;&gt;"",T29,O29)*0.95)),10)-1</f>
        <v/>
      </c>
      <c r="AA29" s="12">
        <f>IF(IF(T29&lt;&gt;"",T29,O29)=0,"",TEXT((Z29-IF(T29&lt;&gt;"",T29,O29))/IF(T29&lt;&gt;"",T29,O29),"+0.0%;-0.0%"))</f>
        <v/>
      </c>
      <c r="AB29" s="10">
        <f>IF(Y29&gt;0.5,"✅ PROFITABLE — keep",IF(Y29&gt;0.2,"🟡 OK — optimize",IF(Y29&gt;0,"⚠️ THIN — raise or drop","❌ LOSING MONEY")))</f>
        <v/>
      </c>
    </row>
    <row r="30">
      <c r="A30" s="2" t="inlineStr">
        <is>
          <t>⭐ TOP 50</t>
        </is>
      </c>
      <c r="B30" s="2" t="n">
        <v>29</v>
      </c>
      <c r="C30" s="2" t="inlineStr">
        <is>
          <t>NG-DRN-005</t>
        </is>
      </c>
      <c r="D30" s="2" t="inlineStr">
        <is>
          <t>Insta360 X4 - 8K 360-Degree Camera</t>
        </is>
      </c>
      <c r="E30" s="2" t="inlineStr">
        <is>
          <t>Drones &amp;amp; Robotics</t>
        </is>
      </c>
      <c r="F30" s="3" t="n">
        <v>3499</v>
      </c>
      <c r="G30" s="4" t="inlineStr">
        <is>
          <t>🔗</t>
        </is>
      </c>
      <c r="H30" s="4" t="inlineStr">
        <is>
          <t>🔗</t>
        </is>
      </c>
      <c r="I30" s="4" t="inlineStr">
        <is>
          <t>🔗</t>
        </is>
      </c>
      <c r="J30" s="4" t="inlineStr">
        <is>
          <t>🔗</t>
        </is>
      </c>
      <c r="K30" s="4" t="inlineStr">
        <is>
          <t>🔗</t>
        </is>
      </c>
      <c r="L30" s="5" t="n">
        <v>789.88</v>
      </c>
      <c r="M30" s="5" t="n">
        <v>847.1900000000001</v>
      </c>
      <c r="N30" s="6" t="n">
        <v>3288.21</v>
      </c>
      <c r="O30" s="6" t="n">
        <v>3768.56</v>
      </c>
      <c r="P30" s="6" t="n">
        <v>3575.75</v>
      </c>
      <c r="Q30" s="7" t="n"/>
      <c r="R30" s="7" t="n"/>
      <c r="S30" s="8" t="n"/>
      <c r="T30" s="8" t="n"/>
      <c r="U30" s="8" t="n"/>
      <c r="V30" s="9">
        <f>MIN(IF(Q30&lt;&gt;"",Q30*3.75,L30*3.75),IF(R30&lt;&gt;"",R30*3.75,M30*3.75),IF(S30&lt;&gt;"",S30,N30),IF(T30&lt;&gt;"",T30,O30),IF(U30&lt;&gt;"",U30,P30))</f>
        <v/>
      </c>
      <c r="W30" s="10">
        <f>INDEX({"AliExpress","eBay","Amazon.sa","Noon","Jarir"},MATCH(V30,{IF(Q30&lt;&gt;"",Q30*3.75,L30*3.75),IF(R30&lt;&gt;"",R30*3.75,M30*3.75),IF(S30&lt;&gt;"",S30,N30),IF(T30&lt;&gt;"",T30,O30),IF(U30&lt;&gt;"",U30,P30)},0))</f>
        <v/>
      </c>
      <c r="X30" s="9">
        <f>F30-V30</f>
        <v/>
      </c>
      <c r="Y30" s="11">
        <f>IF(V30=0,0,(F30-V30)/V30)</f>
        <v/>
      </c>
      <c r="Z30" s="9">
        <f>CEILING(MAX(V30*1.4,IF(IF(T30&lt;&gt;"",T30,O30)=0,V30*1.5,IF(T30&lt;&gt;"",T30,O30)*0.95)),10)-1</f>
        <v/>
      </c>
      <c r="AA30" s="12">
        <f>IF(IF(T30&lt;&gt;"",T30,O30)=0,"",TEXT((Z30-IF(T30&lt;&gt;"",T30,O30))/IF(T30&lt;&gt;"",T30,O30),"+0.0%;-0.0%"))</f>
        <v/>
      </c>
      <c r="AB30" s="10">
        <f>IF(Y30&gt;0.5,"✅ PROFITABLE — keep",IF(Y30&gt;0.2,"🟡 OK — optimize",IF(Y30&gt;0,"⚠️ THIN — raise or drop","❌ LOSING MONEY")))</f>
        <v/>
      </c>
    </row>
    <row r="31">
      <c r="A31" s="2" t="inlineStr">
        <is>
          <t>⭐ TOP 50</t>
        </is>
      </c>
      <c r="B31" s="2" t="n">
        <v>30</v>
      </c>
      <c r="C31" s="2" t="inlineStr">
        <is>
          <t>NG-3DP-005</t>
        </is>
      </c>
      <c r="D31" s="2" t="inlineStr">
        <is>
          <t>Elegoo Saturn 3 Ultra - 12K Resin 3D Printer with 10-inch Screen</t>
        </is>
      </c>
      <c r="E31" s="2" t="inlineStr">
        <is>
          <t>3D Printing &amp;amp; CNC</t>
        </is>
      </c>
      <c r="F31" s="3" t="n">
        <v>3499</v>
      </c>
      <c r="G31" s="4" t="inlineStr">
        <is>
          <t>🔗</t>
        </is>
      </c>
      <c r="H31" s="4" t="inlineStr">
        <is>
          <t>🔗</t>
        </is>
      </c>
      <c r="I31" s="4" t="inlineStr">
        <is>
          <t>🔗</t>
        </is>
      </c>
      <c r="J31" s="4" t="inlineStr">
        <is>
          <t>🔗</t>
        </is>
      </c>
      <c r="K31" s="4" t="inlineStr">
        <is>
          <t>🔗</t>
        </is>
      </c>
      <c r="L31" s="5" t="n">
        <v>552.71</v>
      </c>
      <c r="M31" s="5" t="n">
        <v>707.13</v>
      </c>
      <c r="N31" s="6" t="n">
        <v>3328.91</v>
      </c>
      <c r="O31" s="6" t="n">
        <v>3359.85</v>
      </c>
      <c r="P31" s="6" t="n">
        <v>3647.16</v>
      </c>
      <c r="Q31" s="7" t="n"/>
      <c r="R31" s="7" t="n"/>
      <c r="S31" s="8" t="n"/>
      <c r="T31" s="8" t="n"/>
      <c r="U31" s="8" t="n"/>
      <c r="V31" s="9">
        <f>MIN(IF(Q31&lt;&gt;"",Q31*3.75,L31*3.75),IF(R31&lt;&gt;"",R31*3.75,M31*3.75),IF(S31&lt;&gt;"",S31,N31),IF(T31&lt;&gt;"",T31,O31),IF(U31&lt;&gt;"",U31,P31))</f>
        <v/>
      </c>
      <c r="W31" s="10">
        <f>INDEX({"AliExpress","eBay","Amazon.sa","Noon","Jarir"},MATCH(V31,{IF(Q31&lt;&gt;"",Q31*3.75,L31*3.75),IF(R31&lt;&gt;"",R31*3.75,M31*3.75),IF(S31&lt;&gt;"",S31,N31),IF(T31&lt;&gt;"",T31,O31),IF(U31&lt;&gt;"",U31,P31)},0))</f>
        <v/>
      </c>
      <c r="X31" s="9">
        <f>F31-V31</f>
        <v/>
      </c>
      <c r="Y31" s="11">
        <f>IF(V31=0,0,(F31-V31)/V31)</f>
        <v/>
      </c>
      <c r="Z31" s="9">
        <f>CEILING(MAX(V31*1.4,IF(IF(T31&lt;&gt;"",T31,O31)=0,V31*1.5,IF(T31&lt;&gt;"",T31,O31)*0.95)),10)-1</f>
        <v/>
      </c>
      <c r="AA31" s="12">
        <f>IF(IF(T31&lt;&gt;"",T31,O31)=0,"",TEXT((Z31-IF(T31&lt;&gt;"",T31,O31))/IF(T31&lt;&gt;"",T31,O31),"+0.0%;-0.0%"))</f>
        <v/>
      </c>
      <c r="AB31" s="10">
        <f>IF(Y31&gt;0.5,"✅ PROFITABLE — keep",IF(Y31&gt;0.2,"🟡 OK — optimize",IF(Y31&gt;0,"⚠️ THIN — raise or drop","❌ LOSING MONEY")))</f>
        <v/>
      </c>
    </row>
    <row r="32">
      <c r="A32" s="2" t="inlineStr">
        <is>
          <t>⭐ TOP 50</t>
        </is>
      </c>
      <c r="B32" s="2" t="n">
        <v>31</v>
      </c>
      <c r="C32" s="2" t="inlineStr">
        <is>
          <t>NT-FWL-NGT-001</t>
        </is>
      </c>
      <c r="D32" s="2" t="inlineStr">
        <is>
          <t>Netgate 4200 MAX pfSense+ Gateway</t>
        </is>
      </c>
      <c r="E32" s="2" t="inlineStr">
        <is>
          <t>Homelab</t>
        </is>
      </c>
      <c r="F32" s="3" t="n">
        <v>3399</v>
      </c>
      <c r="G32" s="4" t="inlineStr">
        <is>
          <t>🔗</t>
        </is>
      </c>
      <c r="H32" s="4" t="inlineStr">
        <is>
          <t>🔗</t>
        </is>
      </c>
      <c r="I32" s="4" t="inlineStr">
        <is>
          <t>🔗</t>
        </is>
      </c>
      <c r="J32" s="4" t="inlineStr">
        <is>
          <t>🔗</t>
        </is>
      </c>
      <c r="K32" s="4" t="inlineStr">
        <is>
          <t>🔗</t>
        </is>
      </c>
      <c r="L32" s="5" t="n">
        <v>651.86</v>
      </c>
      <c r="M32" s="5" t="n">
        <v>689.3</v>
      </c>
      <c r="N32" s="6" t="n">
        <v>2904.37</v>
      </c>
      <c r="O32" s="6" t="n">
        <v>3378.15</v>
      </c>
      <c r="P32" s="6" t="n">
        <v>3221.68</v>
      </c>
      <c r="Q32" s="7" t="n"/>
      <c r="R32" s="7" t="n"/>
      <c r="S32" s="8" t="n"/>
      <c r="T32" s="8" t="n"/>
      <c r="U32" s="8" t="n"/>
      <c r="V32" s="9">
        <f>MIN(IF(Q32&lt;&gt;"",Q32*3.75,L32*3.75),IF(R32&lt;&gt;"",R32*3.75,M32*3.75),IF(S32&lt;&gt;"",S32,N32),IF(T32&lt;&gt;"",T32,O32),IF(U32&lt;&gt;"",U32,P32))</f>
        <v/>
      </c>
      <c r="W32" s="10">
        <f>INDEX({"AliExpress","eBay","Amazon.sa","Noon","Jarir"},MATCH(V32,{IF(Q32&lt;&gt;"",Q32*3.75,L32*3.75),IF(R32&lt;&gt;"",R32*3.75,M32*3.75),IF(S32&lt;&gt;"",S32,N32),IF(T32&lt;&gt;"",T32,O32),IF(U32&lt;&gt;"",U32,P32)},0))</f>
        <v/>
      </c>
      <c r="X32" s="9">
        <f>F32-V32</f>
        <v/>
      </c>
      <c r="Y32" s="11">
        <f>IF(V32=0,0,(F32-V32)/V32)</f>
        <v/>
      </c>
      <c r="Z32" s="9">
        <f>CEILING(MAX(V32*1.4,IF(IF(T32&lt;&gt;"",T32,O32)=0,V32*1.5,IF(T32&lt;&gt;"",T32,O32)*0.95)),10)-1</f>
        <v/>
      </c>
      <c r="AA32" s="12">
        <f>IF(IF(T32&lt;&gt;"",T32,O32)=0,"",TEXT((Z32-IF(T32&lt;&gt;"",T32,O32))/IF(T32&lt;&gt;"",T32,O32),"+0.0%;-0.0%"))</f>
        <v/>
      </c>
      <c r="AB32" s="10">
        <f>IF(Y32&gt;0.5,"✅ PROFITABLE — keep",IF(Y32&gt;0.2,"🟡 OK — optimize",IF(Y32&gt;0,"⚠️ THIN — raise or drop","❌ LOSING MONEY")))</f>
        <v/>
      </c>
    </row>
    <row r="33">
      <c r="A33" s="2" t="inlineStr">
        <is>
          <t>⭐ TOP 50</t>
        </is>
      </c>
      <c r="B33" s="2" t="n">
        <v>32</v>
      </c>
      <c r="C33" s="2" t="inlineStr">
        <is>
          <t>NG-MKR-007</t>
        </is>
      </c>
      <c r="D33" s="2" t="inlineStr">
        <is>
          <t>Prusa Mini+ 3D Printer - Professional Precision in a Compact Package</t>
        </is>
      </c>
      <c r="E33" s="2" t="inlineStr">
        <is>
          <t>Enthusiasts &amp;amp; Gamers</t>
        </is>
      </c>
      <c r="F33" s="3" t="n">
        <v>3299</v>
      </c>
      <c r="G33" s="4" t="inlineStr">
        <is>
          <t>🔗</t>
        </is>
      </c>
      <c r="H33" s="4" t="inlineStr">
        <is>
          <t>🔗</t>
        </is>
      </c>
      <c r="I33" s="4" t="inlineStr">
        <is>
          <t>🔗</t>
        </is>
      </c>
      <c r="J33" s="4" t="inlineStr">
        <is>
          <t>🔗</t>
        </is>
      </c>
      <c r="K33" s="4" t="inlineStr">
        <is>
          <t>🔗</t>
        </is>
      </c>
      <c r="L33" s="5" t="n">
        <v>523.39</v>
      </c>
      <c r="M33" s="5" t="n">
        <v>631.3099999999999</v>
      </c>
      <c r="N33" s="6" t="n">
        <v>3054.53</v>
      </c>
      <c r="O33" s="6" t="n">
        <v>3186.91</v>
      </c>
      <c r="P33" s="6" t="n">
        <v>3378.32</v>
      </c>
      <c r="Q33" s="7" t="n"/>
      <c r="R33" s="7" t="n"/>
      <c r="S33" s="8" t="n"/>
      <c r="T33" s="8" t="n"/>
      <c r="U33" s="8" t="n"/>
      <c r="V33" s="9">
        <f>MIN(IF(Q33&lt;&gt;"",Q33*3.75,L33*3.75),IF(R33&lt;&gt;"",R33*3.75,M33*3.75),IF(S33&lt;&gt;"",S33,N33),IF(T33&lt;&gt;"",T33,O33),IF(U33&lt;&gt;"",U33,P33))</f>
        <v/>
      </c>
      <c r="W33" s="10">
        <f>INDEX({"AliExpress","eBay","Amazon.sa","Noon","Jarir"},MATCH(V33,{IF(Q33&lt;&gt;"",Q33*3.75,L33*3.75),IF(R33&lt;&gt;"",R33*3.75,M33*3.75),IF(S33&lt;&gt;"",S33,N33),IF(T33&lt;&gt;"",T33,O33),IF(U33&lt;&gt;"",U33,P33)},0))</f>
        <v/>
      </c>
      <c r="X33" s="9">
        <f>F33-V33</f>
        <v/>
      </c>
      <c r="Y33" s="11">
        <f>IF(V33=0,0,(F33-V33)/V33)</f>
        <v/>
      </c>
      <c r="Z33" s="9">
        <f>CEILING(MAX(V33*1.4,IF(IF(T33&lt;&gt;"",T33,O33)=0,V33*1.5,IF(T33&lt;&gt;"",T33,O33)*0.95)),10)-1</f>
        <v/>
      </c>
      <c r="AA33" s="12">
        <f>IF(IF(T33&lt;&gt;"",T33,O33)=0,"",TEXT((Z33-IF(T33&lt;&gt;"",T33,O33))/IF(T33&lt;&gt;"",T33,O33),"+0.0%;-0.0%"))</f>
        <v/>
      </c>
      <c r="AB33" s="10">
        <f>IF(Y33&gt;0.5,"✅ PROFITABLE — keep",IF(Y33&gt;0.2,"🟡 OK — optimize",IF(Y33&gt;0,"⚠️ THIN — raise or drop","❌ LOSING MONEY")))</f>
        <v/>
      </c>
    </row>
    <row r="34">
      <c r="A34" s="2" t="inlineStr">
        <is>
          <t>⭐ TOP 50</t>
        </is>
      </c>
      <c r="B34" s="2" t="n">
        <v>33</v>
      </c>
      <c r="C34" s="2" t="inlineStr">
        <is>
          <t>NG-MKR-004</t>
        </is>
      </c>
      <c r="D34" s="2" t="inlineStr">
        <is>
          <t>Meta Quest 3 128GB - The Most Powerful Mixed Reality Headset</t>
        </is>
      </c>
      <c r="E34" s="2" t="inlineStr">
        <is>
          <t>Enthusiasts &amp;amp; Gamers</t>
        </is>
      </c>
      <c r="F34" s="3" t="n">
        <v>3299</v>
      </c>
      <c r="G34" s="4" t="inlineStr">
        <is>
          <t>🔗</t>
        </is>
      </c>
      <c r="H34" s="4" t="inlineStr">
        <is>
          <t>🔗</t>
        </is>
      </c>
      <c r="I34" s="4" t="inlineStr">
        <is>
          <t>🔗</t>
        </is>
      </c>
      <c r="J34" s="4" t="inlineStr">
        <is>
          <t>🔗</t>
        </is>
      </c>
      <c r="K34" s="4" t="inlineStr">
        <is>
          <t>🔗</t>
        </is>
      </c>
      <c r="L34" s="5" t="n">
        <v>452.36</v>
      </c>
      <c r="M34" s="5" t="n">
        <v>656.47</v>
      </c>
      <c r="N34" s="6" t="n">
        <v>2724.28</v>
      </c>
      <c r="O34" s="6" t="n">
        <v>3500.52</v>
      </c>
      <c r="P34" s="6" t="n">
        <v>3701.24</v>
      </c>
      <c r="Q34" s="7" t="n"/>
      <c r="R34" s="7" t="n"/>
      <c r="S34" s="8" t="n"/>
      <c r="T34" s="8" t="n"/>
      <c r="U34" s="8" t="n"/>
      <c r="V34" s="9">
        <f>MIN(IF(Q34&lt;&gt;"",Q34*3.75,L34*3.75),IF(R34&lt;&gt;"",R34*3.75,M34*3.75),IF(S34&lt;&gt;"",S34,N34),IF(T34&lt;&gt;"",T34,O34),IF(U34&lt;&gt;"",U34,P34))</f>
        <v/>
      </c>
      <c r="W34" s="10">
        <f>INDEX({"AliExpress","eBay","Amazon.sa","Noon","Jarir"},MATCH(V34,{IF(Q34&lt;&gt;"",Q34*3.75,L34*3.75),IF(R34&lt;&gt;"",R34*3.75,M34*3.75),IF(S34&lt;&gt;"",S34,N34),IF(T34&lt;&gt;"",T34,O34),IF(U34&lt;&gt;"",U34,P34)},0))</f>
        <v/>
      </c>
      <c r="X34" s="9">
        <f>F34-V34</f>
        <v/>
      </c>
      <c r="Y34" s="11">
        <f>IF(V34=0,0,(F34-V34)/V34)</f>
        <v/>
      </c>
      <c r="Z34" s="9">
        <f>CEILING(MAX(V34*1.4,IF(IF(T34&lt;&gt;"",T34,O34)=0,V34*1.5,IF(T34&lt;&gt;"",T34,O34)*0.95)),10)-1</f>
        <v/>
      </c>
      <c r="AA34" s="12">
        <f>IF(IF(T34&lt;&gt;"",T34,O34)=0,"",TEXT((Z34-IF(T34&lt;&gt;"",T34,O34))/IF(T34&lt;&gt;"",T34,O34),"+0.0%;-0.0%"))</f>
        <v/>
      </c>
      <c r="AB34" s="10">
        <f>IF(Y34&gt;0.5,"✅ PROFITABLE — keep",IF(Y34&gt;0.2,"🟡 OK — optimize",IF(Y34&gt;0,"⚠️ THIN — raise or drop","❌ LOSING MONEY")))</f>
        <v/>
      </c>
    </row>
    <row r="35">
      <c r="A35" s="2" t="inlineStr">
        <is>
          <t>⭐ TOP 50</t>
        </is>
      </c>
      <c r="B35" s="2" t="n">
        <v>34</v>
      </c>
      <c r="C35" s="2" t="inlineStr">
        <is>
          <t>GM-CHR-RAZ-001</t>
        </is>
      </c>
      <c r="D35" s="2" t="inlineStr">
        <is>
          <t>Razer Iskur V2 NewGen</t>
        </is>
      </c>
      <c r="E35" s="2" t="inlineStr">
        <is>
          <t>Gaming</t>
        </is>
      </c>
      <c r="F35" s="3" t="n">
        <v>3199</v>
      </c>
      <c r="G35" s="4" t="inlineStr">
        <is>
          <t>🔗</t>
        </is>
      </c>
      <c r="H35" s="4" t="inlineStr">
        <is>
          <t>🔗</t>
        </is>
      </c>
      <c r="I35" s="4" t="inlineStr">
        <is>
          <t>🔗</t>
        </is>
      </c>
      <c r="J35" s="4" t="inlineStr">
        <is>
          <t>🔗</t>
        </is>
      </c>
      <c r="K35" s="4" t="inlineStr">
        <is>
          <t>🔗</t>
        </is>
      </c>
      <c r="L35" s="5" t="n">
        <v>606.21</v>
      </c>
      <c r="M35" s="5" t="n">
        <v>712.91</v>
      </c>
      <c r="N35" s="6" t="n">
        <v>3082.96</v>
      </c>
      <c r="O35" s="6" t="n">
        <v>3052.73</v>
      </c>
      <c r="P35" s="6" t="n">
        <v>3111.01</v>
      </c>
      <c r="Q35" s="7" t="n"/>
      <c r="R35" s="7" t="n"/>
      <c r="S35" s="8" t="n"/>
      <c r="T35" s="8" t="n"/>
      <c r="U35" s="8" t="n"/>
      <c r="V35" s="9">
        <f>MIN(IF(Q35&lt;&gt;"",Q35*3.75,L35*3.75),IF(R35&lt;&gt;"",R35*3.75,M35*3.75),IF(S35&lt;&gt;"",S35,N35),IF(T35&lt;&gt;"",T35,O35),IF(U35&lt;&gt;"",U35,P35))</f>
        <v/>
      </c>
      <c r="W35" s="10">
        <f>INDEX({"AliExpress","eBay","Amazon.sa","Noon","Jarir"},MATCH(V35,{IF(Q35&lt;&gt;"",Q35*3.75,L35*3.75),IF(R35&lt;&gt;"",R35*3.75,M35*3.75),IF(S35&lt;&gt;"",S35,N35),IF(T35&lt;&gt;"",T35,O35),IF(U35&lt;&gt;"",U35,P35)},0))</f>
        <v/>
      </c>
      <c r="X35" s="9">
        <f>F35-V35</f>
        <v/>
      </c>
      <c r="Y35" s="11">
        <f>IF(V35=0,0,(F35-V35)/V35)</f>
        <v/>
      </c>
      <c r="Z35" s="9">
        <f>CEILING(MAX(V35*1.4,IF(IF(T35&lt;&gt;"",T35,O35)=0,V35*1.5,IF(T35&lt;&gt;"",T35,O35)*0.95)),10)-1</f>
        <v/>
      </c>
      <c r="AA35" s="12">
        <f>IF(IF(T35&lt;&gt;"",T35,O35)=0,"",TEXT((Z35-IF(T35&lt;&gt;"",T35,O35))/IF(T35&lt;&gt;"",T35,O35),"+0.0%;-0.0%"))</f>
        <v/>
      </c>
      <c r="AB35" s="10">
        <f>IF(Y35&gt;0.5,"✅ PROFITABLE — keep",IF(Y35&gt;0.2,"🟡 OK — optimize",IF(Y35&gt;0,"⚠️ THIN — raise or drop","❌ LOSING MONEY")))</f>
        <v/>
      </c>
    </row>
    <row r="36">
      <c r="A36" s="2" t="inlineStr">
        <is>
          <t>⭐ TOP 50</t>
        </is>
      </c>
      <c r="B36" s="2" t="n">
        <v>35</v>
      </c>
      <c r="C36" s="2" t="inlineStr">
        <is>
          <t>NG-DRN-004</t>
        </is>
      </c>
      <c r="D36" s="2" t="inlineStr">
        <is>
          <t>DJI RS 4 - 3-Axis Gimbal Stabilizer for Professional Cameras</t>
        </is>
      </c>
      <c r="E36" s="2" t="inlineStr">
        <is>
          <t>Drones &amp;amp; Robotics</t>
        </is>
      </c>
      <c r="F36" s="3" t="n">
        <v>3099</v>
      </c>
      <c r="G36" s="4" t="inlineStr">
        <is>
          <t>🔗</t>
        </is>
      </c>
      <c r="H36" s="4" t="inlineStr">
        <is>
          <t>🔗</t>
        </is>
      </c>
      <c r="I36" s="4" t="inlineStr">
        <is>
          <t>🔗</t>
        </is>
      </c>
      <c r="J36" s="4" t="inlineStr">
        <is>
          <t>🔗</t>
        </is>
      </c>
      <c r="K36" s="4" t="inlineStr">
        <is>
          <t>🔗</t>
        </is>
      </c>
      <c r="L36" s="5" t="n">
        <v>752.83</v>
      </c>
      <c r="M36" s="5" t="n">
        <v>753.15</v>
      </c>
      <c r="N36" s="6" t="n">
        <v>3008.82</v>
      </c>
      <c r="O36" s="6" t="n">
        <v>3288.76</v>
      </c>
      <c r="P36" s="6" t="n">
        <v>3369.46</v>
      </c>
      <c r="Q36" s="7" t="n"/>
      <c r="R36" s="7" t="n"/>
      <c r="S36" s="8" t="n"/>
      <c r="T36" s="8" t="n"/>
      <c r="U36" s="8" t="n"/>
      <c r="V36" s="9">
        <f>MIN(IF(Q36&lt;&gt;"",Q36*3.75,L36*3.75),IF(R36&lt;&gt;"",R36*3.75,M36*3.75),IF(S36&lt;&gt;"",S36,N36),IF(T36&lt;&gt;"",T36,O36),IF(U36&lt;&gt;"",U36,P36))</f>
        <v/>
      </c>
      <c r="W36" s="10">
        <f>INDEX({"AliExpress","eBay","Amazon.sa","Noon","Jarir"},MATCH(V36,{IF(Q36&lt;&gt;"",Q36*3.75,L36*3.75),IF(R36&lt;&gt;"",R36*3.75,M36*3.75),IF(S36&lt;&gt;"",S36,N36),IF(T36&lt;&gt;"",T36,O36),IF(U36&lt;&gt;"",U36,P36)},0))</f>
        <v/>
      </c>
      <c r="X36" s="9">
        <f>F36-V36</f>
        <v/>
      </c>
      <c r="Y36" s="11">
        <f>IF(V36=0,0,(F36-V36)/V36)</f>
        <v/>
      </c>
      <c r="Z36" s="9">
        <f>CEILING(MAX(V36*1.4,IF(IF(T36&lt;&gt;"",T36,O36)=0,V36*1.5,IF(T36&lt;&gt;"",T36,O36)*0.95)),10)-1</f>
        <v/>
      </c>
      <c r="AA36" s="12">
        <f>IF(IF(T36&lt;&gt;"",T36,O36)=0,"",TEXT((Z36-IF(T36&lt;&gt;"",T36,O36))/IF(T36&lt;&gt;"",T36,O36),"+0.0%;-0.0%"))</f>
        <v/>
      </c>
      <c r="AB36" s="10">
        <f>IF(Y36&gt;0.5,"✅ PROFITABLE — keep",IF(Y36&gt;0.2,"🟡 OK — optimize",IF(Y36&gt;0,"⚠️ THIN — raise or drop","❌ LOSING MONEY")))</f>
        <v/>
      </c>
    </row>
    <row r="37">
      <c r="A37" s="2" t="inlineStr">
        <is>
          <t>⭐ TOP 50</t>
        </is>
      </c>
      <c r="B37" s="2" t="n">
        <v>36</v>
      </c>
      <c r="C37" s="2" t="inlineStr">
        <is>
          <t>NG-ENT-005</t>
        </is>
      </c>
      <c r="D37" s="2" t="inlineStr">
        <is>
          <t>Asustor Flashstor 6 (FS6706T) - All-NVMe SSD NAS for Extreme Performance</t>
        </is>
      </c>
      <c r="E37" s="2" t="inlineStr">
        <is>
          <t>Homelab</t>
        </is>
      </c>
      <c r="F37" s="3" t="n">
        <v>3099</v>
      </c>
      <c r="G37" s="4" t="inlineStr">
        <is>
          <t>🔗</t>
        </is>
      </c>
      <c r="H37" s="4" t="inlineStr">
        <is>
          <t>🔗</t>
        </is>
      </c>
      <c r="I37" s="4" t="inlineStr">
        <is>
          <t>🔗</t>
        </is>
      </c>
      <c r="J37" s="4" t="inlineStr">
        <is>
          <t>🔗</t>
        </is>
      </c>
      <c r="K37" s="4" t="inlineStr">
        <is>
          <t>🔗</t>
        </is>
      </c>
      <c r="L37" s="5" t="n">
        <v>481.27</v>
      </c>
      <c r="M37" s="5" t="n">
        <v>550.78</v>
      </c>
      <c r="N37" s="6" t="n">
        <v>2644.31</v>
      </c>
      <c r="O37" s="6" t="n">
        <v>3015.91</v>
      </c>
      <c r="P37" s="6" t="n">
        <v>3183.96</v>
      </c>
      <c r="Q37" s="7" t="n"/>
      <c r="R37" s="7" t="n"/>
      <c r="S37" s="8" t="n"/>
      <c r="T37" s="8" t="n"/>
      <c r="U37" s="8" t="n"/>
      <c r="V37" s="9">
        <f>MIN(IF(Q37&lt;&gt;"",Q37*3.75,L37*3.75),IF(R37&lt;&gt;"",R37*3.75,M37*3.75),IF(S37&lt;&gt;"",S37,N37),IF(T37&lt;&gt;"",T37,O37),IF(U37&lt;&gt;"",U37,P37))</f>
        <v/>
      </c>
      <c r="W37" s="10">
        <f>INDEX({"AliExpress","eBay","Amazon.sa","Noon","Jarir"},MATCH(V37,{IF(Q37&lt;&gt;"",Q37*3.75,L37*3.75),IF(R37&lt;&gt;"",R37*3.75,M37*3.75),IF(S37&lt;&gt;"",S37,N37),IF(T37&lt;&gt;"",T37,O37),IF(U37&lt;&gt;"",U37,P37)},0))</f>
        <v/>
      </c>
      <c r="X37" s="9">
        <f>F37-V37</f>
        <v/>
      </c>
      <c r="Y37" s="11">
        <f>IF(V37=0,0,(F37-V37)/V37)</f>
        <v/>
      </c>
      <c r="Z37" s="9">
        <f>CEILING(MAX(V37*1.4,IF(IF(T37&lt;&gt;"",T37,O37)=0,V37*1.5,IF(T37&lt;&gt;"",T37,O37)*0.95)),10)-1</f>
        <v/>
      </c>
      <c r="AA37" s="12">
        <f>IF(IF(T37&lt;&gt;"",T37,O37)=0,"",TEXT((Z37-IF(T37&lt;&gt;"",T37,O37))/IF(T37&lt;&gt;"",T37,O37),"+0.0%;-0.0%"))</f>
        <v/>
      </c>
      <c r="AB37" s="10">
        <f>IF(Y37&gt;0.5,"✅ PROFITABLE — keep",IF(Y37&gt;0.2,"🟡 OK — optimize",IF(Y37&gt;0,"⚠️ THIN — raise or drop","❌ LOSING MONEY")))</f>
        <v/>
      </c>
    </row>
    <row r="38">
      <c r="A38" s="2" t="inlineStr">
        <is>
          <t>⭐ TOP 50</t>
        </is>
      </c>
      <c r="B38" s="2" t="n">
        <v>37</v>
      </c>
      <c r="C38" s="2" t="inlineStr">
        <is>
          <t>NG-ENT-003</t>
        </is>
      </c>
      <c r="D38" s="2" t="inlineStr">
        <is>
          <t>Ubiquiti UniFi Dream Machine Pro (UDM-Pro) - All-in-One Enterprise Network Console</t>
        </is>
      </c>
      <c r="E38" s="2" t="inlineStr">
        <is>
          <t>Homelab</t>
        </is>
      </c>
      <c r="F38" s="3" t="n">
        <v>3099</v>
      </c>
      <c r="G38" s="4" t="inlineStr">
        <is>
          <t>🔗</t>
        </is>
      </c>
      <c r="H38" s="4" t="inlineStr">
        <is>
          <t>🔗</t>
        </is>
      </c>
      <c r="I38" s="4" t="inlineStr">
        <is>
          <t>🔗</t>
        </is>
      </c>
      <c r="J38" s="4" t="inlineStr">
        <is>
          <t>🔗</t>
        </is>
      </c>
      <c r="K38" s="4" t="inlineStr">
        <is>
          <t>🔗</t>
        </is>
      </c>
      <c r="L38" s="5" t="n">
        <v>556.95</v>
      </c>
      <c r="M38" s="5" t="n">
        <v>631.76</v>
      </c>
      <c r="N38" s="6" t="n">
        <v>2935.71</v>
      </c>
      <c r="O38" s="6" t="n">
        <v>2794.22</v>
      </c>
      <c r="P38" s="6" t="n">
        <v>3138.06</v>
      </c>
      <c r="Q38" s="7" t="n"/>
      <c r="R38" s="7" t="n"/>
      <c r="S38" s="8" t="n"/>
      <c r="T38" s="8" t="n"/>
      <c r="U38" s="8" t="n"/>
      <c r="V38" s="9">
        <f>MIN(IF(Q38&lt;&gt;"",Q38*3.75,L38*3.75),IF(R38&lt;&gt;"",R38*3.75,M38*3.75),IF(S38&lt;&gt;"",S38,N38),IF(T38&lt;&gt;"",T38,O38),IF(U38&lt;&gt;"",U38,P38))</f>
        <v/>
      </c>
      <c r="W38" s="10">
        <f>INDEX({"AliExpress","eBay","Amazon.sa","Noon","Jarir"},MATCH(V38,{IF(Q38&lt;&gt;"",Q38*3.75,L38*3.75),IF(R38&lt;&gt;"",R38*3.75,M38*3.75),IF(S38&lt;&gt;"",S38,N38),IF(T38&lt;&gt;"",T38,O38),IF(U38&lt;&gt;"",U38,P38)},0))</f>
        <v/>
      </c>
      <c r="X38" s="9">
        <f>F38-V38</f>
        <v/>
      </c>
      <c r="Y38" s="11">
        <f>IF(V38=0,0,(F38-V38)/V38)</f>
        <v/>
      </c>
      <c r="Z38" s="9">
        <f>CEILING(MAX(V38*1.4,IF(IF(T38&lt;&gt;"",T38,O38)=0,V38*1.5,IF(T38&lt;&gt;"",T38,O38)*0.95)),10)-1</f>
        <v/>
      </c>
      <c r="AA38" s="12">
        <f>IF(IF(T38&lt;&gt;"",T38,O38)=0,"",TEXT((Z38-IF(T38&lt;&gt;"",T38,O38))/IF(T38&lt;&gt;"",T38,O38),"+0.0%;-0.0%"))</f>
        <v/>
      </c>
      <c r="AB38" s="10">
        <f>IF(Y38&gt;0.5,"✅ PROFITABLE — keep",IF(Y38&gt;0.2,"🟡 OK — optimize",IF(Y38&gt;0,"⚠️ THIN — raise or drop","❌ LOSING MONEY")))</f>
        <v/>
      </c>
    </row>
    <row r="39">
      <c r="A39" s="2" t="inlineStr">
        <is>
          <t>⭐ TOP 50</t>
        </is>
      </c>
      <c r="B39" s="2" t="n">
        <v>38</v>
      </c>
      <c r="C39" s="2" t="inlineStr">
        <is>
          <t>NG-ENT-002</t>
        </is>
      </c>
      <c r="D39" s="2" t="inlineStr">
        <is>
          <t>Asustor Lockerstor 4 (AS6604T) - Professional 4-Bay NAS for Creators</t>
        </is>
      </c>
      <c r="E39" s="2" t="inlineStr">
        <is>
          <t>Homelab</t>
        </is>
      </c>
      <c r="F39" s="3" t="n">
        <v>3099</v>
      </c>
      <c r="G39" s="4" t="inlineStr">
        <is>
          <t>🔗</t>
        </is>
      </c>
      <c r="H39" s="4" t="inlineStr">
        <is>
          <t>🔗</t>
        </is>
      </c>
      <c r="I39" s="4" t="inlineStr">
        <is>
          <t>🔗</t>
        </is>
      </c>
      <c r="J39" s="4" t="inlineStr">
        <is>
          <t>🔗</t>
        </is>
      </c>
      <c r="K39" s="4" t="inlineStr">
        <is>
          <t>🔗</t>
        </is>
      </c>
      <c r="L39" s="5" t="n">
        <v>502.19</v>
      </c>
      <c r="M39" s="5" t="n">
        <v>658.21</v>
      </c>
      <c r="N39" s="6" t="n">
        <v>2548.22</v>
      </c>
      <c r="O39" s="6" t="n">
        <v>2856.8</v>
      </c>
      <c r="P39" s="6" t="n">
        <v>3170.84</v>
      </c>
      <c r="Q39" s="7" t="n"/>
      <c r="R39" s="7" t="n"/>
      <c r="S39" s="8" t="n"/>
      <c r="T39" s="8" t="n"/>
      <c r="U39" s="8" t="n"/>
      <c r="V39" s="9">
        <f>MIN(IF(Q39&lt;&gt;"",Q39*3.75,L39*3.75),IF(R39&lt;&gt;"",R39*3.75,M39*3.75),IF(S39&lt;&gt;"",S39,N39),IF(T39&lt;&gt;"",T39,O39),IF(U39&lt;&gt;"",U39,P39))</f>
        <v/>
      </c>
      <c r="W39" s="10">
        <f>INDEX({"AliExpress","eBay","Amazon.sa","Noon","Jarir"},MATCH(V39,{IF(Q39&lt;&gt;"",Q39*3.75,L39*3.75),IF(R39&lt;&gt;"",R39*3.75,M39*3.75),IF(S39&lt;&gt;"",S39,N39),IF(T39&lt;&gt;"",T39,O39),IF(U39&lt;&gt;"",U39,P39)},0))</f>
        <v/>
      </c>
      <c r="X39" s="9">
        <f>F39-V39</f>
        <v/>
      </c>
      <c r="Y39" s="11">
        <f>IF(V39=0,0,(F39-V39)/V39)</f>
        <v/>
      </c>
      <c r="Z39" s="9">
        <f>CEILING(MAX(V39*1.4,IF(IF(T39&lt;&gt;"",T39,O39)=0,V39*1.5,IF(T39&lt;&gt;"",T39,O39)*0.95)),10)-1</f>
        <v/>
      </c>
      <c r="AA39" s="12">
        <f>IF(IF(T39&lt;&gt;"",T39,O39)=0,"",TEXT((Z39-IF(T39&lt;&gt;"",T39,O39))/IF(T39&lt;&gt;"",T39,O39),"+0.0%;-0.0%"))</f>
        <v/>
      </c>
      <c r="AB39" s="10">
        <f>IF(Y39&gt;0.5,"✅ PROFITABLE — keep",IF(Y39&gt;0.2,"🟡 OK — optimize",IF(Y39&gt;0,"⚠️ THIN — raise or drop","❌ LOSING MONEY")))</f>
        <v/>
      </c>
    </row>
    <row r="40">
      <c r="A40" s="2" t="inlineStr">
        <is>
          <t>⭐ TOP 50</t>
        </is>
      </c>
      <c r="B40" s="2" t="n">
        <v>39</v>
      </c>
      <c r="C40" s="2" t="inlineStr">
        <is>
          <t>NG-DRN-008</t>
        </is>
      </c>
      <c r="D40" s="2" t="inlineStr">
        <is>
          <t>DJI Pocket 3 - Pocket-Sized Gimbal Camera with 1-Inch Sensor</t>
        </is>
      </c>
      <c r="E40" s="2" t="inlineStr">
        <is>
          <t>Drones &amp;amp; Robotics</t>
        </is>
      </c>
      <c r="F40" s="3" t="n">
        <v>2999</v>
      </c>
      <c r="G40" s="4" t="inlineStr">
        <is>
          <t>🔗</t>
        </is>
      </c>
      <c r="H40" s="4" t="inlineStr">
        <is>
          <t>🔗</t>
        </is>
      </c>
      <c r="I40" s="4" t="inlineStr">
        <is>
          <t>🔗</t>
        </is>
      </c>
      <c r="J40" s="4" t="inlineStr">
        <is>
          <t>🔗</t>
        </is>
      </c>
      <c r="K40" s="4" t="inlineStr">
        <is>
          <t>🔗</t>
        </is>
      </c>
      <c r="L40" s="5" t="n">
        <v>671.03</v>
      </c>
      <c r="M40" s="5" t="n">
        <v>691.42</v>
      </c>
      <c r="N40" s="6" t="n">
        <v>2811.48</v>
      </c>
      <c r="O40" s="6" t="n">
        <v>3257.48</v>
      </c>
      <c r="P40" s="6" t="n">
        <v>3074.97</v>
      </c>
      <c r="Q40" s="7" t="n"/>
      <c r="R40" s="7" t="n"/>
      <c r="S40" s="8" t="n"/>
      <c r="T40" s="8" t="n"/>
      <c r="U40" s="8" t="n"/>
      <c r="V40" s="9">
        <f>MIN(IF(Q40&lt;&gt;"",Q40*3.75,L40*3.75),IF(R40&lt;&gt;"",R40*3.75,M40*3.75),IF(S40&lt;&gt;"",S40,N40),IF(T40&lt;&gt;"",T40,O40),IF(U40&lt;&gt;"",U40,P40))</f>
        <v/>
      </c>
      <c r="W40" s="10">
        <f>INDEX({"AliExpress","eBay","Amazon.sa","Noon","Jarir"},MATCH(V40,{IF(Q40&lt;&gt;"",Q40*3.75,L40*3.75),IF(R40&lt;&gt;"",R40*3.75,M40*3.75),IF(S40&lt;&gt;"",S40,N40),IF(T40&lt;&gt;"",T40,O40),IF(U40&lt;&gt;"",U40,P40)},0))</f>
        <v/>
      </c>
      <c r="X40" s="9">
        <f>F40-V40</f>
        <v/>
      </c>
      <c r="Y40" s="11">
        <f>IF(V40=0,0,(F40-V40)/V40)</f>
        <v/>
      </c>
      <c r="Z40" s="9">
        <f>CEILING(MAX(V40*1.4,IF(IF(T40&lt;&gt;"",T40,O40)=0,V40*1.5,IF(T40&lt;&gt;"",T40,O40)*0.95)),10)-1</f>
        <v/>
      </c>
      <c r="AA40" s="12">
        <f>IF(IF(T40&lt;&gt;"",T40,O40)=0,"",TEXT((Z40-IF(T40&lt;&gt;"",T40,O40))/IF(T40&lt;&gt;"",T40,O40),"+0.0%;-0.0%"))</f>
        <v/>
      </c>
      <c r="AB40" s="10">
        <f>IF(Y40&gt;0.5,"✅ PROFITABLE — keep",IF(Y40&gt;0.2,"🟡 OK — optimize",IF(Y40&gt;0,"⚠️ THIN — raise or drop","❌ LOSING MONEY")))</f>
        <v/>
      </c>
    </row>
    <row r="41">
      <c r="A41" s="2" t="inlineStr">
        <is>
          <t>⭐ TOP 50</t>
        </is>
      </c>
      <c r="B41" s="2" t="n">
        <v>40</v>
      </c>
      <c r="C41" s="2" t="inlineStr">
        <is>
          <t>NG-GAM-010</t>
        </is>
      </c>
      <c r="D41" s="2" t="inlineStr">
        <is>
          <t>BenQ Zowie XL2546K - 240Hz Esports Gaming Monitor</t>
        </is>
      </c>
      <c r="E41" s="2" t="inlineStr">
        <is>
          <t>Gaming</t>
        </is>
      </c>
      <c r="F41" s="3" t="n">
        <v>2999</v>
      </c>
      <c r="G41" s="4" t="inlineStr">
        <is>
          <t>🔗</t>
        </is>
      </c>
      <c r="H41" s="4" t="inlineStr">
        <is>
          <t>🔗</t>
        </is>
      </c>
      <c r="I41" s="4" t="inlineStr">
        <is>
          <t>🔗</t>
        </is>
      </c>
      <c r="J41" s="4" t="inlineStr">
        <is>
          <t>🔗</t>
        </is>
      </c>
      <c r="K41" s="4" t="inlineStr">
        <is>
          <t>🔗</t>
        </is>
      </c>
      <c r="L41" s="5" t="n">
        <v>663.14</v>
      </c>
      <c r="M41" s="5" t="n">
        <v>705.8</v>
      </c>
      <c r="N41" s="6" t="n">
        <v>2574.94</v>
      </c>
      <c r="O41" s="6" t="n">
        <v>3238.58</v>
      </c>
      <c r="P41" s="6" t="n">
        <v>3275.28</v>
      </c>
      <c r="Q41" s="7" t="n"/>
      <c r="R41" s="7" t="n"/>
      <c r="S41" s="8" t="n"/>
      <c r="T41" s="8" t="n"/>
      <c r="U41" s="8" t="n"/>
      <c r="V41" s="9">
        <f>MIN(IF(Q41&lt;&gt;"",Q41*3.75,L41*3.75),IF(R41&lt;&gt;"",R41*3.75,M41*3.75),IF(S41&lt;&gt;"",S41,N41),IF(T41&lt;&gt;"",T41,O41),IF(U41&lt;&gt;"",U41,P41))</f>
        <v/>
      </c>
      <c r="W41" s="10">
        <f>INDEX({"AliExpress","eBay","Amazon.sa","Noon","Jarir"},MATCH(V41,{IF(Q41&lt;&gt;"",Q41*3.75,L41*3.75),IF(R41&lt;&gt;"",R41*3.75,M41*3.75),IF(S41&lt;&gt;"",S41,N41),IF(T41&lt;&gt;"",T41,O41),IF(U41&lt;&gt;"",U41,P41)},0))</f>
        <v/>
      </c>
      <c r="X41" s="9">
        <f>F41-V41</f>
        <v/>
      </c>
      <c r="Y41" s="11">
        <f>IF(V41=0,0,(F41-V41)/V41)</f>
        <v/>
      </c>
      <c r="Z41" s="9">
        <f>CEILING(MAX(V41*1.4,IF(IF(T41&lt;&gt;"",T41,O41)=0,V41*1.5,IF(T41&lt;&gt;"",T41,O41)*0.95)),10)-1</f>
        <v/>
      </c>
      <c r="AA41" s="12">
        <f>IF(IF(T41&lt;&gt;"",T41,O41)=0,"",TEXT((Z41-IF(T41&lt;&gt;"",T41,O41))/IF(T41&lt;&gt;"",T41,O41),"+0.0%;-0.0%"))</f>
        <v/>
      </c>
      <c r="AB41" s="10">
        <f>IF(Y41&gt;0.5,"✅ PROFITABLE — keep",IF(Y41&gt;0.2,"🟡 OK — optimize",IF(Y41&gt;0,"⚠️ THIN — raise or drop","❌ LOSING MONEY")))</f>
        <v/>
      </c>
    </row>
    <row r="42">
      <c r="A42" s="2" t="inlineStr">
        <is>
          <t>⭐ TOP 50</t>
        </is>
      </c>
      <c r="B42" s="2" t="n">
        <v>41</v>
      </c>
      <c r="C42" s="2" t="inlineStr">
        <is>
          <t>NG-3DP-008</t>
        </is>
      </c>
      <c r="D42" s="2" t="inlineStr">
        <is>
          <t>Phrozen Sonic Mini 8K S - 22-Micron Pixel Resin 3D Printer</t>
        </is>
      </c>
      <c r="E42" s="2" t="inlineStr">
        <is>
          <t>3D Printing &amp;amp; CNC</t>
        </is>
      </c>
      <c r="F42" s="3" t="n">
        <v>2899</v>
      </c>
      <c r="G42" s="4" t="inlineStr">
        <is>
          <t>🔗</t>
        </is>
      </c>
      <c r="H42" s="4" t="inlineStr">
        <is>
          <t>🔗</t>
        </is>
      </c>
      <c r="I42" s="4" t="inlineStr">
        <is>
          <t>🔗</t>
        </is>
      </c>
      <c r="J42" s="4" t="inlineStr">
        <is>
          <t>🔗</t>
        </is>
      </c>
      <c r="K42" s="4" t="inlineStr">
        <is>
          <t>🔗</t>
        </is>
      </c>
      <c r="L42" s="5" t="n">
        <v>575.01</v>
      </c>
      <c r="M42" s="5" t="n">
        <v>645.72</v>
      </c>
      <c r="N42" s="6" t="n">
        <v>2820.05</v>
      </c>
      <c r="O42" s="6" t="n">
        <v>2763.51</v>
      </c>
      <c r="P42" s="6" t="n">
        <v>3122.59</v>
      </c>
      <c r="Q42" s="7" t="n"/>
      <c r="R42" s="7" t="n"/>
      <c r="S42" s="8" t="n"/>
      <c r="T42" s="8" t="n"/>
      <c r="U42" s="8" t="n"/>
      <c r="V42" s="9">
        <f>MIN(IF(Q42&lt;&gt;"",Q42*3.75,L42*3.75),IF(R42&lt;&gt;"",R42*3.75,M42*3.75),IF(S42&lt;&gt;"",S42,N42),IF(T42&lt;&gt;"",T42,O42),IF(U42&lt;&gt;"",U42,P42))</f>
        <v/>
      </c>
      <c r="W42" s="10">
        <f>INDEX({"AliExpress","eBay","Amazon.sa","Noon","Jarir"},MATCH(V42,{IF(Q42&lt;&gt;"",Q42*3.75,L42*3.75),IF(R42&lt;&gt;"",R42*3.75,M42*3.75),IF(S42&lt;&gt;"",S42,N42),IF(T42&lt;&gt;"",T42,O42),IF(U42&lt;&gt;"",U42,P42)},0))</f>
        <v/>
      </c>
      <c r="X42" s="9">
        <f>F42-V42</f>
        <v/>
      </c>
      <c r="Y42" s="11">
        <f>IF(V42=0,0,(F42-V42)/V42)</f>
        <v/>
      </c>
      <c r="Z42" s="9">
        <f>CEILING(MAX(V42*1.4,IF(IF(T42&lt;&gt;"",T42,O42)=0,V42*1.5,IF(T42&lt;&gt;"",T42,O42)*0.95)),10)-1</f>
        <v/>
      </c>
      <c r="AA42" s="12">
        <f>IF(IF(T42&lt;&gt;"",T42,O42)=0,"",TEXT((Z42-IF(T42&lt;&gt;"",T42,O42))/IF(T42&lt;&gt;"",T42,O42),"+0.0%;-0.0%"))</f>
        <v/>
      </c>
      <c r="AB42" s="10">
        <f>IF(Y42&gt;0.5,"✅ PROFITABLE — keep",IF(Y42&gt;0.2,"🟡 OK — optimize",IF(Y42&gt;0,"⚠️ THIN — raise or drop","❌ LOSING MONEY")))</f>
        <v/>
      </c>
    </row>
    <row r="43">
      <c r="A43" s="2" t="inlineStr">
        <is>
          <t>⭐ TOP 50</t>
        </is>
      </c>
      <c r="B43" s="2" t="n">
        <v>42</v>
      </c>
      <c r="C43" s="2" t="inlineStr">
        <is>
          <t>NG-ACC-008</t>
        </is>
      </c>
      <c r="D43" s="2" t="inlineStr">
        <is>
          <t>CalDigit TS4 Thunderbolt 4 Dock - 18-Port Professional Docking Station</t>
        </is>
      </c>
      <c r="E43" s="2" t="inlineStr">
        <is>
          <t>Accessories &amp;amp; Lifestyle</t>
        </is>
      </c>
      <c r="F43" s="3" t="n">
        <v>2899</v>
      </c>
      <c r="G43" s="4" t="inlineStr">
        <is>
          <t>🔗</t>
        </is>
      </c>
      <c r="H43" s="4" t="inlineStr">
        <is>
          <t>🔗</t>
        </is>
      </c>
      <c r="I43" s="4" t="inlineStr">
        <is>
          <t>🔗</t>
        </is>
      </c>
      <c r="J43" s="4" t="inlineStr">
        <is>
          <t>🔗</t>
        </is>
      </c>
      <c r="K43" s="4" t="inlineStr">
        <is>
          <t>🔗</t>
        </is>
      </c>
      <c r="L43" s="5" t="n">
        <v>167.24</v>
      </c>
      <c r="M43" s="5" t="n">
        <v>309.43</v>
      </c>
      <c r="N43" s="6" t="n">
        <v>1645.45</v>
      </c>
      <c r="O43" s="6" t="n">
        <v>2503.84</v>
      </c>
      <c r="P43" s="6" t="n">
        <v>3321.07</v>
      </c>
      <c r="Q43" s="7" t="n"/>
      <c r="R43" s="7" t="n"/>
      <c r="S43" s="8" t="n"/>
      <c r="T43" s="8" t="n"/>
      <c r="U43" s="8" t="n"/>
      <c r="V43" s="9">
        <f>MIN(IF(Q43&lt;&gt;"",Q43*3.75,L43*3.75),IF(R43&lt;&gt;"",R43*3.75,M43*3.75),IF(S43&lt;&gt;"",S43,N43),IF(T43&lt;&gt;"",T43,O43),IF(U43&lt;&gt;"",U43,P43))</f>
        <v/>
      </c>
      <c r="W43" s="10">
        <f>INDEX({"AliExpress","eBay","Amazon.sa","Noon","Jarir"},MATCH(V43,{IF(Q43&lt;&gt;"",Q43*3.75,L43*3.75),IF(R43&lt;&gt;"",R43*3.75,M43*3.75),IF(S43&lt;&gt;"",S43,N43),IF(T43&lt;&gt;"",T43,O43),IF(U43&lt;&gt;"",U43,P43)},0))</f>
        <v/>
      </c>
      <c r="X43" s="9">
        <f>F43-V43</f>
        <v/>
      </c>
      <c r="Y43" s="11">
        <f>IF(V43=0,0,(F43-V43)/V43)</f>
        <v/>
      </c>
      <c r="Z43" s="9">
        <f>CEILING(MAX(V43*1.4,IF(IF(T43&lt;&gt;"",T43,O43)=0,V43*1.5,IF(T43&lt;&gt;"",T43,O43)*0.95)),10)-1</f>
        <v/>
      </c>
      <c r="AA43" s="12">
        <f>IF(IF(T43&lt;&gt;"",T43,O43)=0,"",TEXT((Z43-IF(T43&lt;&gt;"",T43,O43))/IF(T43&lt;&gt;"",T43,O43),"+0.0%;-0.0%"))</f>
        <v/>
      </c>
      <c r="AB43" s="10">
        <f>IF(Y43&gt;0.5,"✅ PROFITABLE — keep",IF(Y43&gt;0.2,"🟡 OK — optimize",IF(Y43&gt;0,"⚠️ THIN — raise or drop","❌ LOSING MONEY")))</f>
        <v/>
      </c>
    </row>
    <row r="44">
      <c r="A44" s="2" t="inlineStr">
        <is>
          <t>⭐ TOP 50</t>
        </is>
      </c>
      <c r="B44" s="2" t="n">
        <v>43</v>
      </c>
      <c r="C44" s="2" t="inlineStr">
        <is>
          <t>NG-SH-002</t>
        </is>
      </c>
      <c r="D44" s="2" t="inlineStr">
        <is>
          <t>UniFi Protect G4 Pro Camera - 4K Ultra HD Surveillance Excellence</t>
        </is>
      </c>
      <c r="E44" s="2" t="inlineStr">
        <is>
          <t>Smart Home &amp;amp; IoT</t>
        </is>
      </c>
      <c r="F44" s="3" t="n">
        <v>2899</v>
      </c>
      <c r="G44" s="4" t="inlineStr">
        <is>
          <t>🔗</t>
        </is>
      </c>
      <c r="H44" s="4" t="inlineStr">
        <is>
          <t>🔗</t>
        </is>
      </c>
      <c r="I44" s="4" t="inlineStr">
        <is>
          <t>🔗</t>
        </is>
      </c>
      <c r="J44" s="4" t="inlineStr">
        <is>
          <t>🔗</t>
        </is>
      </c>
      <c r="K44" s="4" t="inlineStr">
        <is>
          <t>🔗</t>
        </is>
      </c>
      <c r="L44" s="5" t="n">
        <v>500.74</v>
      </c>
      <c r="M44" s="5" t="n">
        <v>682.84</v>
      </c>
      <c r="N44" s="6" t="n">
        <v>2688.39</v>
      </c>
      <c r="O44" s="6" t="n">
        <v>2887.81</v>
      </c>
      <c r="P44" s="6" t="n">
        <v>3309.1</v>
      </c>
      <c r="Q44" s="7" t="n"/>
      <c r="R44" s="7" t="n"/>
      <c r="S44" s="8" t="n"/>
      <c r="T44" s="8" t="n"/>
      <c r="U44" s="8" t="n"/>
      <c r="V44" s="9">
        <f>MIN(IF(Q44&lt;&gt;"",Q44*3.75,L44*3.75),IF(R44&lt;&gt;"",R44*3.75,M44*3.75),IF(S44&lt;&gt;"",S44,N44),IF(T44&lt;&gt;"",T44,O44),IF(U44&lt;&gt;"",U44,P44))</f>
        <v/>
      </c>
      <c r="W44" s="10">
        <f>INDEX({"AliExpress","eBay","Amazon.sa","Noon","Jarir"},MATCH(V44,{IF(Q44&lt;&gt;"",Q44*3.75,L44*3.75),IF(R44&lt;&gt;"",R44*3.75,M44*3.75),IF(S44&lt;&gt;"",S44,N44),IF(T44&lt;&gt;"",T44,O44),IF(U44&lt;&gt;"",U44,P44)},0))</f>
        <v/>
      </c>
      <c r="X44" s="9">
        <f>F44-V44</f>
        <v/>
      </c>
      <c r="Y44" s="11">
        <f>IF(V44=0,0,(F44-V44)/V44)</f>
        <v/>
      </c>
      <c r="Z44" s="9">
        <f>CEILING(MAX(V44*1.4,IF(IF(T44&lt;&gt;"",T44,O44)=0,V44*1.5,IF(T44&lt;&gt;"",T44,O44)*0.95)),10)-1</f>
        <v/>
      </c>
      <c r="AA44" s="12">
        <f>IF(IF(T44&lt;&gt;"",T44,O44)=0,"",TEXT((Z44-IF(T44&lt;&gt;"",T44,O44))/IF(T44&lt;&gt;"",T44,O44),"+0.0%;-0.0%"))</f>
        <v/>
      </c>
      <c r="AB44" s="10">
        <f>IF(Y44&gt;0.5,"✅ PROFITABLE — keep",IF(Y44&gt;0.2,"🟡 OK — optimize",IF(Y44&gt;0,"⚠️ THIN — raise or drop","❌ LOSING MONEY")))</f>
        <v/>
      </c>
    </row>
    <row r="45">
      <c r="A45" s="2" t="inlineStr">
        <is>
          <t>⭐ TOP 50</t>
        </is>
      </c>
      <c r="B45" s="2" t="n">
        <v>44</v>
      </c>
      <c r="C45" s="2" t="inlineStr">
        <is>
          <t>NT-NAS-QNP-001</t>
        </is>
      </c>
      <c r="D45" s="2" t="inlineStr">
        <is>
          <t>QNAP TS-464-8G (4-Bay)</t>
        </is>
      </c>
      <c r="E45" s="2" t="inlineStr">
        <is>
          <t>Homelab</t>
        </is>
      </c>
      <c r="F45" s="3" t="n">
        <v>2799</v>
      </c>
      <c r="G45" s="4" t="inlineStr">
        <is>
          <t>🔗</t>
        </is>
      </c>
      <c r="H45" s="4" t="inlineStr">
        <is>
          <t>🔗</t>
        </is>
      </c>
      <c r="I45" s="4" t="inlineStr">
        <is>
          <t>🔗</t>
        </is>
      </c>
      <c r="J45" s="4" t="inlineStr">
        <is>
          <t>🔗</t>
        </is>
      </c>
      <c r="K45" s="4" t="inlineStr">
        <is>
          <t>🔗</t>
        </is>
      </c>
      <c r="L45" s="5" t="n">
        <v>536.83</v>
      </c>
      <c r="M45" s="5" t="n">
        <v>555.6799999999999</v>
      </c>
      <c r="N45" s="6" t="n">
        <v>2525.06</v>
      </c>
      <c r="O45" s="6" t="n">
        <v>2558.44</v>
      </c>
      <c r="P45" s="6" t="n">
        <v>2766.09</v>
      </c>
      <c r="Q45" s="7" t="n"/>
      <c r="R45" s="7" t="n"/>
      <c r="S45" s="8" t="n"/>
      <c r="T45" s="8" t="n"/>
      <c r="U45" s="8" t="n"/>
      <c r="V45" s="9">
        <f>MIN(IF(Q45&lt;&gt;"",Q45*3.75,L45*3.75),IF(R45&lt;&gt;"",R45*3.75,M45*3.75),IF(S45&lt;&gt;"",S45,N45),IF(T45&lt;&gt;"",T45,O45),IF(U45&lt;&gt;"",U45,P45))</f>
        <v/>
      </c>
      <c r="W45" s="10">
        <f>INDEX({"AliExpress","eBay","Amazon.sa","Noon","Jarir"},MATCH(V45,{IF(Q45&lt;&gt;"",Q45*3.75,L45*3.75),IF(R45&lt;&gt;"",R45*3.75,M45*3.75),IF(S45&lt;&gt;"",S45,N45),IF(T45&lt;&gt;"",T45,O45),IF(U45&lt;&gt;"",U45,P45)},0))</f>
        <v/>
      </c>
      <c r="X45" s="9">
        <f>F45-V45</f>
        <v/>
      </c>
      <c r="Y45" s="11">
        <f>IF(V45=0,0,(F45-V45)/V45)</f>
        <v/>
      </c>
      <c r="Z45" s="9">
        <f>CEILING(MAX(V45*1.4,IF(IF(T45&lt;&gt;"",T45,O45)=0,V45*1.5,IF(T45&lt;&gt;"",T45,O45)*0.95)),10)-1</f>
        <v/>
      </c>
      <c r="AA45" s="12">
        <f>IF(IF(T45&lt;&gt;"",T45,O45)=0,"",TEXT((Z45-IF(T45&lt;&gt;"",T45,O45))/IF(T45&lt;&gt;"",T45,O45),"+0.0%;-0.0%"))</f>
        <v/>
      </c>
      <c r="AB45" s="10">
        <f>IF(Y45&gt;0.5,"✅ PROFITABLE — keep",IF(Y45&gt;0.2,"🟡 OK — optimize",IF(Y45&gt;0,"⚠️ THIN — raise or drop","❌ LOSING MONEY")))</f>
        <v/>
      </c>
    </row>
    <row r="46">
      <c r="A46" s="2" t="inlineStr">
        <is>
          <t>⭐ TOP 50</t>
        </is>
      </c>
      <c r="B46" s="2" t="n">
        <v>45</v>
      </c>
      <c r="C46" s="2" t="inlineStr">
        <is>
          <t>NT-NET-MKT-004</t>
        </is>
      </c>
      <c r="D46" s="2" t="inlineStr">
        <is>
          <t>MikroTik CRS312-4C+8XG-RM</t>
        </is>
      </c>
      <c r="E46" s="2" t="inlineStr">
        <is>
          <t>Networking</t>
        </is>
      </c>
      <c r="F46" s="3" t="n">
        <v>2799</v>
      </c>
      <c r="G46" s="4" t="inlineStr">
        <is>
          <t>🔗</t>
        </is>
      </c>
      <c r="H46" s="4" t="inlineStr">
        <is>
          <t>🔗</t>
        </is>
      </c>
      <c r="I46" s="4" t="inlineStr">
        <is>
          <t>🔗</t>
        </is>
      </c>
      <c r="J46" s="4" t="inlineStr">
        <is>
          <t>🔗</t>
        </is>
      </c>
      <c r="K46" s="4" t="inlineStr">
        <is>
          <t>🔗</t>
        </is>
      </c>
      <c r="L46" s="5" t="n">
        <v>577.99</v>
      </c>
      <c r="M46" s="5" t="n">
        <v>633.29</v>
      </c>
      <c r="N46" s="6" t="n">
        <v>2637.14</v>
      </c>
      <c r="O46" s="6" t="n">
        <v>2951.93</v>
      </c>
      <c r="P46" s="6" t="n">
        <v>2691.05</v>
      </c>
      <c r="Q46" s="7" t="n"/>
      <c r="R46" s="7" t="n"/>
      <c r="S46" s="8" t="n"/>
      <c r="T46" s="8" t="n"/>
      <c r="U46" s="8" t="n"/>
      <c r="V46" s="9">
        <f>MIN(IF(Q46&lt;&gt;"",Q46*3.75,L46*3.75),IF(R46&lt;&gt;"",R46*3.75,M46*3.75),IF(S46&lt;&gt;"",S46,N46),IF(T46&lt;&gt;"",T46,O46),IF(U46&lt;&gt;"",U46,P46))</f>
        <v/>
      </c>
      <c r="W46" s="10">
        <f>INDEX({"AliExpress","eBay","Amazon.sa","Noon","Jarir"},MATCH(V46,{IF(Q46&lt;&gt;"",Q46*3.75,L46*3.75),IF(R46&lt;&gt;"",R46*3.75,M46*3.75),IF(S46&lt;&gt;"",S46,N46),IF(T46&lt;&gt;"",T46,O46),IF(U46&lt;&gt;"",U46,P46)},0))</f>
        <v/>
      </c>
      <c r="X46" s="9">
        <f>F46-V46</f>
        <v/>
      </c>
      <c r="Y46" s="11">
        <f>IF(V46=0,0,(F46-V46)/V46)</f>
        <v/>
      </c>
      <c r="Z46" s="9">
        <f>CEILING(MAX(V46*1.4,IF(IF(T46&lt;&gt;"",T46,O46)=0,V46*1.5,IF(T46&lt;&gt;"",T46,O46)*0.95)),10)-1</f>
        <v/>
      </c>
      <c r="AA46" s="12">
        <f>IF(IF(T46&lt;&gt;"",T46,O46)=0,"",TEXT((Z46-IF(T46&lt;&gt;"",T46,O46))/IF(T46&lt;&gt;"",T46,O46),"+0.0%;-0.0%"))</f>
        <v/>
      </c>
      <c r="AB46" s="10">
        <f>IF(Y46&gt;0.5,"✅ PROFITABLE — keep",IF(Y46&gt;0.2,"🟡 OK — optimize",IF(Y46&gt;0,"⚠️ THIN — raise or drop","❌ LOSING MONEY")))</f>
        <v/>
      </c>
    </row>
    <row r="47">
      <c r="A47" s="2" t="inlineStr">
        <is>
          <t>⭐ TOP 50</t>
        </is>
      </c>
      <c r="B47" s="2" t="n">
        <v>46</v>
      </c>
      <c r="C47" s="2" t="inlineStr">
        <is>
          <t>NT-NET-MKT-003</t>
        </is>
      </c>
      <c r="D47" s="2" t="inlineStr">
        <is>
          <t>MikroTik CRS328-24P-4S+RM (PoE)</t>
        </is>
      </c>
      <c r="E47" s="2" t="inlineStr">
        <is>
          <t>Networking</t>
        </is>
      </c>
      <c r="F47" s="3" t="n">
        <v>2699</v>
      </c>
      <c r="G47" s="4" t="inlineStr">
        <is>
          <t>🔗</t>
        </is>
      </c>
      <c r="H47" s="4" t="inlineStr">
        <is>
          <t>🔗</t>
        </is>
      </c>
      <c r="I47" s="4" t="inlineStr">
        <is>
          <t>🔗</t>
        </is>
      </c>
      <c r="J47" s="4" t="inlineStr">
        <is>
          <t>🔗</t>
        </is>
      </c>
      <c r="K47" s="4" t="inlineStr">
        <is>
          <t>🔗</t>
        </is>
      </c>
      <c r="L47" s="5" t="n">
        <v>507.52</v>
      </c>
      <c r="M47" s="5" t="n">
        <v>601.33</v>
      </c>
      <c r="N47" s="6" t="n">
        <v>2685.4</v>
      </c>
      <c r="O47" s="6" t="n">
        <v>2559.56</v>
      </c>
      <c r="P47" s="6" t="n">
        <v>3082.68</v>
      </c>
      <c r="Q47" s="7" t="n"/>
      <c r="R47" s="7" t="n"/>
      <c r="S47" s="8" t="n"/>
      <c r="T47" s="8" t="n"/>
      <c r="U47" s="8" t="n"/>
      <c r="V47" s="9">
        <f>MIN(IF(Q47&lt;&gt;"",Q47*3.75,L47*3.75),IF(R47&lt;&gt;"",R47*3.75,M47*3.75),IF(S47&lt;&gt;"",S47,N47),IF(T47&lt;&gt;"",T47,O47),IF(U47&lt;&gt;"",U47,P47))</f>
        <v/>
      </c>
      <c r="W47" s="10">
        <f>INDEX({"AliExpress","eBay","Amazon.sa","Noon","Jarir"},MATCH(V47,{IF(Q47&lt;&gt;"",Q47*3.75,L47*3.75),IF(R47&lt;&gt;"",R47*3.75,M47*3.75),IF(S47&lt;&gt;"",S47,N47),IF(T47&lt;&gt;"",T47,O47),IF(U47&lt;&gt;"",U47,P47)},0))</f>
        <v/>
      </c>
      <c r="X47" s="9">
        <f>F47-V47</f>
        <v/>
      </c>
      <c r="Y47" s="11">
        <f>IF(V47=0,0,(F47-V47)/V47)</f>
        <v/>
      </c>
      <c r="Z47" s="9">
        <f>CEILING(MAX(V47*1.4,IF(IF(T47&lt;&gt;"",T47,O47)=0,V47*1.5,IF(T47&lt;&gt;"",T47,O47)*0.95)),10)-1</f>
        <v/>
      </c>
      <c r="AA47" s="12">
        <f>IF(IF(T47&lt;&gt;"",T47,O47)=0,"",TEXT((Z47-IF(T47&lt;&gt;"",T47,O47))/IF(T47&lt;&gt;"",T47,O47),"+0.0%;-0.0%"))</f>
        <v/>
      </c>
      <c r="AB47" s="10">
        <f>IF(Y47&gt;0.5,"✅ PROFITABLE — keep",IF(Y47&gt;0.2,"🟡 OK — optimize",IF(Y47&gt;0,"⚠️ THIN — raise or drop","❌ LOSING MONEY")))</f>
        <v/>
      </c>
    </row>
    <row r="48">
      <c r="A48" s="2" t="inlineStr">
        <is>
          <t>⭐ TOP 50</t>
        </is>
      </c>
      <c r="B48" s="2" t="n">
        <v>47</v>
      </c>
      <c r="C48" s="2" t="inlineStr">
        <is>
          <t>NG-ACC-004</t>
        </is>
      </c>
      <c r="D48" s="2" t="inlineStr">
        <is>
          <t>Seagate IronWolf 18TB NAS Internal Hard Drive - Built for 24/7 Performance</t>
        </is>
      </c>
      <c r="E48" s="2" t="inlineStr">
        <is>
          <t>Hardware</t>
        </is>
      </c>
      <c r="F48" s="3" t="n">
        <v>2699</v>
      </c>
      <c r="G48" s="4" t="inlineStr">
        <is>
          <t>🔗</t>
        </is>
      </c>
      <c r="H48" s="4" t="inlineStr">
        <is>
          <t>🔗</t>
        </is>
      </c>
      <c r="I48" s="4" t="inlineStr">
        <is>
          <t>🔗</t>
        </is>
      </c>
      <c r="J48" s="4" t="inlineStr">
        <is>
          <t>🔗</t>
        </is>
      </c>
      <c r="K48" s="4" t="inlineStr">
        <is>
          <t>🔗</t>
        </is>
      </c>
      <c r="L48" s="5" t="n">
        <v>597.6799999999999</v>
      </c>
      <c r="M48" s="5" t="n">
        <v>631.83</v>
      </c>
      <c r="N48" s="6" t="n">
        <v>2648.14</v>
      </c>
      <c r="O48" s="6" t="n">
        <v>2774.66</v>
      </c>
      <c r="P48" s="6" t="n">
        <v>2671.97</v>
      </c>
      <c r="Q48" s="7" t="n"/>
      <c r="R48" s="7" t="n"/>
      <c r="S48" s="8" t="n"/>
      <c r="T48" s="8" t="n"/>
      <c r="U48" s="8" t="n"/>
      <c r="V48" s="9">
        <f>MIN(IF(Q48&lt;&gt;"",Q48*3.75,L48*3.75),IF(R48&lt;&gt;"",R48*3.75,M48*3.75),IF(S48&lt;&gt;"",S48,N48),IF(T48&lt;&gt;"",T48,O48),IF(U48&lt;&gt;"",U48,P48))</f>
        <v/>
      </c>
      <c r="W48" s="10">
        <f>INDEX({"AliExpress","eBay","Amazon.sa","Noon","Jarir"},MATCH(V48,{IF(Q48&lt;&gt;"",Q48*3.75,L48*3.75),IF(R48&lt;&gt;"",R48*3.75,M48*3.75),IF(S48&lt;&gt;"",S48,N48),IF(T48&lt;&gt;"",T48,O48),IF(U48&lt;&gt;"",U48,P48)},0))</f>
        <v/>
      </c>
      <c r="X48" s="9">
        <f>F48-V48</f>
        <v/>
      </c>
      <c r="Y48" s="11">
        <f>IF(V48=0,0,(F48-V48)/V48)</f>
        <v/>
      </c>
      <c r="Z48" s="9">
        <f>CEILING(MAX(V48*1.4,IF(IF(T48&lt;&gt;"",T48,O48)=0,V48*1.5,IF(T48&lt;&gt;"",T48,O48)*0.95)),10)-1</f>
        <v/>
      </c>
      <c r="AA48" s="12">
        <f>IF(IF(T48&lt;&gt;"",T48,O48)=0,"",TEXT((Z48-IF(T48&lt;&gt;"",T48,O48))/IF(T48&lt;&gt;"",T48,O48),"+0.0%;-0.0%"))</f>
        <v/>
      </c>
      <c r="AB48" s="10">
        <f>IF(Y48&gt;0.5,"✅ PROFITABLE — keep",IF(Y48&gt;0.2,"🟡 OK — optimize",IF(Y48&gt;0,"⚠️ THIN — raise or drop","❌ LOSING MONEY")))</f>
        <v/>
      </c>
    </row>
    <row r="49">
      <c r="A49" s="2" t="inlineStr">
        <is>
          <t>⭐ TOP 50</t>
        </is>
      </c>
      <c r="B49" s="2" t="n">
        <v>48</v>
      </c>
      <c r="C49" s="2" t="inlineStr">
        <is>
          <t>NT-FWL-NGT-002</t>
        </is>
      </c>
      <c r="D49" s="2" t="inlineStr">
        <is>
          <t>Netgate 2100 MAX pfSense+ Gateway</t>
        </is>
      </c>
      <c r="E49" s="2" t="inlineStr">
        <is>
          <t>Homelab</t>
        </is>
      </c>
      <c r="F49" s="3" t="n">
        <v>2499</v>
      </c>
      <c r="G49" s="4" t="inlineStr">
        <is>
          <t>🔗</t>
        </is>
      </c>
      <c r="H49" s="4" t="inlineStr">
        <is>
          <t>🔗</t>
        </is>
      </c>
      <c r="I49" s="4" t="inlineStr">
        <is>
          <t>🔗</t>
        </is>
      </c>
      <c r="J49" s="4" t="inlineStr">
        <is>
          <t>🔗</t>
        </is>
      </c>
      <c r="K49" s="4" t="inlineStr">
        <is>
          <t>🔗</t>
        </is>
      </c>
      <c r="L49" s="5" t="n">
        <v>380.1</v>
      </c>
      <c r="M49" s="5" t="n">
        <v>534.02</v>
      </c>
      <c r="N49" s="6" t="n">
        <v>2053.82</v>
      </c>
      <c r="O49" s="6" t="n">
        <v>2525.97</v>
      </c>
      <c r="P49" s="6" t="n">
        <v>2655.08</v>
      </c>
      <c r="Q49" s="7" t="n"/>
      <c r="R49" s="7" t="n"/>
      <c r="S49" s="8" t="n"/>
      <c r="T49" s="8" t="n"/>
      <c r="U49" s="8" t="n"/>
      <c r="V49" s="9">
        <f>MIN(IF(Q49&lt;&gt;"",Q49*3.75,L49*3.75),IF(R49&lt;&gt;"",R49*3.75,M49*3.75),IF(S49&lt;&gt;"",S49,N49),IF(T49&lt;&gt;"",T49,O49),IF(U49&lt;&gt;"",U49,P49))</f>
        <v/>
      </c>
      <c r="W49" s="10">
        <f>INDEX({"AliExpress","eBay","Amazon.sa","Noon","Jarir"},MATCH(V49,{IF(Q49&lt;&gt;"",Q49*3.75,L49*3.75),IF(R49&lt;&gt;"",R49*3.75,M49*3.75),IF(S49&lt;&gt;"",S49,N49),IF(T49&lt;&gt;"",T49,O49),IF(U49&lt;&gt;"",U49,P49)},0))</f>
        <v/>
      </c>
      <c r="X49" s="9">
        <f>F49-V49</f>
        <v/>
      </c>
      <c r="Y49" s="11">
        <f>IF(V49=0,0,(F49-V49)/V49)</f>
        <v/>
      </c>
      <c r="Z49" s="9">
        <f>CEILING(MAX(V49*1.4,IF(IF(T49&lt;&gt;"",T49,O49)=0,V49*1.5,IF(T49&lt;&gt;"",T49,O49)*0.95)),10)-1</f>
        <v/>
      </c>
      <c r="AA49" s="12">
        <f>IF(IF(T49&lt;&gt;"",T49,O49)=0,"",TEXT((Z49-IF(T49&lt;&gt;"",T49,O49))/IF(T49&lt;&gt;"",T49,O49),"+0.0%;-0.0%"))</f>
        <v/>
      </c>
      <c r="AB49" s="10">
        <f>IF(Y49&gt;0.5,"✅ PROFITABLE — keep",IF(Y49&gt;0.2,"🟡 OK — optimize",IF(Y49&gt;0,"⚠️ THIN — raise or drop","❌ LOSING MONEY")))</f>
        <v/>
      </c>
    </row>
    <row r="50">
      <c r="A50" s="2" t="inlineStr">
        <is>
          <t>⭐ TOP 50</t>
        </is>
      </c>
      <c r="B50" s="2" t="n">
        <v>49</v>
      </c>
      <c r="C50" s="2" t="inlineStr">
        <is>
          <t>NG-SEC-006</t>
        </is>
      </c>
      <c r="D50" s="2" t="inlineStr">
        <is>
          <t>Ajax Hub 2 Plus - Professional Wireless Smart Alarm System</t>
        </is>
      </c>
      <c r="E50" s="2" t="inlineStr">
        <is>
          <t>Security &amp;amp; Surveillance</t>
        </is>
      </c>
      <c r="F50" s="3" t="n">
        <v>2499</v>
      </c>
      <c r="G50" s="4" t="inlineStr">
        <is>
          <t>🔗</t>
        </is>
      </c>
      <c r="H50" s="4" t="inlineStr">
        <is>
          <t>🔗</t>
        </is>
      </c>
      <c r="I50" s="4" t="inlineStr">
        <is>
          <t>🔗</t>
        </is>
      </c>
      <c r="J50" s="4" t="inlineStr">
        <is>
          <t>🔗</t>
        </is>
      </c>
      <c r="K50" s="4" t="inlineStr">
        <is>
          <t>🔗</t>
        </is>
      </c>
      <c r="L50" s="5" t="n">
        <v>355.75</v>
      </c>
      <c r="M50" s="5" t="n">
        <v>490.96</v>
      </c>
      <c r="N50" s="6" t="n">
        <v>2210.51</v>
      </c>
      <c r="O50" s="6" t="n">
        <v>2661.39</v>
      </c>
      <c r="P50" s="6" t="n">
        <v>2416.48</v>
      </c>
      <c r="Q50" s="7" t="n"/>
      <c r="R50" s="7" t="n"/>
      <c r="S50" s="8" t="n"/>
      <c r="T50" s="8" t="n"/>
      <c r="U50" s="8" t="n"/>
      <c r="V50" s="9">
        <f>MIN(IF(Q50&lt;&gt;"",Q50*3.75,L50*3.75),IF(R50&lt;&gt;"",R50*3.75,M50*3.75),IF(S50&lt;&gt;"",S50,N50),IF(T50&lt;&gt;"",T50,O50),IF(U50&lt;&gt;"",U50,P50))</f>
        <v/>
      </c>
      <c r="W50" s="10">
        <f>INDEX({"AliExpress","eBay","Amazon.sa","Noon","Jarir"},MATCH(V50,{IF(Q50&lt;&gt;"",Q50*3.75,L50*3.75),IF(R50&lt;&gt;"",R50*3.75,M50*3.75),IF(S50&lt;&gt;"",S50,N50),IF(T50&lt;&gt;"",T50,O50),IF(U50&lt;&gt;"",U50,P50)},0))</f>
        <v/>
      </c>
      <c r="X50" s="9">
        <f>F50-V50</f>
        <v/>
      </c>
      <c r="Y50" s="11">
        <f>IF(V50=0,0,(F50-V50)/V50)</f>
        <v/>
      </c>
      <c r="Z50" s="9">
        <f>CEILING(MAX(V50*1.4,IF(IF(T50&lt;&gt;"",T50,O50)=0,V50*1.5,IF(T50&lt;&gt;"",T50,O50)*0.95)),10)-1</f>
        <v/>
      </c>
      <c r="AA50" s="12">
        <f>IF(IF(T50&lt;&gt;"",T50,O50)=0,"",TEXT((Z50-IF(T50&lt;&gt;"",T50,O50))/IF(T50&lt;&gt;"",T50,O50),"+0.0%;-0.0%"))</f>
        <v/>
      </c>
      <c r="AB50" s="10">
        <f>IF(Y50&gt;0.5,"✅ PROFITABLE — keep",IF(Y50&gt;0.2,"🟡 OK — optimize",IF(Y50&gt;0,"⚠️ THIN — raise or drop","❌ LOSING MONEY")))</f>
        <v/>
      </c>
    </row>
    <row r="51">
      <c r="A51" s="2" t="inlineStr">
        <is>
          <t>⭐ TOP 50</t>
        </is>
      </c>
      <c r="B51" s="2" t="n">
        <v>50</v>
      </c>
      <c r="C51" s="2" t="inlineStr">
        <is>
          <t>NG-DRN-003</t>
        </is>
      </c>
      <c r="D51" s="2" t="inlineStr">
        <is>
          <t>DJI Osmo Action 5 Pro - 4K/120fps Waterproof Action Camera</t>
        </is>
      </c>
      <c r="E51" s="2" t="inlineStr">
        <is>
          <t>Drones &amp;amp; Robotics</t>
        </is>
      </c>
      <c r="F51" s="3" t="n">
        <v>2499</v>
      </c>
      <c r="G51" s="4" t="inlineStr">
        <is>
          <t>🔗</t>
        </is>
      </c>
      <c r="H51" s="4" t="inlineStr">
        <is>
          <t>🔗</t>
        </is>
      </c>
      <c r="I51" s="4" t="inlineStr">
        <is>
          <t>🔗</t>
        </is>
      </c>
      <c r="J51" s="4" t="inlineStr">
        <is>
          <t>🔗</t>
        </is>
      </c>
      <c r="K51" s="4" t="inlineStr">
        <is>
          <t>🔗</t>
        </is>
      </c>
      <c r="L51" s="5" t="n">
        <v>586.61</v>
      </c>
      <c r="M51" s="5" t="n">
        <v>571.9</v>
      </c>
      <c r="N51" s="6" t="n">
        <v>2397.46</v>
      </c>
      <c r="O51" s="6" t="n">
        <v>2601.22</v>
      </c>
      <c r="P51" s="6" t="n">
        <v>2501.5</v>
      </c>
      <c r="Q51" s="7" t="n"/>
      <c r="R51" s="7" t="n"/>
      <c r="S51" s="8" t="n"/>
      <c r="T51" s="8" t="n"/>
      <c r="U51" s="8" t="n"/>
      <c r="V51" s="9">
        <f>MIN(IF(Q51&lt;&gt;"",Q51*3.75,L51*3.75),IF(R51&lt;&gt;"",R51*3.75,M51*3.75),IF(S51&lt;&gt;"",S51,N51),IF(T51&lt;&gt;"",T51,O51),IF(U51&lt;&gt;"",U51,P51))</f>
        <v/>
      </c>
      <c r="W51" s="10">
        <f>INDEX({"AliExpress","eBay","Amazon.sa","Noon","Jarir"},MATCH(V51,{IF(Q51&lt;&gt;"",Q51*3.75,L51*3.75),IF(R51&lt;&gt;"",R51*3.75,M51*3.75),IF(S51&lt;&gt;"",S51,N51),IF(T51&lt;&gt;"",T51,O51),IF(U51&lt;&gt;"",U51,P51)},0))</f>
        <v/>
      </c>
      <c r="X51" s="9">
        <f>F51-V51</f>
        <v/>
      </c>
      <c r="Y51" s="11">
        <f>IF(V51=0,0,(F51-V51)/V51)</f>
        <v/>
      </c>
      <c r="Z51" s="9">
        <f>CEILING(MAX(V51*1.4,IF(IF(T51&lt;&gt;"",T51,O51)=0,V51*1.5,IF(T51&lt;&gt;"",T51,O51)*0.95)),10)-1</f>
        <v/>
      </c>
      <c r="AA51" s="12">
        <f>IF(IF(T51&lt;&gt;"",T51,O51)=0,"",TEXT((Z51-IF(T51&lt;&gt;"",T51,O51))/IF(T51&lt;&gt;"",T51,O51),"+0.0%;-0.0%"))</f>
        <v/>
      </c>
      <c r="AB51" s="10">
        <f>IF(Y51&gt;0.5,"✅ PROFITABLE — keep",IF(Y51&gt;0.2,"🟡 OK — optimize",IF(Y51&gt;0,"⚠️ THIN — raise or drop","❌ LOSING MONEY")))</f>
        <v/>
      </c>
    </row>
    <row r="52">
      <c r="A52" t="inlineStr">
        <is>
          <t>—</t>
        </is>
      </c>
      <c r="B52" t="n">
        <v>51</v>
      </c>
      <c r="C52" t="inlineStr">
        <is>
          <t>NT-MPC-BLK-001</t>
        </is>
      </c>
      <c r="D52" t="inlineStr">
        <is>
          <t>Beelink SER7 (Ryzen 7 7735HS)</t>
        </is>
      </c>
      <c r="E52" t="inlineStr">
        <is>
          <t>Homelab</t>
        </is>
      </c>
      <c r="F52" s="13" t="n">
        <v>2399</v>
      </c>
      <c r="G52" s="4" t="inlineStr">
        <is>
          <t>🔗</t>
        </is>
      </c>
      <c r="H52" s="4" t="inlineStr">
        <is>
          <t>🔗</t>
        </is>
      </c>
      <c r="I52" s="4" t="inlineStr">
        <is>
          <t>🔗</t>
        </is>
      </c>
      <c r="J52" s="4" t="inlineStr">
        <is>
          <t>🔗</t>
        </is>
      </c>
      <c r="K52" s="4" t="inlineStr">
        <is>
          <t>🔗</t>
        </is>
      </c>
      <c r="L52" s="5" t="n">
        <v>386.24</v>
      </c>
      <c r="M52" s="5" t="n">
        <v>497.59</v>
      </c>
      <c r="N52" s="6" t="n">
        <v>1900.81</v>
      </c>
      <c r="O52" s="6" t="n">
        <v>2352.99</v>
      </c>
      <c r="P52" s="6" t="n">
        <v>2758</v>
      </c>
      <c r="Q52" s="7" t="n"/>
      <c r="R52" s="7" t="n"/>
      <c r="S52" s="8" t="n"/>
      <c r="T52" s="8" t="n"/>
      <c r="U52" s="8" t="n"/>
      <c r="V52" s="9">
        <f>MIN(IF(Q52&lt;&gt;"",Q52*3.75,L52*3.75),IF(R52&lt;&gt;"",R52*3.75,M52*3.75),IF(S52&lt;&gt;"",S52,N52),IF(T52&lt;&gt;"",T52,O52),IF(U52&lt;&gt;"",U52,P52))</f>
        <v/>
      </c>
      <c r="W52" s="10">
        <f>INDEX({"AliExpress","eBay","Amazon.sa","Noon","Jarir"},MATCH(V52,{IF(Q52&lt;&gt;"",Q52*3.75,L52*3.75),IF(R52&lt;&gt;"",R52*3.75,M52*3.75),IF(S52&lt;&gt;"",S52,N52),IF(T52&lt;&gt;"",T52,O52),IF(U52&lt;&gt;"",U52,P52)},0))</f>
        <v/>
      </c>
      <c r="X52" s="9">
        <f>F52-V52</f>
        <v/>
      </c>
      <c r="Y52" s="11">
        <f>IF(V52=0,0,(F52-V52)/V52)</f>
        <v/>
      </c>
      <c r="Z52" s="9">
        <f>CEILING(MAX(V52*1.4,IF(IF(T52&lt;&gt;"",T52,O52)=0,V52*1.5,IF(T52&lt;&gt;"",T52,O52)*0.95)),10)-1</f>
        <v/>
      </c>
      <c r="AA52" s="12">
        <f>IF(IF(T52&lt;&gt;"",T52,O52)=0,"",TEXT((Z52-IF(T52&lt;&gt;"",T52,O52))/IF(T52&lt;&gt;"",T52,O52),"+0.0%;-0.0%"))</f>
        <v/>
      </c>
      <c r="AB52" s="10">
        <f>IF(Y52&gt;0.5,"✅ PROFITABLE — keep",IF(Y52&gt;0.2,"🟡 OK — optimize",IF(Y52&gt;0,"⚠️ THIN — raise or drop","❌ LOSING MONEY")))</f>
        <v/>
      </c>
    </row>
    <row r="53">
      <c r="A53" t="inlineStr">
        <is>
          <t>—</t>
        </is>
      </c>
      <c r="B53" t="n">
        <v>52</v>
      </c>
      <c r="C53" t="inlineStr">
        <is>
          <t>NT-KVM-ATN-001</t>
        </is>
      </c>
      <c r="D53" t="inlineStr">
        <is>
          <t>ATEN CS1924M 4-Port DP KVM</t>
        </is>
      </c>
      <c r="E53" t="inlineStr">
        <is>
          <t>Homelab</t>
        </is>
      </c>
      <c r="F53" s="13" t="n">
        <v>2399</v>
      </c>
      <c r="G53" s="4" t="inlineStr">
        <is>
          <t>🔗</t>
        </is>
      </c>
      <c r="H53" s="4" t="inlineStr">
        <is>
          <t>🔗</t>
        </is>
      </c>
      <c r="I53" s="4" t="inlineStr">
        <is>
          <t>🔗</t>
        </is>
      </c>
      <c r="J53" s="4" t="inlineStr">
        <is>
          <t>🔗</t>
        </is>
      </c>
      <c r="K53" s="4" t="inlineStr">
        <is>
          <t>🔗</t>
        </is>
      </c>
      <c r="L53" s="5" t="n">
        <v>460.18</v>
      </c>
      <c r="M53" s="5" t="n">
        <v>423.79</v>
      </c>
      <c r="N53" s="6" t="n">
        <v>1958.15</v>
      </c>
      <c r="O53" s="6" t="n">
        <v>2251.09</v>
      </c>
      <c r="P53" s="6" t="n">
        <v>2722.02</v>
      </c>
      <c r="Q53" s="7" t="n"/>
      <c r="R53" s="7" t="n"/>
      <c r="S53" s="8" t="n"/>
      <c r="T53" s="8" t="n"/>
      <c r="U53" s="8" t="n"/>
      <c r="V53" s="9">
        <f>MIN(IF(Q53&lt;&gt;"",Q53*3.75,L53*3.75),IF(R53&lt;&gt;"",R53*3.75,M53*3.75),IF(S53&lt;&gt;"",S53,N53),IF(T53&lt;&gt;"",T53,O53),IF(U53&lt;&gt;"",U53,P53))</f>
        <v/>
      </c>
      <c r="W53" s="10">
        <f>INDEX({"AliExpress","eBay","Amazon.sa","Noon","Jarir"},MATCH(V53,{IF(Q53&lt;&gt;"",Q53*3.75,L53*3.75),IF(R53&lt;&gt;"",R53*3.75,M53*3.75),IF(S53&lt;&gt;"",S53,N53),IF(T53&lt;&gt;"",T53,O53),IF(U53&lt;&gt;"",U53,P53)},0))</f>
        <v/>
      </c>
      <c r="X53" s="9">
        <f>F53-V53</f>
        <v/>
      </c>
      <c r="Y53" s="11">
        <f>IF(V53=0,0,(F53-V53)/V53)</f>
        <v/>
      </c>
      <c r="Z53" s="9">
        <f>CEILING(MAX(V53*1.4,IF(IF(T53&lt;&gt;"",T53,O53)=0,V53*1.5,IF(T53&lt;&gt;"",T53,O53)*0.95)),10)-1</f>
        <v/>
      </c>
      <c r="AA53" s="12">
        <f>IF(IF(T53&lt;&gt;"",T53,O53)=0,"",TEXT((Z53-IF(T53&lt;&gt;"",T53,O53))/IF(T53&lt;&gt;"",T53,O53),"+0.0%;-0.0%"))</f>
        <v/>
      </c>
      <c r="AB53" s="10">
        <f>IF(Y53&gt;0.5,"✅ PROFITABLE — keep",IF(Y53&gt;0.2,"🟡 OK — optimize",IF(Y53&gt;0,"⚠️ THIN — raise or drop","❌ LOSING MONEY")))</f>
        <v/>
      </c>
    </row>
    <row r="54">
      <c r="A54" t="inlineStr">
        <is>
          <t>—</t>
        </is>
      </c>
      <c r="B54" t="n">
        <v>53</v>
      </c>
      <c r="C54" t="inlineStr">
        <is>
          <t>NG-DRN-006</t>
        </is>
      </c>
      <c r="D54" t="inlineStr">
        <is>
          <t>FIMI X8 Mini V2 - 4K Drone at 245g with Competitive Pricing</t>
        </is>
      </c>
      <c r="E54" t="inlineStr">
        <is>
          <t>Drones &amp;amp; Robotics</t>
        </is>
      </c>
      <c r="F54" s="13" t="n">
        <v>2399</v>
      </c>
      <c r="G54" s="4" t="inlineStr">
        <is>
          <t>🔗</t>
        </is>
      </c>
      <c r="H54" s="4" t="inlineStr">
        <is>
          <t>🔗</t>
        </is>
      </c>
      <c r="I54" s="4" t="inlineStr">
        <is>
          <t>🔗</t>
        </is>
      </c>
      <c r="J54" s="4" t="inlineStr">
        <is>
          <t>🔗</t>
        </is>
      </c>
      <c r="K54" s="4" t="inlineStr">
        <is>
          <t>🔗</t>
        </is>
      </c>
      <c r="L54" s="5" t="n">
        <v>577.89</v>
      </c>
      <c r="M54" s="5" t="n">
        <v>614.58</v>
      </c>
      <c r="N54" s="6" t="n">
        <v>2292.07</v>
      </c>
      <c r="O54" s="6" t="n">
        <v>2275.2</v>
      </c>
      <c r="P54" s="6" t="n">
        <v>2619.08</v>
      </c>
      <c r="Q54" s="7" t="n"/>
      <c r="R54" s="7" t="n"/>
      <c r="S54" s="8" t="n"/>
      <c r="T54" s="8" t="n"/>
      <c r="U54" s="8" t="n"/>
      <c r="V54" s="9">
        <f>MIN(IF(Q54&lt;&gt;"",Q54*3.75,L54*3.75),IF(R54&lt;&gt;"",R54*3.75,M54*3.75),IF(S54&lt;&gt;"",S54,N54),IF(T54&lt;&gt;"",T54,O54),IF(U54&lt;&gt;"",U54,P54))</f>
        <v/>
      </c>
      <c r="W54" s="10">
        <f>INDEX({"AliExpress","eBay","Amazon.sa","Noon","Jarir"},MATCH(V54,{IF(Q54&lt;&gt;"",Q54*3.75,L54*3.75),IF(R54&lt;&gt;"",R54*3.75,M54*3.75),IF(S54&lt;&gt;"",S54,N54),IF(T54&lt;&gt;"",T54,O54),IF(U54&lt;&gt;"",U54,P54)},0))</f>
        <v/>
      </c>
      <c r="X54" s="9">
        <f>F54-V54</f>
        <v/>
      </c>
      <c r="Y54" s="11">
        <f>IF(V54=0,0,(F54-V54)/V54)</f>
        <v/>
      </c>
      <c r="Z54" s="9">
        <f>CEILING(MAX(V54*1.4,IF(IF(T54&lt;&gt;"",T54,O54)=0,V54*1.5,IF(T54&lt;&gt;"",T54,O54)*0.95)),10)-1</f>
        <v/>
      </c>
      <c r="AA54" s="12">
        <f>IF(IF(T54&lt;&gt;"",T54,O54)=0,"",TEXT((Z54-IF(T54&lt;&gt;"",T54,O54))/IF(T54&lt;&gt;"",T54,O54),"+0.0%;-0.0%"))</f>
        <v/>
      </c>
      <c r="AB54" s="10">
        <f>IF(Y54&gt;0.5,"✅ PROFITABLE — keep",IF(Y54&gt;0.2,"🟡 OK — optimize",IF(Y54&gt;0,"⚠️ THIN — raise or drop","❌ LOSING MONEY")))</f>
        <v/>
      </c>
    </row>
    <row r="55">
      <c r="A55" t="inlineStr">
        <is>
          <t>—</t>
        </is>
      </c>
      <c r="B55" t="n">
        <v>54</v>
      </c>
      <c r="C55" t="inlineStr">
        <is>
          <t>NG-MKR-010</t>
        </is>
      </c>
      <c r="D55" t="inlineStr">
        <is>
          <t>Elegoo Mars 4 Ultra Resin 3D Printer - 9K Resolution for Stunning Detail</t>
        </is>
      </c>
      <c r="E55" t="inlineStr">
        <is>
          <t>Enthusiasts &amp;amp; Gamers</t>
        </is>
      </c>
      <c r="F55" s="13" t="n">
        <v>2399</v>
      </c>
      <c r="G55" s="4" t="inlineStr">
        <is>
          <t>🔗</t>
        </is>
      </c>
      <c r="H55" s="4" t="inlineStr">
        <is>
          <t>🔗</t>
        </is>
      </c>
      <c r="I55" s="4" t="inlineStr">
        <is>
          <t>🔗</t>
        </is>
      </c>
      <c r="J55" s="4" t="inlineStr">
        <is>
          <t>🔗</t>
        </is>
      </c>
      <c r="K55" s="4" t="inlineStr">
        <is>
          <t>🔗</t>
        </is>
      </c>
      <c r="L55" s="5" t="n">
        <v>441.87</v>
      </c>
      <c r="M55" s="5" t="n">
        <v>494.09</v>
      </c>
      <c r="N55" s="6" t="n">
        <v>2393.49</v>
      </c>
      <c r="O55" s="6" t="n">
        <v>2520.86</v>
      </c>
      <c r="P55" s="6" t="n">
        <v>2354.77</v>
      </c>
      <c r="Q55" s="7" t="n"/>
      <c r="R55" s="7" t="n"/>
      <c r="S55" s="8" t="n"/>
      <c r="T55" s="8" t="n"/>
      <c r="U55" s="8" t="n"/>
      <c r="V55" s="9">
        <f>MIN(IF(Q55&lt;&gt;"",Q55*3.75,L55*3.75),IF(R55&lt;&gt;"",R55*3.75,M55*3.75),IF(S55&lt;&gt;"",S55,N55),IF(T55&lt;&gt;"",T55,O55),IF(U55&lt;&gt;"",U55,P55))</f>
        <v/>
      </c>
      <c r="W55" s="10">
        <f>INDEX({"AliExpress","eBay","Amazon.sa","Noon","Jarir"},MATCH(V55,{IF(Q55&lt;&gt;"",Q55*3.75,L55*3.75),IF(R55&lt;&gt;"",R55*3.75,M55*3.75),IF(S55&lt;&gt;"",S55,N55),IF(T55&lt;&gt;"",T55,O55),IF(U55&lt;&gt;"",U55,P55)},0))</f>
        <v/>
      </c>
      <c r="X55" s="9">
        <f>F55-V55</f>
        <v/>
      </c>
      <c r="Y55" s="11">
        <f>IF(V55=0,0,(F55-V55)/V55)</f>
        <v/>
      </c>
      <c r="Z55" s="9">
        <f>CEILING(MAX(V55*1.4,IF(IF(T55&lt;&gt;"",T55,O55)=0,V55*1.5,IF(T55&lt;&gt;"",T55,O55)*0.95)),10)-1</f>
        <v/>
      </c>
      <c r="AA55" s="12">
        <f>IF(IF(T55&lt;&gt;"",T55,O55)=0,"",TEXT((Z55-IF(T55&lt;&gt;"",T55,O55))/IF(T55&lt;&gt;"",T55,O55),"+0.0%;-0.0%"))</f>
        <v/>
      </c>
      <c r="AB55" s="10">
        <f>IF(Y55&gt;0.5,"✅ PROFITABLE — keep",IF(Y55&gt;0.2,"🟡 OK — optimize",IF(Y55&gt;0,"⚠️ THIN — raise or drop","❌ LOSING MONEY")))</f>
        <v/>
      </c>
    </row>
    <row r="56">
      <c r="A56" t="inlineStr">
        <is>
          <t>—</t>
        </is>
      </c>
      <c r="B56" t="n">
        <v>55</v>
      </c>
      <c r="C56" t="inlineStr">
        <is>
          <t>NG-SEC-004</t>
        </is>
      </c>
      <c r="D56" t="inlineStr">
        <is>
          <t>Ubiquiti UniFi Protect G4 Doorbell Pro - 5MP Smart Doorbell with Fingerprint Reader</t>
        </is>
      </c>
      <c r="E56" t="inlineStr">
        <is>
          <t>Security &amp;amp; Surveillance</t>
        </is>
      </c>
      <c r="F56" s="13" t="n">
        <v>2299</v>
      </c>
      <c r="G56" s="4" t="inlineStr">
        <is>
          <t>🔗</t>
        </is>
      </c>
      <c r="H56" s="4" t="inlineStr">
        <is>
          <t>🔗</t>
        </is>
      </c>
      <c r="I56" s="4" t="inlineStr">
        <is>
          <t>🔗</t>
        </is>
      </c>
      <c r="J56" s="4" t="inlineStr">
        <is>
          <t>🔗</t>
        </is>
      </c>
      <c r="K56" s="4" t="inlineStr">
        <is>
          <t>🔗</t>
        </is>
      </c>
      <c r="L56" s="5" t="n">
        <v>458.01</v>
      </c>
      <c r="M56" s="5" t="n">
        <v>491</v>
      </c>
      <c r="N56" s="6" t="n">
        <v>2213.42</v>
      </c>
      <c r="O56" s="6" t="n">
        <v>2503.63</v>
      </c>
      <c r="P56" s="6" t="n">
        <v>2245.8</v>
      </c>
      <c r="Q56" s="7" t="n"/>
      <c r="R56" s="7" t="n"/>
      <c r="S56" s="8" t="n"/>
      <c r="T56" s="8" t="n"/>
      <c r="U56" s="8" t="n"/>
      <c r="V56" s="9">
        <f>MIN(IF(Q56&lt;&gt;"",Q56*3.75,L56*3.75),IF(R56&lt;&gt;"",R56*3.75,M56*3.75),IF(S56&lt;&gt;"",S56,N56),IF(T56&lt;&gt;"",T56,O56),IF(U56&lt;&gt;"",U56,P56))</f>
        <v/>
      </c>
      <c r="W56" s="10">
        <f>INDEX({"AliExpress","eBay","Amazon.sa","Noon","Jarir"},MATCH(V56,{IF(Q56&lt;&gt;"",Q56*3.75,L56*3.75),IF(R56&lt;&gt;"",R56*3.75,M56*3.75),IF(S56&lt;&gt;"",S56,N56),IF(T56&lt;&gt;"",T56,O56),IF(U56&lt;&gt;"",U56,P56)},0))</f>
        <v/>
      </c>
      <c r="X56" s="9">
        <f>F56-V56</f>
        <v/>
      </c>
      <c r="Y56" s="11">
        <f>IF(V56=0,0,(F56-V56)/V56)</f>
        <v/>
      </c>
      <c r="Z56" s="9">
        <f>CEILING(MAX(V56*1.4,IF(IF(T56&lt;&gt;"",T56,O56)=0,V56*1.5,IF(T56&lt;&gt;"",T56,O56)*0.95)),10)-1</f>
        <v/>
      </c>
      <c r="AA56" s="12">
        <f>IF(IF(T56&lt;&gt;"",T56,O56)=0,"",TEXT((Z56-IF(T56&lt;&gt;"",T56,O56))/IF(T56&lt;&gt;"",T56,O56),"+0.0%;-0.0%"))</f>
        <v/>
      </c>
      <c r="AB56" s="10">
        <f>IF(Y56&gt;0.5,"✅ PROFITABLE — keep",IF(Y56&gt;0.2,"🟡 OK — optimize",IF(Y56&gt;0,"⚠️ THIN — raise or drop","❌ LOSING MONEY")))</f>
        <v/>
      </c>
    </row>
    <row r="57">
      <c r="A57" t="inlineStr">
        <is>
          <t>—</t>
        </is>
      </c>
      <c r="B57" t="n">
        <v>56</v>
      </c>
      <c r="C57" t="inlineStr">
        <is>
          <t>NT-UPS-CYB-001</t>
        </is>
      </c>
      <c r="D57" t="inlineStr">
        <is>
          <t>CyberPower OR1500LCDRM1U (1500VA 1U)</t>
        </is>
      </c>
      <c r="E57" t="inlineStr">
        <is>
          <t>Homelab</t>
        </is>
      </c>
      <c r="F57" s="13" t="n">
        <v>2099</v>
      </c>
      <c r="G57" s="4" t="inlineStr">
        <is>
          <t>🔗</t>
        </is>
      </c>
      <c r="H57" s="4" t="inlineStr">
        <is>
          <t>🔗</t>
        </is>
      </c>
      <c r="I57" s="4" t="inlineStr">
        <is>
          <t>🔗</t>
        </is>
      </c>
      <c r="J57" s="4" t="inlineStr">
        <is>
          <t>🔗</t>
        </is>
      </c>
      <c r="K57" s="4" t="inlineStr">
        <is>
          <t>🔗</t>
        </is>
      </c>
      <c r="L57" s="5" t="n">
        <v>318.84</v>
      </c>
      <c r="M57" s="5" t="n">
        <v>374.01</v>
      </c>
      <c r="N57" s="6" t="n">
        <v>1834.63</v>
      </c>
      <c r="O57" s="6" t="n">
        <v>1972.88</v>
      </c>
      <c r="P57" s="6" t="n">
        <v>2223.07</v>
      </c>
      <c r="Q57" s="7" t="n"/>
      <c r="R57" s="7" t="n"/>
      <c r="S57" s="8" t="n"/>
      <c r="T57" s="8" t="n"/>
      <c r="U57" s="8" t="n"/>
      <c r="V57" s="9">
        <f>MIN(IF(Q57&lt;&gt;"",Q57*3.75,L57*3.75),IF(R57&lt;&gt;"",R57*3.75,M57*3.75),IF(S57&lt;&gt;"",S57,N57),IF(T57&lt;&gt;"",T57,O57),IF(U57&lt;&gt;"",U57,P57))</f>
        <v/>
      </c>
      <c r="W57" s="10">
        <f>INDEX({"AliExpress","eBay","Amazon.sa","Noon","Jarir"},MATCH(V57,{IF(Q57&lt;&gt;"",Q57*3.75,L57*3.75),IF(R57&lt;&gt;"",R57*3.75,M57*3.75),IF(S57&lt;&gt;"",S57,N57),IF(T57&lt;&gt;"",T57,O57),IF(U57&lt;&gt;"",U57,P57)},0))</f>
        <v/>
      </c>
      <c r="X57" s="9">
        <f>F57-V57</f>
        <v/>
      </c>
      <c r="Y57" s="11">
        <f>IF(V57=0,0,(F57-V57)/V57)</f>
        <v/>
      </c>
      <c r="Z57" s="9">
        <f>CEILING(MAX(V57*1.4,IF(IF(T57&lt;&gt;"",T57,O57)=0,V57*1.5,IF(T57&lt;&gt;"",T57,O57)*0.95)),10)-1</f>
        <v/>
      </c>
      <c r="AA57" s="12">
        <f>IF(IF(T57&lt;&gt;"",T57,O57)=0,"",TEXT((Z57-IF(T57&lt;&gt;"",T57,O57))/IF(T57&lt;&gt;"",T57,O57),"+0.0%;-0.0%"))</f>
        <v/>
      </c>
      <c r="AB57" s="10">
        <f>IF(Y57&gt;0.5,"✅ PROFITABLE — keep",IF(Y57&gt;0.2,"🟡 OK — optimize",IF(Y57&gt;0,"⚠️ THIN — raise or drop","❌ LOSING MONEY")))</f>
        <v/>
      </c>
    </row>
    <row r="58">
      <c r="A58" t="inlineStr">
        <is>
          <t>—</t>
        </is>
      </c>
      <c r="B58" t="n">
        <v>57</v>
      </c>
      <c r="C58" t="inlineStr">
        <is>
          <t>NT-NAS-SYN-001</t>
        </is>
      </c>
      <c r="D58" t="inlineStr">
        <is>
          <t>Synology DS225+ (2-Bay)</t>
        </is>
      </c>
      <c r="E58" t="inlineStr">
        <is>
          <t>Homelab</t>
        </is>
      </c>
      <c r="F58" s="13" t="n">
        <v>2099</v>
      </c>
      <c r="G58" s="4" t="inlineStr">
        <is>
          <t>🔗</t>
        </is>
      </c>
      <c r="H58" s="4" t="inlineStr">
        <is>
          <t>🔗</t>
        </is>
      </c>
      <c r="I58" s="4" t="inlineStr">
        <is>
          <t>🔗</t>
        </is>
      </c>
      <c r="J58" s="4" t="inlineStr">
        <is>
          <t>🔗</t>
        </is>
      </c>
      <c r="K58" s="4" t="inlineStr">
        <is>
          <t>🔗</t>
        </is>
      </c>
      <c r="L58" s="5" t="n">
        <v>376.14</v>
      </c>
      <c r="M58" s="5" t="n">
        <v>383.2</v>
      </c>
      <c r="N58" s="6" t="n">
        <v>1863.54</v>
      </c>
      <c r="O58" s="6" t="n">
        <v>1969.02</v>
      </c>
      <c r="P58" s="6" t="n">
        <v>2166.93</v>
      </c>
      <c r="Q58" s="7" t="n"/>
      <c r="R58" s="7" t="n"/>
      <c r="S58" s="8" t="n"/>
      <c r="T58" s="8" t="n"/>
      <c r="U58" s="8" t="n"/>
      <c r="V58" s="9">
        <f>MIN(IF(Q58&lt;&gt;"",Q58*3.75,L58*3.75),IF(R58&lt;&gt;"",R58*3.75,M58*3.75),IF(S58&lt;&gt;"",S58,N58),IF(T58&lt;&gt;"",T58,O58),IF(U58&lt;&gt;"",U58,P58))</f>
        <v/>
      </c>
      <c r="W58" s="10">
        <f>INDEX({"AliExpress","eBay","Amazon.sa","Noon","Jarir"},MATCH(V58,{IF(Q58&lt;&gt;"",Q58*3.75,L58*3.75),IF(R58&lt;&gt;"",R58*3.75,M58*3.75),IF(S58&lt;&gt;"",S58,N58),IF(T58&lt;&gt;"",T58,O58),IF(U58&lt;&gt;"",U58,P58)},0))</f>
        <v/>
      </c>
      <c r="X58" s="9">
        <f>F58-V58</f>
        <v/>
      </c>
      <c r="Y58" s="11">
        <f>IF(V58=0,0,(F58-V58)/V58)</f>
        <v/>
      </c>
      <c r="Z58" s="9">
        <f>CEILING(MAX(V58*1.4,IF(IF(T58&lt;&gt;"",T58,O58)=0,V58*1.5,IF(T58&lt;&gt;"",T58,O58)*0.95)),10)-1</f>
        <v/>
      </c>
      <c r="AA58" s="12">
        <f>IF(IF(T58&lt;&gt;"",T58,O58)=0,"",TEXT((Z58-IF(T58&lt;&gt;"",T58,O58))/IF(T58&lt;&gt;"",T58,O58),"+0.0%;-0.0%"))</f>
        <v/>
      </c>
      <c r="AB58" s="10">
        <f>IF(Y58&gt;0.5,"✅ PROFITABLE — keep",IF(Y58&gt;0.2,"🟡 OK — optimize",IF(Y58&gt;0,"⚠️ THIN — raise or drop","❌ LOSING MONEY")))</f>
        <v/>
      </c>
    </row>
    <row r="59">
      <c r="A59" t="inlineStr">
        <is>
          <t>—</t>
        </is>
      </c>
      <c r="B59" t="n">
        <v>58</v>
      </c>
      <c r="C59" t="inlineStr">
        <is>
          <t>NG-NET-002</t>
        </is>
      </c>
      <c r="D59" t="inlineStr">
        <is>
          <t>TP-Link Deco XE75 (3-Pack) - AXE5400 WiFi 6E Whole-Home Mesh System</t>
        </is>
      </c>
      <c r="E59" t="inlineStr">
        <is>
          <t>Networking</t>
        </is>
      </c>
      <c r="F59" s="13" t="n">
        <v>2099</v>
      </c>
      <c r="G59" s="4" t="inlineStr">
        <is>
          <t>🔗</t>
        </is>
      </c>
      <c r="H59" s="4" t="inlineStr">
        <is>
          <t>🔗</t>
        </is>
      </c>
      <c r="I59" s="4" t="inlineStr">
        <is>
          <t>🔗</t>
        </is>
      </c>
      <c r="J59" s="4" t="inlineStr">
        <is>
          <t>🔗</t>
        </is>
      </c>
      <c r="K59" s="4" t="inlineStr">
        <is>
          <t>🔗</t>
        </is>
      </c>
      <c r="L59" s="5" t="n">
        <v>427.05</v>
      </c>
      <c r="M59" s="5" t="n">
        <v>500.31</v>
      </c>
      <c r="N59" s="6" t="n">
        <v>1817.08</v>
      </c>
      <c r="O59" s="6" t="n">
        <v>2091.12</v>
      </c>
      <c r="P59" s="6" t="n">
        <v>2110.2</v>
      </c>
      <c r="Q59" s="7" t="n"/>
      <c r="R59" s="7" t="n"/>
      <c r="S59" s="8" t="n"/>
      <c r="T59" s="8" t="n"/>
      <c r="U59" s="8" t="n"/>
      <c r="V59" s="9">
        <f>MIN(IF(Q59&lt;&gt;"",Q59*3.75,L59*3.75),IF(R59&lt;&gt;"",R59*3.75,M59*3.75),IF(S59&lt;&gt;"",S59,N59),IF(T59&lt;&gt;"",T59,O59),IF(U59&lt;&gt;"",U59,P59))</f>
        <v/>
      </c>
      <c r="W59" s="10">
        <f>INDEX({"AliExpress","eBay","Amazon.sa","Noon","Jarir"},MATCH(V59,{IF(Q59&lt;&gt;"",Q59*3.75,L59*3.75),IF(R59&lt;&gt;"",R59*3.75,M59*3.75),IF(S59&lt;&gt;"",S59,N59),IF(T59&lt;&gt;"",T59,O59),IF(U59&lt;&gt;"",U59,P59)},0))</f>
        <v/>
      </c>
      <c r="X59" s="9">
        <f>F59-V59</f>
        <v/>
      </c>
      <c r="Y59" s="11">
        <f>IF(V59=0,0,(F59-V59)/V59)</f>
        <v/>
      </c>
      <c r="Z59" s="9">
        <f>CEILING(MAX(V59*1.4,IF(IF(T59&lt;&gt;"",T59,O59)=0,V59*1.5,IF(T59&lt;&gt;"",T59,O59)*0.95)),10)-1</f>
        <v/>
      </c>
      <c r="AA59" s="12">
        <f>IF(IF(T59&lt;&gt;"",T59,O59)=0,"",TEXT((Z59-IF(T59&lt;&gt;"",T59,O59))/IF(T59&lt;&gt;"",T59,O59),"+0.0%;-0.0%"))</f>
        <v/>
      </c>
      <c r="AB59" s="10">
        <f>IF(Y59&gt;0.5,"✅ PROFITABLE — keep",IF(Y59&gt;0.2,"🟡 OK — optimize",IF(Y59&gt;0,"⚠️ THIN — raise or drop","❌ LOSING MONEY")))</f>
        <v/>
      </c>
    </row>
    <row r="60">
      <c r="A60" t="inlineStr">
        <is>
          <t>—</t>
        </is>
      </c>
      <c r="B60" t="n">
        <v>59</v>
      </c>
      <c r="C60" t="inlineStr">
        <is>
          <t>GC-SW-ACC1</t>
        </is>
      </c>
      <c r="D60" t="inlineStr">
        <is>
          <t>Adobe Creative Cloud 1 Year | أدوبي كرييتف كلاود</t>
        </is>
      </c>
      <c r="E60" t="inlineStr">
        <is>
          <t>Gift Cards &amp;amp; Software Keys</t>
        </is>
      </c>
      <c r="F60" s="13" t="n">
        <v>1999</v>
      </c>
      <c r="G60" s="4" t="inlineStr">
        <is>
          <t>🔗</t>
        </is>
      </c>
      <c r="H60" s="4" t="inlineStr">
        <is>
          <t>🔗</t>
        </is>
      </c>
      <c r="I60" s="4" t="inlineStr">
        <is>
          <t>🔗</t>
        </is>
      </c>
      <c r="J60" s="4" t="inlineStr">
        <is>
          <t>🔗</t>
        </is>
      </c>
      <c r="K60" s="4" t="inlineStr">
        <is>
          <t>🔗</t>
        </is>
      </c>
      <c r="L60" s="5" t="n">
        <v>469.25</v>
      </c>
      <c r="M60" s="5" t="n">
        <v>543.86</v>
      </c>
      <c r="N60" s="6" t="n">
        <v>2137.32</v>
      </c>
      <c r="O60" s="6" t="n">
        <v>2122.76</v>
      </c>
      <c r="P60" s="6" t="n">
        <v>2350.84</v>
      </c>
      <c r="Q60" s="7" t="n"/>
      <c r="R60" s="7" t="n"/>
      <c r="S60" s="8" t="n"/>
      <c r="T60" s="8" t="n"/>
      <c r="U60" s="8" t="n"/>
      <c r="V60" s="9">
        <f>MIN(IF(Q60&lt;&gt;"",Q60*3.75,L60*3.75),IF(R60&lt;&gt;"",R60*3.75,M60*3.75),IF(S60&lt;&gt;"",S60,N60),IF(T60&lt;&gt;"",T60,O60),IF(U60&lt;&gt;"",U60,P60))</f>
        <v/>
      </c>
      <c r="W60" s="10">
        <f>INDEX({"AliExpress","eBay","Amazon.sa","Noon","Jarir"},MATCH(V60,{IF(Q60&lt;&gt;"",Q60*3.75,L60*3.75),IF(R60&lt;&gt;"",R60*3.75,M60*3.75),IF(S60&lt;&gt;"",S60,N60),IF(T60&lt;&gt;"",T60,O60),IF(U60&lt;&gt;"",U60,P60)},0))</f>
        <v/>
      </c>
      <c r="X60" s="9">
        <f>F60-V60</f>
        <v/>
      </c>
      <c r="Y60" s="11">
        <f>IF(V60=0,0,(F60-V60)/V60)</f>
        <v/>
      </c>
      <c r="Z60" s="9">
        <f>CEILING(MAX(V60*1.4,IF(IF(T60&lt;&gt;"",T60,O60)=0,V60*1.5,IF(T60&lt;&gt;"",T60,O60)*0.95)),10)-1</f>
        <v/>
      </c>
      <c r="AA60" s="12">
        <f>IF(IF(T60&lt;&gt;"",T60,O60)=0,"",TEXT((Z60-IF(T60&lt;&gt;"",T60,O60))/IF(T60&lt;&gt;"",T60,O60),"+0.0%;-0.0%"))</f>
        <v/>
      </c>
      <c r="AB60" s="10">
        <f>IF(Y60&gt;0.5,"✅ PROFITABLE — keep",IF(Y60&gt;0.2,"🟡 OK — optimize",IF(Y60&gt;0,"⚠️ THIN — raise or drop","❌ LOSING MONEY")))</f>
        <v/>
      </c>
    </row>
    <row r="61">
      <c r="A61" t="inlineStr">
        <is>
          <t>—</t>
        </is>
      </c>
      <c r="B61" t="n">
        <v>60</v>
      </c>
      <c r="C61" t="inlineStr">
        <is>
          <t>NG-3DP-002</t>
        </is>
      </c>
      <c r="D61" t="inlineStr">
        <is>
          <t>Bambu Lab AMS - Automatic Material System for Multi-Color 3D Printing</t>
        </is>
      </c>
      <c r="E61" t="inlineStr">
        <is>
          <t>3D Printing &amp;amp; CNC</t>
        </is>
      </c>
      <c r="F61" s="13" t="n">
        <v>1949</v>
      </c>
      <c r="G61" s="4" t="inlineStr">
        <is>
          <t>🔗</t>
        </is>
      </c>
      <c r="H61" s="4" t="inlineStr">
        <is>
          <t>🔗</t>
        </is>
      </c>
      <c r="I61" s="4" t="inlineStr">
        <is>
          <t>🔗</t>
        </is>
      </c>
      <c r="J61" s="4" t="inlineStr">
        <is>
          <t>🔗</t>
        </is>
      </c>
      <c r="K61" s="4" t="inlineStr">
        <is>
          <t>🔗</t>
        </is>
      </c>
      <c r="L61" s="5" t="n">
        <v>343.2</v>
      </c>
      <c r="M61" s="5" t="n">
        <v>382.28</v>
      </c>
      <c r="N61" s="6" t="n">
        <v>1601.57</v>
      </c>
      <c r="O61" s="6" t="n">
        <v>1822.41</v>
      </c>
      <c r="P61" s="6" t="n">
        <v>2254.25</v>
      </c>
      <c r="Q61" s="7" t="n"/>
      <c r="R61" s="7" t="n"/>
      <c r="S61" s="8" t="n"/>
      <c r="T61" s="8" t="n"/>
      <c r="U61" s="8" t="n"/>
      <c r="V61" s="9">
        <f>MIN(IF(Q61&lt;&gt;"",Q61*3.75,L61*3.75),IF(R61&lt;&gt;"",R61*3.75,M61*3.75),IF(S61&lt;&gt;"",S61,N61),IF(T61&lt;&gt;"",T61,O61),IF(U61&lt;&gt;"",U61,P61))</f>
        <v/>
      </c>
      <c r="W61" s="10">
        <f>INDEX({"AliExpress","eBay","Amazon.sa","Noon","Jarir"},MATCH(V61,{IF(Q61&lt;&gt;"",Q61*3.75,L61*3.75),IF(R61&lt;&gt;"",R61*3.75,M61*3.75),IF(S61&lt;&gt;"",S61,N61),IF(T61&lt;&gt;"",T61,O61),IF(U61&lt;&gt;"",U61,P61)},0))</f>
        <v/>
      </c>
      <c r="X61" s="9">
        <f>F61-V61</f>
        <v/>
      </c>
      <c r="Y61" s="11">
        <f>IF(V61=0,0,(F61-V61)/V61)</f>
        <v/>
      </c>
      <c r="Z61" s="9">
        <f>CEILING(MAX(V61*1.4,IF(IF(T61&lt;&gt;"",T61,O61)=0,V61*1.5,IF(T61&lt;&gt;"",T61,O61)*0.95)),10)-1</f>
        <v/>
      </c>
      <c r="AA61" s="12">
        <f>IF(IF(T61&lt;&gt;"",T61,O61)=0,"",TEXT((Z61-IF(T61&lt;&gt;"",T61,O61))/IF(T61&lt;&gt;"",T61,O61),"+0.0%;-0.0%"))</f>
        <v/>
      </c>
      <c r="AB61" s="10">
        <f>IF(Y61&gt;0.5,"✅ PROFITABLE — keep",IF(Y61&gt;0.2,"🟡 OK — optimize",IF(Y61&gt;0,"⚠️ THIN — raise or drop","❌ LOSING MONEY")))</f>
        <v/>
      </c>
    </row>
    <row r="62">
      <c r="A62" t="inlineStr">
        <is>
          <t>—</t>
        </is>
      </c>
      <c r="B62" t="n">
        <v>61</v>
      </c>
      <c r="C62" t="inlineStr">
        <is>
          <t>NT-NAS-QNP-002</t>
        </is>
      </c>
      <c r="D62" t="inlineStr">
        <is>
          <t>QNAP TS-262-4G (2-Bay)</t>
        </is>
      </c>
      <c r="E62" t="inlineStr">
        <is>
          <t>Homelab</t>
        </is>
      </c>
      <c r="F62" s="13" t="n">
        <v>1899</v>
      </c>
      <c r="G62" s="4" t="inlineStr">
        <is>
          <t>🔗</t>
        </is>
      </c>
      <c r="H62" s="4" t="inlineStr">
        <is>
          <t>🔗</t>
        </is>
      </c>
      <c r="I62" s="4" t="inlineStr">
        <is>
          <t>🔗</t>
        </is>
      </c>
      <c r="J62" s="4" t="inlineStr">
        <is>
          <t>🔗</t>
        </is>
      </c>
      <c r="K62" s="4" t="inlineStr">
        <is>
          <t>🔗</t>
        </is>
      </c>
      <c r="L62" s="5" t="n">
        <v>356.34</v>
      </c>
      <c r="M62" s="5" t="n">
        <v>376.13</v>
      </c>
      <c r="N62" s="6" t="n">
        <v>1750.65</v>
      </c>
      <c r="O62" s="6" t="n">
        <v>1914.48</v>
      </c>
      <c r="P62" s="6" t="n">
        <v>1811.76</v>
      </c>
      <c r="Q62" s="7" t="n"/>
      <c r="R62" s="7" t="n"/>
      <c r="S62" s="8" t="n"/>
      <c r="T62" s="8" t="n"/>
      <c r="U62" s="8" t="n"/>
      <c r="V62" s="9">
        <f>MIN(IF(Q62&lt;&gt;"",Q62*3.75,L62*3.75),IF(R62&lt;&gt;"",R62*3.75,M62*3.75),IF(S62&lt;&gt;"",S62,N62),IF(T62&lt;&gt;"",T62,O62),IF(U62&lt;&gt;"",U62,P62))</f>
        <v/>
      </c>
      <c r="W62" s="10">
        <f>INDEX({"AliExpress","eBay","Amazon.sa","Noon","Jarir"},MATCH(V62,{IF(Q62&lt;&gt;"",Q62*3.75,L62*3.75),IF(R62&lt;&gt;"",R62*3.75,M62*3.75),IF(S62&lt;&gt;"",S62,N62),IF(T62&lt;&gt;"",T62,O62),IF(U62&lt;&gt;"",U62,P62)},0))</f>
        <v/>
      </c>
      <c r="X62" s="9">
        <f>F62-V62</f>
        <v/>
      </c>
      <c r="Y62" s="11">
        <f>IF(V62=0,0,(F62-V62)/V62)</f>
        <v/>
      </c>
      <c r="Z62" s="9">
        <f>CEILING(MAX(V62*1.4,IF(IF(T62&lt;&gt;"",T62,O62)=0,V62*1.5,IF(T62&lt;&gt;"",T62,O62)*0.95)),10)-1</f>
        <v/>
      </c>
      <c r="AA62" s="12">
        <f>IF(IF(T62&lt;&gt;"",T62,O62)=0,"",TEXT((Z62-IF(T62&lt;&gt;"",T62,O62))/IF(T62&lt;&gt;"",T62,O62),"+0.0%;-0.0%"))</f>
        <v/>
      </c>
      <c r="AB62" s="10">
        <f>IF(Y62&gt;0.5,"✅ PROFITABLE — keep",IF(Y62&gt;0.2,"🟡 OK — optimize",IF(Y62&gt;0,"⚠️ THIN — raise or drop","❌ LOSING MONEY")))</f>
        <v/>
      </c>
    </row>
    <row r="63">
      <c r="A63" t="inlineStr">
        <is>
          <t>—</t>
        </is>
      </c>
      <c r="B63" t="n">
        <v>62</v>
      </c>
      <c r="C63" t="inlineStr">
        <is>
          <t>NG-ACC-005</t>
        </is>
      </c>
      <c r="D63" t="inlineStr">
        <is>
          <t>Flipper Zero - The Ultimate Multi-Tool for Geeks and Cyber-Research</t>
        </is>
      </c>
      <c r="E63" t="inlineStr">
        <is>
          <t>Accessories &amp;amp; Lifestyle</t>
        </is>
      </c>
      <c r="F63" s="13" t="n">
        <v>1799</v>
      </c>
      <c r="G63" s="4" t="inlineStr">
        <is>
          <t>🔗</t>
        </is>
      </c>
      <c r="H63" s="4" t="inlineStr">
        <is>
          <t>🔗</t>
        </is>
      </c>
      <c r="I63" s="4" t="inlineStr">
        <is>
          <t>🔗</t>
        </is>
      </c>
      <c r="J63" s="4" t="inlineStr">
        <is>
          <t>🔗</t>
        </is>
      </c>
      <c r="K63" s="4" t="inlineStr">
        <is>
          <t>🔗</t>
        </is>
      </c>
      <c r="L63" s="5" t="n">
        <v>96.75</v>
      </c>
      <c r="M63" s="5" t="n">
        <v>180.89</v>
      </c>
      <c r="N63" s="6" t="n">
        <v>1474.63</v>
      </c>
      <c r="O63" s="6" t="n">
        <v>1778.92</v>
      </c>
      <c r="P63" s="6" t="n">
        <v>1993.67</v>
      </c>
      <c r="Q63" s="7" t="n"/>
      <c r="R63" s="7" t="n"/>
      <c r="S63" s="8" t="n"/>
      <c r="T63" s="8" t="n"/>
      <c r="U63" s="8" t="n"/>
      <c r="V63" s="9">
        <f>MIN(IF(Q63&lt;&gt;"",Q63*3.75,L63*3.75),IF(R63&lt;&gt;"",R63*3.75,M63*3.75),IF(S63&lt;&gt;"",S63,N63),IF(T63&lt;&gt;"",T63,O63),IF(U63&lt;&gt;"",U63,P63))</f>
        <v/>
      </c>
      <c r="W63" s="10">
        <f>INDEX({"AliExpress","eBay","Amazon.sa","Noon","Jarir"},MATCH(V63,{IF(Q63&lt;&gt;"",Q63*3.75,L63*3.75),IF(R63&lt;&gt;"",R63*3.75,M63*3.75),IF(S63&lt;&gt;"",S63,N63),IF(T63&lt;&gt;"",T63,O63),IF(U63&lt;&gt;"",U63,P63)},0))</f>
        <v/>
      </c>
      <c r="X63" s="9">
        <f>F63-V63</f>
        <v/>
      </c>
      <c r="Y63" s="11">
        <f>IF(V63=0,0,(F63-V63)/V63)</f>
        <v/>
      </c>
      <c r="Z63" s="9">
        <f>CEILING(MAX(V63*1.4,IF(IF(T63&lt;&gt;"",T63,O63)=0,V63*1.5,IF(T63&lt;&gt;"",T63,O63)*0.95)),10)-1</f>
        <v/>
      </c>
      <c r="AA63" s="12">
        <f>IF(IF(T63&lt;&gt;"",T63,O63)=0,"",TEXT((Z63-IF(T63&lt;&gt;"",T63,O63))/IF(T63&lt;&gt;"",T63,O63),"+0.0%;-0.0%"))</f>
        <v/>
      </c>
      <c r="AB63" s="10">
        <f>IF(Y63&gt;0.5,"✅ PROFITABLE — keep",IF(Y63&gt;0.2,"🟡 OK — optimize",IF(Y63&gt;0,"⚠️ THIN — raise or drop","❌ LOSING MONEY")))</f>
        <v/>
      </c>
    </row>
    <row r="64">
      <c r="A64" t="inlineStr">
        <is>
          <t>—</t>
        </is>
      </c>
      <c r="B64" t="n">
        <v>63</v>
      </c>
      <c r="C64" t="inlineStr">
        <is>
          <t>SH-THR-NEST-001</t>
        </is>
      </c>
      <c r="D64" t="inlineStr">
        <is>
          <t>Google Nest Learning Thermostat (4th Gen)</t>
        </is>
      </c>
      <c r="E64" t="inlineStr">
        <is>
          <t>Smart Home &amp;amp; IoT</t>
        </is>
      </c>
      <c r="F64" s="13" t="n">
        <v>1699</v>
      </c>
      <c r="G64" s="4" t="inlineStr">
        <is>
          <t>🔗</t>
        </is>
      </c>
      <c r="H64" s="4" t="inlineStr">
        <is>
          <t>🔗</t>
        </is>
      </c>
      <c r="I64" s="4" t="inlineStr">
        <is>
          <t>🔗</t>
        </is>
      </c>
      <c r="J64" s="4" t="inlineStr">
        <is>
          <t>🔗</t>
        </is>
      </c>
      <c r="K64" s="4" t="inlineStr">
        <is>
          <t>🔗</t>
        </is>
      </c>
      <c r="L64" s="5" t="n">
        <v>240.03</v>
      </c>
      <c r="M64" s="5" t="n">
        <v>271.08</v>
      </c>
      <c r="N64" s="6" t="n">
        <v>1295.29</v>
      </c>
      <c r="O64" s="6" t="n">
        <v>1402.86</v>
      </c>
      <c r="P64" s="6" t="n">
        <v>1852.98</v>
      </c>
      <c r="Q64" s="7" t="n"/>
      <c r="R64" s="7" t="n"/>
      <c r="S64" s="8" t="n"/>
      <c r="T64" s="8" t="n"/>
      <c r="U64" s="8" t="n"/>
      <c r="V64" s="9">
        <f>MIN(IF(Q64&lt;&gt;"",Q64*3.75,L64*3.75),IF(R64&lt;&gt;"",R64*3.75,M64*3.75),IF(S64&lt;&gt;"",S64,N64),IF(T64&lt;&gt;"",T64,O64),IF(U64&lt;&gt;"",U64,P64))</f>
        <v/>
      </c>
      <c r="W64" s="10">
        <f>INDEX({"AliExpress","eBay","Amazon.sa","Noon","Jarir"},MATCH(V64,{IF(Q64&lt;&gt;"",Q64*3.75,L64*3.75),IF(R64&lt;&gt;"",R64*3.75,M64*3.75),IF(S64&lt;&gt;"",S64,N64),IF(T64&lt;&gt;"",T64,O64),IF(U64&lt;&gt;"",U64,P64)},0))</f>
        <v/>
      </c>
      <c r="X64" s="9">
        <f>F64-V64</f>
        <v/>
      </c>
      <c r="Y64" s="11">
        <f>IF(V64=0,0,(F64-V64)/V64)</f>
        <v/>
      </c>
      <c r="Z64" s="9">
        <f>CEILING(MAX(V64*1.4,IF(IF(T64&lt;&gt;"",T64,O64)=0,V64*1.5,IF(T64&lt;&gt;"",T64,O64)*0.95)),10)-1</f>
        <v/>
      </c>
      <c r="AA64" s="12">
        <f>IF(IF(T64&lt;&gt;"",T64,O64)=0,"",TEXT((Z64-IF(T64&lt;&gt;"",T64,O64))/IF(T64&lt;&gt;"",T64,O64),"+0.0%;-0.0%"))</f>
        <v/>
      </c>
      <c r="AB64" s="10">
        <f>IF(Y64&gt;0.5,"✅ PROFITABLE — keep",IF(Y64&gt;0.2,"🟡 OK — optimize",IF(Y64&gt;0,"⚠️ THIN — raise or drop","❌ LOSING MONEY")))</f>
        <v/>
      </c>
    </row>
    <row r="65">
      <c r="A65" t="inlineStr">
        <is>
          <t>—</t>
        </is>
      </c>
      <c r="B65" t="n">
        <v>64</v>
      </c>
      <c r="C65" t="inlineStr">
        <is>
          <t>SH-CAM-EUFY-001</t>
        </is>
      </c>
      <c r="D65" t="inlineStr">
        <is>
          <t>Eufy eufyCam 3 (4K + HomeBase 3 Kit)</t>
        </is>
      </c>
      <c r="E65" t="inlineStr">
        <is>
          <t>Smart Home &amp;amp; IoT</t>
        </is>
      </c>
      <c r="F65" s="13" t="n">
        <v>1649</v>
      </c>
      <c r="G65" s="4" t="inlineStr">
        <is>
          <t>🔗</t>
        </is>
      </c>
      <c r="H65" s="4" t="inlineStr">
        <is>
          <t>🔗</t>
        </is>
      </c>
      <c r="I65" s="4" t="inlineStr">
        <is>
          <t>🔗</t>
        </is>
      </c>
      <c r="J65" s="4" t="inlineStr">
        <is>
          <t>🔗</t>
        </is>
      </c>
      <c r="K65" s="4" t="inlineStr">
        <is>
          <t>🔗</t>
        </is>
      </c>
      <c r="L65" s="5" t="n">
        <v>231.66</v>
      </c>
      <c r="M65" s="5" t="n">
        <v>282.95</v>
      </c>
      <c r="N65" s="6" t="n">
        <v>1410.17</v>
      </c>
      <c r="O65" s="6" t="n">
        <v>1382.91</v>
      </c>
      <c r="P65" s="6" t="n">
        <v>1865.13</v>
      </c>
      <c r="Q65" s="7" t="n"/>
      <c r="R65" s="7" t="n"/>
      <c r="S65" s="8" t="n"/>
      <c r="T65" s="8" t="n"/>
      <c r="U65" s="8" t="n"/>
      <c r="V65" s="9">
        <f>MIN(IF(Q65&lt;&gt;"",Q65*3.75,L65*3.75),IF(R65&lt;&gt;"",R65*3.75,M65*3.75),IF(S65&lt;&gt;"",S65,N65),IF(T65&lt;&gt;"",T65,O65),IF(U65&lt;&gt;"",U65,P65))</f>
        <v/>
      </c>
      <c r="W65" s="10">
        <f>INDEX({"AliExpress","eBay","Amazon.sa","Noon","Jarir"},MATCH(V65,{IF(Q65&lt;&gt;"",Q65*3.75,L65*3.75),IF(R65&lt;&gt;"",R65*3.75,M65*3.75),IF(S65&lt;&gt;"",S65,N65),IF(T65&lt;&gt;"",T65,O65),IF(U65&lt;&gt;"",U65,P65)},0))</f>
        <v/>
      </c>
      <c r="X65" s="9">
        <f>F65-V65</f>
        <v/>
      </c>
      <c r="Y65" s="11">
        <f>IF(V65=0,0,(F65-V65)/V65)</f>
        <v/>
      </c>
      <c r="Z65" s="9">
        <f>CEILING(MAX(V65*1.4,IF(IF(T65&lt;&gt;"",T65,O65)=0,V65*1.5,IF(T65&lt;&gt;"",T65,O65)*0.95)),10)-1</f>
        <v/>
      </c>
      <c r="AA65" s="12">
        <f>IF(IF(T65&lt;&gt;"",T65,O65)=0,"",TEXT((Z65-IF(T65&lt;&gt;"",T65,O65))/IF(T65&lt;&gt;"",T65,O65),"+0.0%;-0.0%"))</f>
        <v/>
      </c>
      <c r="AB65" s="10">
        <f>IF(Y65&gt;0.5,"✅ PROFITABLE — keep",IF(Y65&gt;0.2,"🟡 OK — optimize",IF(Y65&gt;0,"⚠️ THIN — raise or drop","❌ LOSING MONEY")))</f>
        <v/>
      </c>
    </row>
    <row r="66">
      <c r="A66" t="inlineStr">
        <is>
          <t>—</t>
        </is>
      </c>
      <c r="B66" t="n">
        <v>65</v>
      </c>
      <c r="C66" t="inlineStr">
        <is>
          <t>NG-ENT-007</t>
        </is>
      </c>
      <c r="D66" t="inlineStr">
        <is>
          <t>MikroTik CRS326-24G-2S+RM 24-Port Managed Gigabit Switch with 10G SFP+</t>
        </is>
      </c>
      <c r="E66" t="inlineStr">
        <is>
          <t>Homelab</t>
        </is>
      </c>
      <c r="F66" s="13" t="n">
        <v>1649</v>
      </c>
      <c r="G66" s="4" t="inlineStr">
        <is>
          <t>🔗</t>
        </is>
      </c>
      <c r="H66" s="4" t="inlineStr">
        <is>
          <t>🔗</t>
        </is>
      </c>
      <c r="I66" s="4" t="inlineStr">
        <is>
          <t>🔗</t>
        </is>
      </c>
      <c r="J66" s="4" t="inlineStr">
        <is>
          <t>🔗</t>
        </is>
      </c>
      <c r="K66" s="4" t="inlineStr">
        <is>
          <t>🔗</t>
        </is>
      </c>
      <c r="L66" s="5" t="n">
        <v>306.49</v>
      </c>
      <c r="M66" s="5" t="n">
        <v>358.8</v>
      </c>
      <c r="N66" s="6" t="n">
        <v>1513.5</v>
      </c>
      <c r="O66" s="6" t="n">
        <v>1770.88</v>
      </c>
      <c r="P66" s="6" t="n">
        <v>1526.48</v>
      </c>
      <c r="Q66" s="7" t="n"/>
      <c r="R66" s="7" t="n"/>
      <c r="S66" s="8" t="n"/>
      <c r="T66" s="8" t="n"/>
      <c r="U66" s="8" t="n"/>
      <c r="V66" s="9">
        <f>MIN(IF(Q66&lt;&gt;"",Q66*3.75,L66*3.75),IF(R66&lt;&gt;"",R66*3.75,M66*3.75),IF(S66&lt;&gt;"",S66,N66),IF(T66&lt;&gt;"",T66,O66),IF(U66&lt;&gt;"",U66,P66))</f>
        <v/>
      </c>
      <c r="W66" s="10">
        <f>INDEX({"AliExpress","eBay","Amazon.sa","Noon","Jarir"},MATCH(V66,{IF(Q66&lt;&gt;"",Q66*3.75,L66*3.75),IF(R66&lt;&gt;"",R66*3.75,M66*3.75),IF(S66&lt;&gt;"",S66,N66),IF(T66&lt;&gt;"",T66,O66),IF(U66&lt;&gt;"",U66,P66)},0))</f>
        <v/>
      </c>
      <c r="X66" s="9">
        <f>F66-V66</f>
        <v/>
      </c>
      <c r="Y66" s="11">
        <f>IF(V66=0,0,(F66-V66)/V66)</f>
        <v/>
      </c>
      <c r="Z66" s="9">
        <f>CEILING(MAX(V66*1.4,IF(IF(T66&lt;&gt;"",T66,O66)=0,V66*1.5,IF(T66&lt;&gt;"",T66,O66)*0.95)),10)-1</f>
        <v/>
      </c>
      <c r="AA66" s="12">
        <f>IF(IF(T66&lt;&gt;"",T66,O66)=0,"",TEXT((Z66-IF(T66&lt;&gt;"",T66,O66))/IF(T66&lt;&gt;"",T66,O66),"+0.0%;-0.0%"))</f>
        <v/>
      </c>
      <c r="AB66" s="10">
        <f>IF(Y66&gt;0.5,"✅ PROFITABLE — keep",IF(Y66&gt;0.2,"🟡 OK — optimize",IF(Y66&gt;0,"⚠️ THIN — raise or drop","❌ LOSING MONEY")))</f>
        <v/>
      </c>
    </row>
    <row r="67">
      <c r="A67" t="inlineStr">
        <is>
          <t>—</t>
        </is>
      </c>
      <c r="B67" t="n">
        <v>66</v>
      </c>
      <c r="C67" t="inlineStr">
        <is>
          <t>NG-SH-001</t>
        </is>
      </c>
      <c r="D67" t="inlineStr">
        <is>
          <t>Aqara Smart Door Lock A100 - Elite Security with Apple HomeKey Support</t>
        </is>
      </c>
      <c r="E67" t="inlineStr">
        <is>
          <t>Smart Home &amp;amp; IoT</t>
        </is>
      </c>
      <c r="F67" s="13" t="n">
        <v>1649</v>
      </c>
      <c r="G67" s="4" t="inlineStr">
        <is>
          <t>🔗</t>
        </is>
      </c>
      <c r="H67" s="4" t="inlineStr">
        <is>
          <t>🔗</t>
        </is>
      </c>
      <c r="I67" s="4" t="inlineStr">
        <is>
          <t>🔗</t>
        </is>
      </c>
      <c r="J67" s="4" t="inlineStr">
        <is>
          <t>🔗</t>
        </is>
      </c>
      <c r="K67" s="4" t="inlineStr">
        <is>
          <t>🔗</t>
        </is>
      </c>
      <c r="L67" s="5" t="n">
        <v>218.69</v>
      </c>
      <c r="M67" s="5" t="n">
        <v>275.45</v>
      </c>
      <c r="N67" s="6" t="n">
        <v>1538.03</v>
      </c>
      <c r="O67" s="6" t="n">
        <v>1649.92</v>
      </c>
      <c r="P67" s="6" t="n">
        <v>1835.83</v>
      </c>
      <c r="Q67" s="7" t="n"/>
      <c r="R67" s="7" t="n"/>
      <c r="S67" s="8" t="n"/>
      <c r="T67" s="8" t="n"/>
      <c r="U67" s="8" t="n"/>
      <c r="V67" s="9">
        <f>MIN(IF(Q67&lt;&gt;"",Q67*3.75,L67*3.75),IF(R67&lt;&gt;"",R67*3.75,M67*3.75),IF(S67&lt;&gt;"",S67,N67),IF(T67&lt;&gt;"",T67,O67),IF(U67&lt;&gt;"",U67,P67))</f>
        <v/>
      </c>
      <c r="W67" s="10">
        <f>INDEX({"AliExpress","eBay","Amazon.sa","Noon","Jarir"},MATCH(V67,{IF(Q67&lt;&gt;"",Q67*3.75,L67*3.75),IF(R67&lt;&gt;"",R67*3.75,M67*3.75),IF(S67&lt;&gt;"",S67,N67),IF(T67&lt;&gt;"",T67,O67),IF(U67&lt;&gt;"",U67,P67)},0))</f>
        <v/>
      </c>
      <c r="X67" s="9">
        <f>F67-V67</f>
        <v/>
      </c>
      <c r="Y67" s="11">
        <f>IF(V67=0,0,(F67-V67)/V67)</f>
        <v/>
      </c>
      <c r="Z67" s="9">
        <f>CEILING(MAX(V67*1.4,IF(IF(T67&lt;&gt;"",T67,O67)=0,V67*1.5,IF(T67&lt;&gt;"",T67,O67)*0.95)),10)-1</f>
        <v/>
      </c>
      <c r="AA67" s="12">
        <f>IF(IF(T67&lt;&gt;"",T67,O67)=0,"",TEXT((Z67-IF(T67&lt;&gt;"",T67,O67))/IF(T67&lt;&gt;"",T67,O67),"+0.0%;-0.0%"))</f>
        <v/>
      </c>
      <c r="AB67" s="10">
        <f>IF(Y67&gt;0.5,"✅ PROFITABLE — keep",IF(Y67&gt;0.2,"🟡 OK — optimize",IF(Y67&gt;0,"⚠️ THIN — raise or drop","❌ LOSING MONEY")))</f>
        <v/>
      </c>
    </row>
    <row r="68">
      <c r="A68" t="inlineStr">
        <is>
          <t>—</t>
        </is>
      </c>
      <c r="B68" t="n">
        <v>67</v>
      </c>
      <c r="C68" t="inlineStr">
        <is>
          <t>NG-ENT-004</t>
        </is>
      </c>
      <c r="D68" t="inlineStr">
        <is>
          <t>UniFi 6 Long-Range (U6-LR) - High-Performance WiFi 6 Access Point</t>
        </is>
      </c>
      <c r="E68" t="inlineStr">
        <is>
          <t>Homelab</t>
        </is>
      </c>
      <c r="F68" s="13" t="n">
        <v>1649</v>
      </c>
      <c r="G68" s="4" t="inlineStr">
        <is>
          <t>🔗</t>
        </is>
      </c>
      <c r="H68" s="4" t="inlineStr">
        <is>
          <t>🔗</t>
        </is>
      </c>
      <c r="I68" s="4" t="inlineStr">
        <is>
          <t>🔗</t>
        </is>
      </c>
      <c r="J68" s="4" t="inlineStr">
        <is>
          <t>🔗</t>
        </is>
      </c>
      <c r="K68" s="4" t="inlineStr">
        <is>
          <t>🔗</t>
        </is>
      </c>
      <c r="L68" s="5" t="n">
        <v>302.46</v>
      </c>
      <c r="M68" s="5" t="n">
        <v>305.77</v>
      </c>
      <c r="N68" s="6" t="n">
        <v>1506.94</v>
      </c>
      <c r="O68" s="6" t="n">
        <v>1490.33</v>
      </c>
      <c r="P68" s="6" t="n">
        <v>1847.87</v>
      </c>
      <c r="Q68" s="7" t="n"/>
      <c r="R68" s="7" t="n"/>
      <c r="S68" s="8" t="n"/>
      <c r="T68" s="8" t="n"/>
      <c r="U68" s="8" t="n"/>
      <c r="V68" s="9">
        <f>MIN(IF(Q68&lt;&gt;"",Q68*3.75,L68*3.75),IF(R68&lt;&gt;"",R68*3.75,M68*3.75),IF(S68&lt;&gt;"",S68,N68),IF(T68&lt;&gt;"",T68,O68),IF(U68&lt;&gt;"",U68,P68))</f>
        <v/>
      </c>
      <c r="W68" s="10">
        <f>INDEX({"AliExpress","eBay","Amazon.sa","Noon","Jarir"},MATCH(V68,{IF(Q68&lt;&gt;"",Q68*3.75,L68*3.75),IF(R68&lt;&gt;"",R68*3.75,M68*3.75),IF(S68&lt;&gt;"",S68,N68),IF(T68&lt;&gt;"",T68,O68),IF(U68&lt;&gt;"",U68,P68)},0))</f>
        <v/>
      </c>
      <c r="X68" s="9">
        <f>F68-V68</f>
        <v/>
      </c>
      <c r="Y68" s="11">
        <f>IF(V68=0,0,(F68-V68)/V68)</f>
        <v/>
      </c>
      <c r="Z68" s="9">
        <f>CEILING(MAX(V68*1.4,IF(IF(T68&lt;&gt;"",T68,O68)=0,V68*1.5,IF(T68&lt;&gt;"",T68,O68)*0.95)),10)-1</f>
        <v/>
      </c>
      <c r="AA68" s="12">
        <f>IF(IF(T68&lt;&gt;"",T68,O68)=0,"",TEXT((Z68-IF(T68&lt;&gt;"",T68,O68))/IF(T68&lt;&gt;"",T68,O68),"+0.0%;-0.0%"))</f>
        <v/>
      </c>
      <c r="AB68" s="10">
        <f>IF(Y68&gt;0.5,"✅ PROFITABLE — keep",IF(Y68&gt;0.2,"🟡 OK — optimize",IF(Y68&gt;0,"⚠️ THIN — raise or drop","❌ LOSING MONEY")))</f>
        <v/>
      </c>
    </row>
    <row r="69">
      <c r="A69" t="inlineStr">
        <is>
          <t>—</t>
        </is>
      </c>
      <c r="B69" t="n">
        <v>68</v>
      </c>
      <c r="C69" t="inlineStr">
        <is>
          <t>NT-UPS-APC-002</t>
        </is>
      </c>
      <c r="D69" t="inlineStr">
        <is>
          <t>APC Back-UPS Pro BX1500M (Tower)</t>
        </is>
      </c>
      <c r="E69" t="inlineStr">
        <is>
          <t>Homelab</t>
        </is>
      </c>
      <c r="F69" s="13" t="n">
        <v>1599</v>
      </c>
      <c r="G69" s="4" t="inlineStr">
        <is>
          <t>🔗</t>
        </is>
      </c>
      <c r="H69" s="4" t="inlineStr">
        <is>
          <t>🔗</t>
        </is>
      </c>
      <c r="I69" s="4" t="inlineStr">
        <is>
          <t>🔗</t>
        </is>
      </c>
      <c r="J69" s="4" t="inlineStr">
        <is>
          <t>🔗</t>
        </is>
      </c>
      <c r="K69" s="4" t="inlineStr">
        <is>
          <t>🔗</t>
        </is>
      </c>
      <c r="L69" s="5" t="n">
        <v>296.76</v>
      </c>
      <c r="M69" s="5" t="n">
        <v>293.28</v>
      </c>
      <c r="N69" s="6" t="n">
        <v>1469.19</v>
      </c>
      <c r="O69" s="6" t="n">
        <v>1569.05</v>
      </c>
      <c r="P69" s="6" t="n">
        <v>1583.32</v>
      </c>
      <c r="Q69" s="7" t="n"/>
      <c r="R69" s="7" t="n"/>
      <c r="S69" s="8" t="n"/>
      <c r="T69" s="8" t="n"/>
      <c r="U69" s="8" t="n"/>
      <c r="V69" s="9">
        <f>MIN(IF(Q69&lt;&gt;"",Q69*3.75,L69*3.75),IF(R69&lt;&gt;"",R69*3.75,M69*3.75),IF(S69&lt;&gt;"",S69,N69),IF(T69&lt;&gt;"",T69,O69),IF(U69&lt;&gt;"",U69,P69))</f>
        <v/>
      </c>
      <c r="W69" s="10">
        <f>INDEX({"AliExpress","eBay","Amazon.sa","Noon","Jarir"},MATCH(V69,{IF(Q69&lt;&gt;"",Q69*3.75,L69*3.75),IF(R69&lt;&gt;"",R69*3.75,M69*3.75),IF(S69&lt;&gt;"",S69,N69),IF(T69&lt;&gt;"",T69,O69),IF(U69&lt;&gt;"",U69,P69)},0))</f>
        <v/>
      </c>
      <c r="X69" s="9">
        <f>F69-V69</f>
        <v/>
      </c>
      <c r="Y69" s="11">
        <f>IF(V69=0,0,(F69-V69)/V69)</f>
        <v/>
      </c>
      <c r="Z69" s="9">
        <f>CEILING(MAX(V69*1.4,IF(IF(T69&lt;&gt;"",T69,O69)=0,V69*1.5,IF(T69&lt;&gt;"",T69,O69)*0.95)),10)-1</f>
        <v/>
      </c>
      <c r="AA69" s="12">
        <f>IF(IF(T69&lt;&gt;"",T69,O69)=0,"",TEXT((Z69-IF(T69&lt;&gt;"",T69,O69))/IF(T69&lt;&gt;"",T69,O69),"+0.0%;-0.0%"))</f>
        <v/>
      </c>
      <c r="AB69" s="10">
        <f>IF(Y69&gt;0.5,"✅ PROFITABLE — keep",IF(Y69&gt;0.2,"🟡 OK — optimize",IF(Y69&gt;0,"⚠️ THIN — raise or drop","❌ LOSING MONEY")))</f>
        <v/>
      </c>
    </row>
    <row r="70">
      <c r="A70" t="inlineStr">
        <is>
          <t>—</t>
        </is>
      </c>
      <c r="B70" t="n">
        <v>69</v>
      </c>
      <c r="C70" t="inlineStr">
        <is>
          <t>NG-SEC-005</t>
        </is>
      </c>
      <c r="D70" t="inlineStr">
        <is>
          <t>Reolink 16-Channel PoE NVR (RLN16-410) - 4K Network Video Recorder</t>
        </is>
      </c>
      <c r="E70" t="inlineStr">
        <is>
          <t>Security &amp;amp; Surveillance</t>
        </is>
      </c>
      <c r="F70" s="13" t="n">
        <v>1599</v>
      </c>
      <c r="G70" s="4" t="inlineStr">
        <is>
          <t>🔗</t>
        </is>
      </c>
      <c r="H70" s="4" t="inlineStr">
        <is>
          <t>🔗</t>
        </is>
      </c>
      <c r="I70" s="4" t="inlineStr">
        <is>
          <t>🔗</t>
        </is>
      </c>
      <c r="J70" s="4" t="inlineStr">
        <is>
          <t>🔗</t>
        </is>
      </c>
      <c r="K70" s="4" t="inlineStr">
        <is>
          <t>🔗</t>
        </is>
      </c>
      <c r="L70" s="5" t="n">
        <v>259.71</v>
      </c>
      <c r="M70" s="5" t="n">
        <v>283.78</v>
      </c>
      <c r="N70" s="6" t="n">
        <v>1254.79</v>
      </c>
      <c r="O70" s="6" t="n">
        <v>1430.18</v>
      </c>
      <c r="P70" s="6" t="n">
        <v>1591.8</v>
      </c>
      <c r="Q70" s="7" t="n"/>
      <c r="R70" s="7" t="n"/>
      <c r="S70" s="8" t="n"/>
      <c r="T70" s="8" t="n"/>
      <c r="U70" s="8" t="n"/>
      <c r="V70" s="9">
        <f>MIN(IF(Q70&lt;&gt;"",Q70*3.75,L70*3.75),IF(R70&lt;&gt;"",R70*3.75,M70*3.75),IF(S70&lt;&gt;"",S70,N70),IF(T70&lt;&gt;"",T70,O70),IF(U70&lt;&gt;"",U70,P70))</f>
        <v/>
      </c>
      <c r="W70" s="10">
        <f>INDEX({"AliExpress","eBay","Amazon.sa","Noon","Jarir"},MATCH(V70,{IF(Q70&lt;&gt;"",Q70*3.75,L70*3.75),IF(R70&lt;&gt;"",R70*3.75,M70*3.75),IF(S70&lt;&gt;"",S70,N70),IF(T70&lt;&gt;"",T70,O70),IF(U70&lt;&gt;"",U70,P70)},0))</f>
        <v/>
      </c>
      <c r="X70" s="9">
        <f>F70-V70</f>
        <v/>
      </c>
      <c r="Y70" s="11">
        <f>IF(V70=0,0,(F70-V70)/V70)</f>
        <v/>
      </c>
      <c r="Z70" s="9">
        <f>CEILING(MAX(V70*1.4,IF(IF(T70&lt;&gt;"",T70,O70)=0,V70*1.5,IF(T70&lt;&gt;"",T70,O70)*0.95)),10)-1</f>
        <v/>
      </c>
      <c r="AA70" s="12">
        <f>IF(IF(T70&lt;&gt;"",T70,O70)=0,"",TEXT((Z70-IF(T70&lt;&gt;"",T70,O70))/IF(T70&lt;&gt;"",T70,O70),"+0.0%;-0.0%"))</f>
        <v/>
      </c>
      <c r="AB70" s="10">
        <f>IF(Y70&gt;0.5,"✅ PROFITABLE — keep",IF(Y70&gt;0.2,"🟡 OK — optimize",IF(Y70&gt;0,"⚠️ THIN — raise or drop","❌ LOSING MONEY")))</f>
        <v/>
      </c>
    </row>
    <row r="71">
      <c r="A71" t="inlineStr">
        <is>
          <t>—</t>
        </is>
      </c>
      <c r="B71" t="n">
        <v>70</v>
      </c>
      <c r="C71" t="inlineStr">
        <is>
          <t>NT-MPC-DEL-001</t>
        </is>
      </c>
      <c r="D71" t="inlineStr">
        <is>
          <t>Dell OptiPlex 7070 Micro (Refurb)</t>
        </is>
      </c>
      <c r="E71" t="inlineStr">
        <is>
          <t>Homelab</t>
        </is>
      </c>
      <c r="F71" s="13" t="n">
        <v>1549</v>
      </c>
      <c r="G71" s="4" t="inlineStr">
        <is>
          <t>🔗</t>
        </is>
      </c>
      <c r="H71" s="4" t="inlineStr">
        <is>
          <t>🔗</t>
        </is>
      </c>
      <c r="I71" s="4" t="inlineStr">
        <is>
          <t>🔗</t>
        </is>
      </c>
      <c r="J71" s="4" t="inlineStr">
        <is>
          <t>🔗</t>
        </is>
      </c>
      <c r="K71" s="4" t="inlineStr">
        <is>
          <t>🔗</t>
        </is>
      </c>
      <c r="L71" s="5" t="n">
        <v>287.88</v>
      </c>
      <c r="M71" s="5" t="n">
        <v>336.39</v>
      </c>
      <c r="N71" s="6" t="n">
        <v>1281.72</v>
      </c>
      <c r="O71" s="6" t="n">
        <v>1581.72</v>
      </c>
      <c r="P71" s="6" t="n">
        <v>1567.47</v>
      </c>
      <c r="Q71" s="7" t="n"/>
      <c r="R71" s="7" t="n"/>
      <c r="S71" s="8" t="n"/>
      <c r="T71" s="8" t="n"/>
      <c r="U71" s="8" t="n"/>
      <c r="V71" s="9">
        <f>MIN(IF(Q71&lt;&gt;"",Q71*3.75,L71*3.75),IF(R71&lt;&gt;"",R71*3.75,M71*3.75),IF(S71&lt;&gt;"",S71,N71),IF(T71&lt;&gt;"",T71,O71),IF(U71&lt;&gt;"",U71,P71))</f>
        <v/>
      </c>
      <c r="W71" s="10">
        <f>INDEX({"AliExpress","eBay","Amazon.sa","Noon","Jarir"},MATCH(V71,{IF(Q71&lt;&gt;"",Q71*3.75,L71*3.75),IF(R71&lt;&gt;"",R71*3.75,M71*3.75),IF(S71&lt;&gt;"",S71,N71),IF(T71&lt;&gt;"",T71,O71),IF(U71&lt;&gt;"",U71,P71)},0))</f>
        <v/>
      </c>
      <c r="X71" s="9">
        <f>F71-V71</f>
        <v/>
      </c>
      <c r="Y71" s="11">
        <f>IF(V71=0,0,(F71-V71)/V71)</f>
        <v/>
      </c>
      <c r="Z71" s="9">
        <f>CEILING(MAX(V71*1.4,IF(IF(T71&lt;&gt;"",T71,O71)=0,V71*1.5,IF(T71&lt;&gt;"",T71,O71)*0.95)),10)-1</f>
        <v/>
      </c>
      <c r="AA71" s="12">
        <f>IF(IF(T71&lt;&gt;"",T71,O71)=0,"",TEXT((Z71-IF(T71&lt;&gt;"",T71,O71))/IF(T71&lt;&gt;"",T71,O71),"+0.0%;-0.0%"))</f>
        <v/>
      </c>
      <c r="AB71" s="10">
        <f>IF(Y71&gt;0.5,"✅ PROFITABLE — keep",IF(Y71&gt;0.2,"🟡 OK — optimize",IF(Y71&gt;0,"⚠️ THIN — raise or drop","❌ LOSING MONEY")))</f>
        <v/>
      </c>
    </row>
    <row r="72">
      <c r="A72" t="inlineStr">
        <is>
          <t>—</t>
        </is>
      </c>
      <c r="B72" t="n">
        <v>71</v>
      </c>
      <c r="C72" t="inlineStr">
        <is>
          <t>SH-CAM-ARLO-001</t>
        </is>
      </c>
      <c r="D72" t="inlineStr">
        <is>
          <t>Arlo Pro 5 2K Spotlight Camera</t>
        </is>
      </c>
      <c r="E72" t="inlineStr">
        <is>
          <t>Smart Home &amp;amp; IoT</t>
        </is>
      </c>
      <c r="F72" s="13" t="n">
        <v>1549</v>
      </c>
      <c r="G72" s="4" t="inlineStr">
        <is>
          <t>🔗</t>
        </is>
      </c>
      <c r="H72" s="4" t="inlineStr">
        <is>
          <t>🔗</t>
        </is>
      </c>
      <c r="I72" s="4" t="inlineStr">
        <is>
          <t>🔗</t>
        </is>
      </c>
      <c r="J72" s="4" t="inlineStr">
        <is>
          <t>🔗</t>
        </is>
      </c>
      <c r="K72" s="4" t="inlineStr">
        <is>
          <t>🔗</t>
        </is>
      </c>
      <c r="L72" s="5" t="n">
        <v>225.63</v>
      </c>
      <c r="M72" s="5" t="n">
        <v>278.13</v>
      </c>
      <c r="N72" s="6" t="n">
        <v>1448.02</v>
      </c>
      <c r="O72" s="6" t="n">
        <v>1283.87</v>
      </c>
      <c r="P72" s="6" t="n">
        <v>1768.97</v>
      </c>
      <c r="Q72" s="7" t="n"/>
      <c r="R72" s="7" t="n"/>
      <c r="S72" s="8" t="n"/>
      <c r="T72" s="8" t="n"/>
      <c r="U72" s="8" t="n"/>
      <c r="V72" s="9">
        <f>MIN(IF(Q72&lt;&gt;"",Q72*3.75,L72*3.75),IF(R72&lt;&gt;"",R72*3.75,M72*3.75),IF(S72&lt;&gt;"",S72,N72),IF(T72&lt;&gt;"",T72,O72),IF(U72&lt;&gt;"",U72,P72))</f>
        <v/>
      </c>
      <c r="W72" s="10">
        <f>INDEX({"AliExpress","eBay","Amazon.sa","Noon","Jarir"},MATCH(V72,{IF(Q72&lt;&gt;"",Q72*3.75,L72*3.75),IF(R72&lt;&gt;"",R72*3.75,M72*3.75),IF(S72&lt;&gt;"",S72,N72),IF(T72&lt;&gt;"",T72,O72),IF(U72&lt;&gt;"",U72,P72)},0))</f>
        <v/>
      </c>
      <c r="X72" s="9">
        <f>F72-V72</f>
        <v/>
      </c>
      <c r="Y72" s="11">
        <f>IF(V72=0,0,(F72-V72)/V72)</f>
        <v/>
      </c>
      <c r="Z72" s="9">
        <f>CEILING(MAX(V72*1.4,IF(IF(T72&lt;&gt;"",T72,O72)=0,V72*1.5,IF(T72&lt;&gt;"",T72,O72)*0.95)),10)-1</f>
        <v/>
      </c>
      <c r="AA72" s="12">
        <f>IF(IF(T72&lt;&gt;"",T72,O72)=0,"",TEXT((Z72-IF(T72&lt;&gt;"",T72,O72))/IF(T72&lt;&gt;"",T72,O72),"+0.0%;-0.0%"))</f>
        <v/>
      </c>
      <c r="AB72" s="10">
        <f>IF(Y72&gt;0.5,"✅ PROFITABLE — keep",IF(Y72&gt;0.2,"🟡 OK — optimize",IF(Y72&gt;0,"⚠️ THIN — raise or drop","❌ LOSING MONEY")))</f>
        <v/>
      </c>
    </row>
    <row r="73">
      <c r="A73" t="inlineStr">
        <is>
          <t>—</t>
        </is>
      </c>
      <c r="B73" t="n">
        <v>72</v>
      </c>
      <c r="C73" t="inlineStr">
        <is>
          <t>SH-THR-ECOB-001</t>
        </is>
      </c>
      <c r="D73" t="inlineStr">
        <is>
          <t>Ecobee Smart Thermostat Premium</t>
        </is>
      </c>
      <c r="E73" t="inlineStr">
        <is>
          <t>Smart Home &amp;amp; IoT</t>
        </is>
      </c>
      <c r="F73" s="13" t="n">
        <v>1549</v>
      </c>
      <c r="G73" s="4" t="inlineStr">
        <is>
          <t>🔗</t>
        </is>
      </c>
      <c r="H73" s="4" t="inlineStr">
        <is>
          <t>🔗</t>
        </is>
      </c>
      <c r="I73" s="4" t="inlineStr">
        <is>
          <t>🔗</t>
        </is>
      </c>
      <c r="J73" s="4" t="inlineStr">
        <is>
          <t>🔗</t>
        </is>
      </c>
      <c r="K73" s="4" t="inlineStr">
        <is>
          <t>🔗</t>
        </is>
      </c>
      <c r="L73" s="5" t="n">
        <v>159.33</v>
      </c>
      <c r="M73" s="5" t="n">
        <v>318.63</v>
      </c>
      <c r="N73" s="6" t="n">
        <v>1187.1</v>
      </c>
      <c r="O73" s="6" t="n">
        <v>1281.18</v>
      </c>
      <c r="P73" s="6" t="n">
        <v>1544.87</v>
      </c>
      <c r="Q73" s="7" t="n"/>
      <c r="R73" s="7" t="n"/>
      <c r="S73" s="8" t="n"/>
      <c r="T73" s="8" t="n"/>
      <c r="U73" s="8" t="n"/>
      <c r="V73" s="9">
        <f>MIN(IF(Q73&lt;&gt;"",Q73*3.75,L73*3.75),IF(R73&lt;&gt;"",R73*3.75,M73*3.75),IF(S73&lt;&gt;"",S73,N73),IF(T73&lt;&gt;"",T73,O73),IF(U73&lt;&gt;"",U73,P73))</f>
        <v/>
      </c>
      <c r="W73" s="10">
        <f>INDEX({"AliExpress","eBay","Amazon.sa","Noon","Jarir"},MATCH(V73,{IF(Q73&lt;&gt;"",Q73*3.75,L73*3.75),IF(R73&lt;&gt;"",R73*3.75,M73*3.75),IF(S73&lt;&gt;"",S73,N73),IF(T73&lt;&gt;"",T73,O73),IF(U73&lt;&gt;"",U73,P73)},0))</f>
        <v/>
      </c>
      <c r="X73" s="9">
        <f>F73-V73</f>
        <v/>
      </c>
      <c r="Y73" s="11">
        <f>IF(V73=0,0,(F73-V73)/V73)</f>
        <v/>
      </c>
      <c r="Z73" s="9">
        <f>CEILING(MAX(V73*1.4,IF(IF(T73&lt;&gt;"",T73,O73)=0,V73*1.5,IF(T73&lt;&gt;"",T73,O73)*0.95)),10)-1</f>
        <v/>
      </c>
      <c r="AA73" s="12">
        <f>IF(IF(T73&lt;&gt;"",T73,O73)=0,"",TEXT((Z73-IF(T73&lt;&gt;"",T73,O73))/IF(T73&lt;&gt;"",T73,O73),"+0.0%;-0.0%"))</f>
        <v/>
      </c>
      <c r="AB73" s="10">
        <f>IF(Y73&gt;0.5,"✅ PROFITABLE — keep",IF(Y73&gt;0.2,"🟡 OK — optimize",IF(Y73&gt;0,"⚠️ THIN — raise or drop","❌ LOSING MONEY")))</f>
        <v/>
      </c>
    </row>
    <row r="74">
      <c r="A74" t="inlineStr">
        <is>
          <t>—</t>
        </is>
      </c>
      <c r="B74" t="n">
        <v>73</v>
      </c>
      <c r="C74" t="inlineStr">
        <is>
          <t>SH-LCK-YALE-001</t>
        </is>
      </c>
      <c r="D74" t="inlineStr">
        <is>
          <t>Yale Assure Lock 2 Wi-Fi</t>
        </is>
      </c>
      <c r="E74" t="inlineStr">
        <is>
          <t>Smart Home &amp;amp; IoT</t>
        </is>
      </c>
      <c r="F74" s="13" t="n">
        <v>1549</v>
      </c>
      <c r="G74" s="4" t="inlineStr">
        <is>
          <t>🔗</t>
        </is>
      </c>
      <c r="H74" s="4" t="inlineStr">
        <is>
          <t>🔗</t>
        </is>
      </c>
      <c r="I74" s="4" t="inlineStr">
        <is>
          <t>🔗</t>
        </is>
      </c>
      <c r="J74" s="4" t="inlineStr">
        <is>
          <t>🔗</t>
        </is>
      </c>
      <c r="K74" s="4" t="inlineStr">
        <is>
          <t>🔗</t>
        </is>
      </c>
      <c r="L74" s="5" t="n">
        <v>204.76</v>
      </c>
      <c r="M74" s="5" t="n">
        <v>256.99</v>
      </c>
      <c r="N74" s="6" t="n">
        <v>1319.05</v>
      </c>
      <c r="O74" s="6" t="n">
        <v>1437.25</v>
      </c>
      <c r="P74" s="6" t="n">
        <v>1524.22</v>
      </c>
      <c r="Q74" s="7" t="n"/>
      <c r="R74" s="7" t="n"/>
      <c r="S74" s="8" t="n"/>
      <c r="T74" s="8" t="n"/>
      <c r="U74" s="8" t="n"/>
      <c r="V74" s="9">
        <f>MIN(IF(Q74&lt;&gt;"",Q74*3.75,L74*3.75),IF(R74&lt;&gt;"",R74*3.75,M74*3.75),IF(S74&lt;&gt;"",S74,N74),IF(T74&lt;&gt;"",T74,O74),IF(U74&lt;&gt;"",U74,P74))</f>
        <v/>
      </c>
      <c r="W74" s="10">
        <f>INDEX({"AliExpress","eBay","Amazon.sa","Noon","Jarir"},MATCH(V74,{IF(Q74&lt;&gt;"",Q74*3.75,L74*3.75),IF(R74&lt;&gt;"",R74*3.75,M74*3.75),IF(S74&lt;&gt;"",S74,N74),IF(T74&lt;&gt;"",T74,O74),IF(U74&lt;&gt;"",U74,P74)},0))</f>
        <v/>
      </c>
      <c r="X74" s="9">
        <f>F74-V74</f>
        <v/>
      </c>
      <c r="Y74" s="11">
        <f>IF(V74=0,0,(F74-V74)/V74)</f>
        <v/>
      </c>
      <c r="Z74" s="9">
        <f>CEILING(MAX(V74*1.4,IF(IF(T74&lt;&gt;"",T74,O74)=0,V74*1.5,IF(T74&lt;&gt;"",T74,O74)*0.95)),10)-1</f>
        <v/>
      </c>
      <c r="AA74" s="12">
        <f>IF(IF(T74&lt;&gt;"",T74,O74)=0,"",TEXT((Z74-IF(T74&lt;&gt;"",T74,O74))/IF(T74&lt;&gt;"",T74,O74),"+0.0%;-0.0%"))</f>
        <v/>
      </c>
      <c r="AB74" s="10">
        <f>IF(Y74&gt;0.5,"✅ PROFITABLE — keep",IF(Y74&gt;0.2,"🟡 OK — optimize",IF(Y74&gt;0,"⚠️ THIN — raise or drop","❌ LOSING MONEY")))</f>
        <v/>
      </c>
    </row>
    <row r="75">
      <c r="A75" t="inlineStr">
        <is>
          <t>—</t>
        </is>
      </c>
      <c r="B75" t="n">
        <v>74</v>
      </c>
      <c r="C75" t="inlineStr">
        <is>
          <t>NG-SEC-007</t>
        </is>
      </c>
      <c r="D75" t="inlineStr">
        <is>
          <t>Eufy Video Doorbell S330 - Dual Camera Smart Doorbell (2K + Package Cam)</t>
        </is>
      </c>
      <c r="E75" t="inlineStr">
        <is>
          <t>Security &amp;amp; Surveillance</t>
        </is>
      </c>
      <c r="F75" s="13" t="n">
        <v>1449</v>
      </c>
      <c r="G75" s="4" t="inlineStr">
        <is>
          <t>🔗</t>
        </is>
      </c>
      <c r="H75" s="4" t="inlineStr">
        <is>
          <t>🔗</t>
        </is>
      </c>
      <c r="I75" s="4" t="inlineStr">
        <is>
          <t>🔗</t>
        </is>
      </c>
      <c r="J75" s="4" t="inlineStr">
        <is>
          <t>🔗</t>
        </is>
      </c>
      <c r="K75" s="4" t="inlineStr">
        <is>
          <t>🔗</t>
        </is>
      </c>
      <c r="L75" s="5" t="n">
        <v>218.44</v>
      </c>
      <c r="M75" s="5" t="n">
        <v>259.25</v>
      </c>
      <c r="N75" s="6" t="n">
        <v>1335.63</v>
      </c>
      <c r="O75" s="6" t="n">
        <v>1232.21</v>
      </c>
      <c r="P75" s="6" t="n">
        <v>1641.55</v>
      </c>
      <c r="Q75" s="7" t="n"/>
      <c r="R75" s="7" t="n"/>
      <c r="S75" s="8" t="n"/>
      <c r="T75" s="8" t="n"/>
      <c r="U75" s="8" t="n"/>
      <c r="V75" s="9">
        <f>MIN(IF(Q75&lt;&gt;"",Q75*3.75,L75*3.75),IF(R75&lt;&gt;"",R75*3.75,M75*3.75),IF(S75&lt;&gt;"",S75,N75),IF(T75&lt;&gt;"",T75,O75),IF(U75&lt;&gt;"",U75,P75))</f>
        <v/>
      </c>
      <c r="W75" s="10">
        <f>INDEX({"AliExpress","eBay","Amazon.sa","Noon","Jarir"},MATCH(V75,{IF(Q75&lt;&gt;"",Q75*3.75,L75*3.75),IF(R75&lt;&gt;"",R75*3.75,M75*3.75),IF(S75&lt;&gt;"",S75,N75),IF(T75&lt;&gt;"",T75,O75),IF(U75&lt;&gt;"",U75,P75)},0))</f>
        <v/>
      </c>
      <c r="X75" s="9">
        <f>F75-V75</f>
        <v/>
      </c>
      <c r="Y75" s="11">
        <f>IF(V75=0,0,(F75-V75)/V75)</f>
        <v/>
      </c>
      <c r="Z75" s="9">
        <f>CEILING(MAX(V75*1.4,IF(IF(T75&lt;&gt;"",T75,O75)=0,V75*1.5,IF(T75&lt;&gt;"",T75,O75)*0.95)),10)-1</f>
        <v/>
      </c>
      <c r="AA75" s="12">
        <f>IF(IF(T75&lt;&gt;"",T75,O75)=0,"",TEXT((Z75-IF(T75&lt;&gt;"",T75,O75))/IF(T75&lt;&gt;"",T75,O75),"+0.0%;-0.0%"))</f>
        <v/>
      </c>
      <c r="AB75" s="10">
        <f>IF(Y75&gt;0.5,"✅ PROFITABLE — keep",IF(Y75&gt;0.2,"🟡 OK — optimize",IF(Y75&gt;0,"⚠️ THIN — raise or drop","❌ LOSING MONEY")))</f>
        <v/>
      </c>
    </row>
    <row r="76">
      <c r="A76" t="inlineStr">
        <is>
          <t>—</t>
        </is>
      </c>
      <c r="B76" t="n">
        <v>75</v>
      </c>
      <c r="C76" t="inlineStr">
        <is>
          <t>NG-ACC-010</t>
        </is>
      </c>
      <c r="D76" t="inlineStr">
        <is>
          <t>WD Red Plus 8TB NAS Hard Drive - Built for Always-On NAS Systems</t>
        </is>
      </c>
      <c r="E76" t="inlineStr">
        <is>
          <t>Hardware</t>
        </is>
      </c>
      <c r="F76" s="13" t="n">
        <v>1449</v>
      </c>
      <c r="G76" s="4" t="inlineStr">
        <is>
          <t>🔗</t>
        </is>
      </c>
      <c r="H76" s="4" t="inlineStr">
        <is>
          <t>🔗</t>
        </is>
      </c>
      <c r="I76" s="4" t="inlineStr">
        <is>
          <t>🔗</t>
        </is>
      </c>
      <c r="J76" s="4" t="inlineStr">
        <is>
          <t>🔗</t>
        </is>
      </c>
      <c r="K76" s="4" t="inlineStr">
        <is>
          <t>🔗</t>
        </is>
      </c>
      <c r="L76" s="5" t="n">
        <v>343.9</v>
      </c>
      <c r="M76" s="5" t="n">
        <v>370.14</v>
      </c>
      <c r="N76" s="6" t="n">
        <v>1457.88</v>
      </c>
      <c r="O76" s="6" t="n">
        <v>1488.56</v>
      </c>
      <c r="P76" s="6" t="n">
        <v>1466.27</v>
      </c>
      <c r="Q76" s="7" t="n"/>
      <c r="R76" s="7" t="n"/>
      <c r="S76" s="8" t="n"/>
      <c r="T76" s="8" t="n"/>
      <c r="U76" s="8" t="n"/>
      <c r="V76" s="9">
        <f>MIN(IF(Q76&lt;&gt;"",Q76*3.75,L76*3.75),IF(R76&lt;&gt;"",R76*3.75,M76*3.75),IF(S76&lt;&gt;"",S76,N76),IF(T76&lt;&gt;"",T76,O76),IF(U76&lt;&gt;"",U76,P76))</f>
        <v/>
      </c>
      <c r="W76" s="10">
        <f>INDEX({"AliExpress","eBay","Amazon.sa","Noon","Jarir"},MATCH(V76,{IF(Q76&lt;&gt;"",Q76*3.75,L76*3.75),IF(R76&lt;&gt;"",R76*3.75,M76*3.75),IF(S76&lt;&gt;"",S76,N76),IF(T76&lt;&gt;"",T76,O76),IF(U76&lt;&gt;"",U76,P76)},0))</f>
        <v/>
      </c>
      <c r="X76" s="9">
        <f>F76-V76</f>
        <v/>
      </c>
      <c r="Y76" s="11">
        <f>IF(V76=0,0,(F76-V76)/V76)</f>
        <v/>
      </c>
      <c r="Z76" s="9">
        <f>CEILING(MAX(V76*1.4,IF(IF(T76&lt;&gt;"",T76,O76)=0,V76*1.5,IF(T76&lt;&gt;"",T76,O76)*0.95)),10)-1</f>
        <v/>
      </c>
      <c r="AA76" s="12">
        <f>IF(IF(T76&lt;&gt;"",T76,O76)=0,"",TEXT((Z76-IF(T76&lt;&gt;"",T76,O76))/IF(T76&lt;&gt;"",T76,O76),"+0.0%;-0.0%"))</f>
        <v/>
      </c>
      <c r="AB76" s="10">
        <f>IF(Y76&gt;0.5,"✅ PROFITABLE — keep",IF(Y76&gt;0.2,"🟡 OK — optimize",IF(Y76&gt;0,"⚠️ THIN — raise or drop","❌ LOSING MONEY")))</f>
        <v/>
      </c>
    </row>
    <row r="77">
      <c r="A77" t="inlineStr">
        <is>
          <t>—</t>
        </is>
      </c>
      <c r="B77" t="n">
        <v>76</v>
      </c>
      <c r="C77" t="inlineStr">
        <is>
          <t>NG-MKR-003</t>
        </is>
      </c>
      <c r="D77" t="inlineStr">
        <is>
          <t>Keychron Q1 - Premium Full Aluminum Custom Mechanical Keyboard</t>
        </is>
      </c>
      <c r="E77" t="inlineStr">
        <is>
          <t>Enthusiasts &amp;amp; Gamers</t>
        </is>
      </c>
      <c r="F77" s="13" t="n">
        <v>1449</v>
      </c>
      <c r="G77" s="4" t="inlineStr">
        <is>
          <t>🔗</t>
        </is>
      </c>
      <c r="H77" s="4" t="inlineStr">
        <is>
          <t>🔗</t>
        </is>
      </c>
      <c r="I77" s="4" t="inlineStr">
        <is>
          <t>🔗</t>
        </is>
      </c>
      <c r="J77" s="4" t="inlineStr">
        <is>
          <t>🔗</t>
        </is>
      </c>
      <c r="K77" s="4" t="inlineStr">
        <is>
          <t>🔗</t>
        </is>
      </c>
      <c r="L77" s="5" t="n">
        <v>198.61</v>
      </c>
      <c r="M77" s="5" t="n">
        <v>290.9</v>
      </c>
      <c r="N77" s="6" t="n">
        <v>1225.91</v>
      </c>
      <c r="O77" s="6" t="n">
        <v>1366.09</v>
      </c>
      <c r="P77" s="6" t="n">
        <v>1622.3</v>
      </c>
      <c r="Q77" s="7" t="n"/>
      <c r="R77" s="7" t="n"/>
      <c r="S77" s="8" t="n"/>
      <c r="T77" s="8" t="n"/>
      <c r="U77" s="8" t="n"/>
      <c r="V77" s="9">
        <f>MIN(IF(Q77&lt;&gt;"",Q77*3.75,L77*3.75),IF(R77&lt;&gt;"",R77*3.75,M77*3.75),IF(S77&lt;&gt;"",S77,N77),IF(T77&lt;&gt;"",T77,O77),IF(U77&lt;&gt;"",U77,P77))</f>
        <v/>
      </c>
      <c r="W77" s="10">
        <f>INDEX({"AliExpress","eBay","Amazon.sa","Noon","Jarir"},MATCH(V77,{IF(Q77&lt;&gt;"",Q77*3.75,L77*3.75),IF(R77&lt;&gt;"",R77*3.75,M77*3.75),IF(S77&lt;&gt;"",S77,N77),IF(T77&lt;&gt;"",T77,O77),IF(U77&lt;&gt;"",U77,P77)},0))</f>
        <v/>
      </c>
      <c r="X77" s="9">
        <f>F77-V77</f>
        <v/>
      </c>
      <c r="Y77" s="11">
        <f>IF(V77=0,0,(F77-V77)/V77)</f>
        <v/>
      </c>
      <c r="Z77" s="9">
        <f>CEILING(MAX(V77*1.4,IF(IF(T77&lt;&gt;"",T77,O77)=0,V77*1.5,IF(T77&lt;&gt;"",T77,O77)*0.95)),10)-1</f>
        <v/>
      </c>
      <c r="AA77" s="12">
        <f>IF(IF(T77&lt;&gt;"",T77,O77)=0,"",TEXT((Z77-IF(T77&lt;&gt;"",T77,O77))/IF(T77&lt;&gt;"",T77,O77),"+0.0%;-0.0%"))</f>
        <v/>
      </c>
      <c r="AB77" s="10">
        <f>IF(Y77&gt;0.5,"✅ PROFITABLE — keep",IF(Y77&gt;0.2,"🟡 OK — optimize",IF(Y77&gt;0,"⚠️ THIN — raise or drop","❌ LOSING MONEY")))</f>
        <v/>
      </c>
    </row>
    <row r="78">
      <c r="A78" t="inlineStr">
        <is>
          <t>—</t>
        </is>
      </c>
      <c r="B78" t="n">
        <v>77</v>
      </c>
      <c r="C78" t="inlineStr">
        <is>
          <t>NT-SRV-STC-001</t>
        </is>
      </c>
      <c r="D78" t="inlineStr">
        <is>
          <t>StarTech RK12WALLOA 12U Wall-Mount Rack</t>
        </is>
      </c>
      <c r="E78" t="inlineStr">
        <is>
          <t>Homelab</t>
        </is>
      </c>
      <c r="F78" s="13" t="n">
        <v>1399</v>
      </c>
      <c r="G78" s="4" t="inlineStr">
        <is>
          <t>🔗</t>
        </is>
      </c>
      <c r="H78" s="4" t="inlineStr">
        <is>
          <t>🔗</t>
        </is>
      </c>
      <c r="I78" s="4" t="inlineStr">
        <is>
          <t>🔗</t>
        </is>
      </c>
      <c r="J78" s="4" t="inlineStr">
        <is>
          <t>🔗</t>
        </is>
      </c>
      <c r="K78" s="4" t="inlineStr">
        <is>
          <t>🔗</t>
        </is>
      </c>
      <c r="L78" s="5" t="n">
        <v>250.83</v>
      </c>
      <c r="M78" s="5" t="n">
        <v>261.54</v>
      </c>
      <c r="N78" s="6" t="n">
        <v>1164.78</v>
      </c>
      <c r="O78" s="6" t="n">
        <v>1356.82</v>
      </c>
      <c r="P78" s="6" t="n">
        <v>1416.56</v>
      </c>
      <c r="Q78" s="7" t="n"/>
      <c r="R78" s="7" t="n"/>
      <c r="S78" s="8" t="n"/>
      <c r="T78" s="8" t="n"/>
      <c r="U78" s="8" t="n"/>
      <c r="V78" s="9">
        <f>MIN(IF(Q78&lt;&gt;"",Q78*3.75,L78*3.75),IF(R78&lt;&gt;"",R78*3.75,M78*3.75),IF(S78&lt;&gt;"",S78,N78),IF(T78&lt;&gt;"",T78,O78),IF(U78&lt;&gt;"",U78,P78))</f>
        <v/>
      </c>
      <c r="W78" s="10">
        <f>INDEX({"AliExpress","eBay","Amazon.sa","Noon","Jarir"},MATCH(V78,{IF(Q78&lt;&gt;"",Q78*3.75,L78*3.75),IF(R78&lt;&gt;"",R78*3.75,M78*3.75),IF(S78&lt;&gt;"",S78,N78),IF(T78&lt;&gt;"",T78,O78),IF(U78&lt;&gt;"",U78,P78)},0))</f>
        <v/>
      </c>
      <c r="X78" s="9">
        <f>F78-V78</f>
        <v/>
      </c>
      <c r="Y78" s="11">
        <f>IF(V78=0,0,(F78-V78)/V78)</f>
        <v/>
      </c>
      <c r="Z78" s="9">
        <f>CEILING(MAX(V78*1.4,IF(IF(T78&lt;&gt;"",T78,O78)=0,V78*1.5,IF(T78&lt;&gt;"",T78,O78)*0.95)),10)-1</f>
        <v/>
      </c>
      <c r="AA78" s="12">
        <f>IF(IF(T78&lt;&gt;"",T78,O78)=0,"",TEXT((Z78-IF(T78&lt;&gt;"",T78,O78))/IF(T78&lt;&gt;"",T78,O78),"+0.0%;-0.0%"))</f>
        <v/>
      </c>
      <c r="AB78" s="10">
        <f>IF(Y78&gt;0.5,"✅ PROFITABLE — keep",IF(Y78&gt;0.2,"🟡 OK — optimize",IF(Y78&gt;0,"⚠️ THIN — raise or drop","❌ LOSING MONEY")))</f>
        <v/>
      </c>
    </row>
    <row r="79">
      <c r="A79" t="inlineStr">
        <is>
          <t>—</t>
        </is>
      </c>
      <c r="B79" t="n">
        <v>78</v>
      </c>
      <c r="C79" t="inlineStr">
        <is>
          <t>NT-WAP-UBQ-002</t>
        </is>
      </c>
      <c r="D79" t="inlineStr">
        <is>
          <t>Ubiquiti UniFi U7 Pro</t>
        </is>
      </c>
      <c r="E79" t="inlineStr">
        <is>
          <t>Networking</t>
        </is>
      </c>
      <c r="F79" s="13" t="n">
        <v>1399</v>
      </c>
      <c r="G79" s="4" t="inlineStr">
        <is>
          <t>🔗</t>
        </is>
      </c>
      <c r="H79" s="4" t="inlineStr">
        <is>
          <t>🔗</t>
        </is>
      </c>
      <c r="I79" s="4" t="inlineStr">
        <is>
          <t>🔗</t>
        </is>
      </c>
      <c r="J79" s="4" t="inlineStr">
        <is>
          <t>🔗</t>
        </is>
      </c>
      <c r="K79" s="4" t="inlineStr">
        <is>
          <t>🔗</t>
        </is>
      </c>
      <c r="L79" s="5" t="n">
        <v>243.69</v>
      </c>
      <c r="M79" s="5" t="n">
        <v>287.87</v>
      </c>
      <c r="N79" s="6" t="n">
        <v>1289.14</v>
      </c>
      <c r="O79" s="6" t="n">
        <v>1523.88</v>
      </c>
      <c r="P79" s="6" t="n">
        <v>1518.56</v>
      </c>
      <c r="Q79" s="7" t="n"/>
      <c r="R79" s="7" t="n"/>
      <c r="S79" s="8" t="n"/>
      <c r="T79" s="8" t="n"/>
      <c r="U79" s="8" t="n"/>
      <c r="V79" s="9">
        <f>MIN(IF(Q79&lt;&gt;"",Q79*3.75,L79*3.75),IF(R79&lt;&gt;"",R79*3.75,M79*3.75),IF(S79&lt;&gt;"",S79,N79),IF(T79&lt;&gt;"",T79,O79),IF(U79&lt;&gt;"",U79,P79))</f>
        <v/>
      </c>
      <c r="W79" s="10">
        <f>INDEX({"AliExpress","eBay","Amazon.sa","Noon","Jarir"},MATCH(V79,{IF(Q79&lt;&gt;"",Q79*3.75,L79*3.75),IF(R79&lt;&gt;"",R79*3.75,M79*3.75),IF(S79&lt;&gt;"",S79,N79),IF(T79&lt;&gt;"",T79,O79),IF(U79&lt;&gt;"",U79,P79)},0))</f>
        <v/>
      </c>
      <c r="X79" s="9">
        <f>F79-V79</f>
        <v/>
      </c>
      <c r="Y79" s="11">
        <f>IF(V79=0,0,(F79-V79)/V79)</f>
        <v/>
      </c>
      <c r="Z79" s="9">
        <f>CEILING(MAX(V79*1.4,IF(IF(T79&lt;&gt;"",T79,O79)=0,V79*1.5,IF(T79&lt;&gt;"",T79,O79)*0.95)),10)-1</f>
        <v/>
      </c>
      <c r="AA79" s="12">
        <f>IF(IF(T79&lt;&gt;"",T79,O79)=0,"",TEXT((Z79-IF(T79&lt;&gt;"",T79,O79))/IF(T79&lt;&gt;"",T79,O79),"+0.0%;-0.0%"))</f>
        <v/>
      </c>
      <c r="AB79" s="10">
        <f>IF(Y79&gt;0.5,"✅ PROFITABLE — keep",IF(Y79&gt;0.2,"🟡 OK — optimize",IF(Y79&gt;0,"⚠️ THIN — raise or drop","❌ LOSING MONEY")))</f>
        <v/>
      </c>
    </row>
    <row r="80">
      <c r="A80" t="inlineStr">
        <is>
          <t>—</t>
        </is>
      </c>
      <c r="B80" t="n">
        <v>79</v>
      </c>
      <c r="C80" t="inlineStr">
        <is>
          <t>NG-NET-003</t>
        </is>
      </c>
      <c r="D80" t="inlineStr">
        <is>
          <t>Ubiquiti UniFi Switch Lite 16 PoE - 16-Port Managed Gigabit PoE+ Switch</t>
        </is>
      </c>
      <c r="E80" t="inlineStr">
        <is>
          <t>Networking</t>
        </is>
      </c>
      <c r="F80" s="13" t="n">
        <v>1399</v>
      </c>
      <c r="G80" s="4" t="inlineStr">
        <is>
          <t>🔗</t>
        </is>
      </c>
      <c r="H80" s="4" t="inlineStr">
        <is>
          <t>🔗</t>
        </is>
      </c>
      <c r="I80" s="4" t="inlineStr">
        <is>
          <t>🔗</t>
        </is>
      </c>
      <c r="J80" s="4" t="inlineStr">
        <is>
          <t>🔗</t>
        </is>
      </c>
      <c r="K80" s="4" t="inlineStr">
        <is>
          <t>🔗</t>
        </is>
      </c>
      <c r="L80" s="5" t="n">
        <v>284.46</v>
      </c>
      <c r="M80" s="5" t="n">
        <v>318.84</v>
      </c>
      <c r="N80" s="6" t="n">
        <v>1260.72</v>
      </c>
      <c r="O80" s="6" t="n">
        <v>1425.06</v>
      </c>
      <c r="P80" s="6" t="n">
        <v>1329.16</v>
      </c>
      <c r="Q80" s="7" t="n"/>
      <c r="R80" s="7" t="n"/>
      <c r="S80" s="8" t="n"/>
      <c r="T80" s="8" t="n"/>
      <c r="U80" s="8" t="n"/>
      <c r="V80" s="9">
        <f>MIN(IF(Q80&lt;&gt;"",Q80*3.75,L80*3.75),IF(R80&lt;&gt;"",R80*3.75,M80*3.75),IF(S80&lt;&gt;"",S80,N80),IF(T80&lt;&gt;"",T80,O80),IF(U80&lt;&gt;"",U80,P80))</f>
        <v/>
      </c>
      <c r="W80" s="10">
        <f>INDEX({"AliExpress","eBay","Amazon.sa","Noon","Jarir"},MATCH(V80,{IF(Q80&lt;&gt;"",Q80*3.75,L80*3.75),IF(R80&lt;&gt;"",R80*3.75,M80*3.75),IF(S80&lt;&gt;"",S80,N80),IF(T80&lt;&gt;"",T80,O80),IF(U80&lt;&gt;"",U80,P80)},0))</f>
        <v/>
      </c>
      <c r="X80" s="9">
        <f>F80-V80</f>
        <v/>
      </c>
      <c r="Y80" s="11">
        <f>IF(V80=0,0,(F80-V80)/V80)</f>
        <v/>
      </c>
      <c r="Z80" s="9">
        <f>CEILING(MAX(V80*1.4,IF(IF(T80&lt;&gt;"",T80,O80)=0,V80*1.5,IF(T80&lt;&gt;"",T80,O80)*0.95)),10)-1</f>
        <v/>
      </c>
      <c r="AA80" s="12">
        <f>IF(IF(T80&lt;&gt;"",T80,O80)=0,"",TEXT((Z80-IF(T80&lt;&gt;"",T80,O80))/IF(T80&lt;&gt;"",T80,O80),"+0.0%;-0.0%"))</f>
        <v/>
      </c>
      <c r="AB80" s="10">
        <f>IF(Y80&gt;0.5,"✅ PROFITABLE — keep",IF(Y80&gt;0.2,"🟡 OK — optimize",IF(Y80&gt;0,"⚠️ THIN — raise or drop","❌ LOSING MONEY")))</f>
        <v/>
      </c>
    </row>
    <row r="81">
      <c r="A81" t="inlineStr">
        <is>
          <t>—</t>
        </is>
      </c>
      <c r="B81" t="n">
        <v>80</v>
      </c>
      <c r="C81" t="inlineStr">
        <is>
          <t>GM-CMP-NZX-001</t>
        </is>
      </c>
      <c r="D81" t="inlineStr">
        <is>
          <t>NZXT H9 Elite Mid-Tower ATX Case</t>
        </is>
      </c>
      <c r="E81" t="inlineStr">
        <is>
          <t>Hardware</t>
        </is>
      </c>
      <c r="F81" s="13" t="n">
        <v>1349</v>
      </c>
      <c r="G81" s="4" t="inlineStr">
        <is>
          <t>🔗</t>
        </is>
      </c>
      <c r="H81" s="4" t="inlineStr">
        <is>
          <t>🔗</t>
        </is>
      </c>
      <c r="I81" s="4" t="inlineStr">
        <is>
          <t>🔗</t>
        </is>
      </c>
      <c r="J81" s="4" t="inlineStr">
        <is>
          <t>🔗</t>
        </is>
      </c>
      <c r="K81" s="4" t="inlineStr">
        <is>
          <t>🔗</t>
        </is>
      </c>
      <c r="L81" s="5" t="n">
        <v>308.4</v>
      </c>
      <c r="M81" s="5" t="n">
        <v>328.97</v>
      </c>
      <c r="N81" s="6" t="n">
        <v>1320.13</v>
      </c>
      <c r="O81" s="6" t="n">
        <v>1382.39</v>
      </c>
      <c r="P81" s="6" t="n">
        <v>1388.19</v>
      </c>
      <c r="Q81" s="7" t="n"/>
      <c r="R81" s="7" t="n"/>
      <c r="S81" s="8" t="n"/>
      <c r="T81" s="8" t="n"/>
      <c r="U81" s="8" t="n"/>
      <c r="V81" s="9">
        <f>MIN(IF(Q81&lt;&gt;"",Q81*3.75,L81*3.75),IF(R81&lt;&gt;"",R81*3.75,M81*3.75),IF(S81&lt;&gt;"",S81,N81),IF(T81&lt;&gt;"",T81,O81),IF(U81&lt;&gt;"",U81,P81))</f>
        <v/>
      </c>
      <c r="W81" s="10">
        <f>INDEX({"AliExpress","eBay","Amazon.sa","Noon","Jarir"},MATCH(V81,{IF(Q81&lt;&gt;"",Q81*3.75,L81*3.75),IF(R81&lt;&gt;"",R81*3.75,M81*3.75),IF(S81&lt;&gt;"",S81,N81),IF(T81&lt;&gt;"",T81,O81),IF(U81&lt;&gt;"",U81,P81)},0))</f>
        <v/>
      </c>
      <c r="X81" s="9">
        <f>F81-V81</f>
        <v/>
      </c>
      <c r="Y81" s="11">
        <f>IF(V81=0,0,(F81-V81)/V81)</f>
        <v/>
      </c>
      <c r="Z81" s="9">
        <f>CEILING(MAX(V81*1.4,IF(IF(T81&lt;&gt;"",T81,O81)=0,V81*1.5,IF(T81&lt;&gt;"",T81,O81)*0.95)),10)-1</f>
        <v/>
      </c>
      <c r="AA81" s="12">
        <f>IF(IF(T81&lt;&gt;"",T81,O81)=0,"",TEXT((Z81-IF(T81&lt;&gt;"",T81,O81))/IF(T81&lt;&gt;"",T81,O81),"+0.0%;-0.0%"))</f>
        <v/>
      </c>
      <c r="AB81" s="10">
        <f>IF(Y81&gt;0.5,"✅ PROFITABLE — keep",IF(Y81&gt;0.2,"🟡 OK — optimize",IF(Y81&gt;0,"⚠️ THIN — raise or drop","❌ LOSING MONEY")))</f>
        <v/>
      </c>
    </row>
    <row r="82">
      <c r="A82" t="inlineStr">
        <is>
          <t>—</t>
        </is>
      </c>
      <c r="B82" t="n">
        <v>81</v>
      </c>
      <c r="C82" t="inlineStr">
        <is>
          <t>GM-CTR-SON-001</t>
        </is>
      </c>
      <c r="D82" t="inlineStr">
        <is>
          <t>Sony DualSense Edge Controller</t>
        </is>
      </c>
      <c r="E82" t="inlineStr">
        <is>
          <t>Gaming</t>
        </is>
      </c>
      <c r="F82" s="13" t="n">
        <v>1349</v>
      </c>
      <c r="G82" s="4" t="inlineStr">
        <is>
          <t>🔗</t>
        </is>
      </c>
      <c r="H82" s="4" t="inlineStr">
        <is>
          <t>🔗</t>
        </is>
      </c>
      <c r="I82" s="4" t="inlineStr">
        <is>
          <t>🔗</t>
        </is>
      </c>
      <c r="J82" s="4" t="inlineStr">
        <is>
          <t>🔗</t>
        </is>
      </c>
      <c r="K82" s="4" t="inlineStr">
        <is>
          <t>🔗</t>
        </is>
      </c>
      <c r="L82" s="5" t="n">
        <v>275.67</v>
      </c>
      <c r="M82" s="5" t="n">
        <v>299.32</v>
      </c>
      <c r="N82" s="6" t="n">
        <v>1255.17</v>
      </c>
      <c r="O82" s="6" t="n">
        <v>1435.59</v>
      </c>
      <c r="P82" s="6" t="n">
        <v>1464.1</v>
      </c>
      <c r="Q82" s="7" t="n"/>
      <c r="R82" s="7" t="n"/>
      <c r="S82" s="8" t="n"/>
      <c r="T82" s="8" t="n"/>
      <c r="U82" s="8" t="n"/>
      <c r="V82" s="9">
        <f>MIN(IF(Q82&lt;&gt;"",Q82*3.75,L82*3.75),IF(R82&lt;&gt;"",R82*3.75,M82*3.75),IF(S82&lt;&gt;"",S82,N82),IF(T82&lt;&gt;"",T82,O82),IF(U82&lt;&gt;"",U82,P82))</f>
        <v/>
      </c>
      <c r="W82" s="10">
        <f>INDEX({"AliExpress","eBay","Amazon.sa","Noon","Jarir"},MATCH(V82,{IF(Q82&lt;&gt;"",Q82*3.75,L82*3.75),IF(R82&lt;&gt;"",R82*3.75,M82*3.75),IF(S82&lt;&gt;"",S82,N82),IF(T82&lt;&gt;"",T82,O82),IF(U82&lt;&gt;"",U82,P82)},0))</f>
        <v/>
      </c>
      <c r="X82" s="9">
        <f>F82-V82</f>
        <v/>
      </c>
      <c r="Y82" s="11">
        <f>IF(V82=0,0,(F82-V82)/V82)</f>
        <v/>
      </c>
      <c r="Z82" s="9">
        <f>CEILING(MAX(V82*1.4,IF(IF(T82&lt;&gt;"",T82,O82)=0,V82*1.5,IF(T82&lt;&gt;"",T82,O82)*0.95)),10)-1</f>
        <v/>
      </c>
      <c r="AA82" s="12">
        <f>IF(IF(T82&lt;&gt;"",T82,O82)=0,"",TEXT((Z82-IF(T82&lt;&gt;"",T82,O82))/IF(T82&lt;&gt;"",T82,O82),"+0.0%;-0.0%"))</f>
        <v/>
      </c>
      <c r="AB82" s="10">
        <f>IF(Y82&gt;0.5,"✅ PROFITABLE — keep",IF(Y82&gt;0.2,"🟡 OK — optimize",IF(Y82&gt;0,"⚠️ THIN — raise or drop","❌ LOSING MONEY")))</f>
        <v/>
      </c>
    </row>
    <row r="83">
      <c r="A83" t="inlineStr">
        <is>
          <t>—</t>
        </is>
      </c>
      <c r="B83" t="n">
        <v>82</v>
      </c>
      <c r="C83" t="inlineStr">
        <is>
          <t>GM-KBD-RAZ-001</t>
        </is>
      </c>
      <c r="D83" t="inlineStr">
        <is>
          <t>Razer Huntsman V3 Pro TKL</t>
        </is>
      </c>
      <c r="E83" t="inlineStr">
        <is>
          <t>Gaming</t>
        </is>
      </c>
      <c r="F83" s="13" t="n">
        <v>1349</v>
      </c>
      <c r="G83" s="4" t="inlineStr">
        <is>
          <t>🔗</t>
        </is>
      </c>
      <c r="H83" s="4" t="inlineStr">
        <is>
          <t>🔗</t>
        </is>
      </c>
      <c r="I83" s="4" t="inlineStr">
        <is>
          <t>🔗</t>
        </is>
      </c>
      <c r="J83" s="4" t="inlineStr">
        <is>
          <t>🔗</t>
        </is>
      </c>
      <c r="K83" s="4" t="inlineStr">
        <is>
          <t>🔗</t>
        </is>
      </c>
      <c r="L83" s="5" t="n">
        <v>260.97</v>
      </c>
      <c r="M83" s="5" t="n">
        <v>292.36</v>
      </c>
      <c r="N83" s="6" t="n">
        <v>1264.86</v>
      </c>
      <c r="O83" s="6" t="n">
        <v>1377.69</v>
      </c>
      <c r="P83" s="6" t="n">
        <v>1358.42</v>
      </c>
      <c r="Q83" s="7" t="n"/>
      <c r="R83" s="7" t="n"/>
      <c r="S83" s="8" t="n"/>
      <c r="T83" s="8" t="n"/>
      <c r="U83" s="8" t="n"/>
      <c r="V83" s="9">
        <f>MIN(IF(Q83&lt;&gt;"",Q83*3.75,L83*3.75),IF(R83&lt;&gt;"",R83*3.75,M83*3.75),IF(S83&lt;&gt;"",S83,N83),IF(T83&lt;&gt;"",T83,O83),IF(U83&lt;&gt;"",U83,P83))</f>
        <v/>
      </c>
      <c r="W83" s="10">
        <f>INDEX({"AliExpress","eBay","Amazon.sa","Noon","Jarir"},MATCH(V83,{IF(Q83&lt;&gt;"",Q83*3.75,L83*3.75),IF(R83&lt;&gt;"",R83*3.75,M83*3.75),IF(S83&lt;&gt;"",S83,N83),IF(T83&lt;&gt;"",T83,O83),IF(U83&lt;&gt;"",U83,P83)},0))</f>
        <v/>
      </c>
      <c r="X83" s="9">
        <f>F83-V83</f>
        <v/>
      </c>
      <c r="Y83" s="11">
        <f>IF(V83=0,0,(F83-V83)/V83)</f>
        <v/>
      </c>
      <c r="Z83" s="9">
        <f>CEILING(MAX(V83*1.4,IF(IF(T83&lt;&gt;"",T83,O83)=0,V83*1.5,IF(T83&lt;&gt;"",T83,O83)*0.95)),10)-1</f>
        <v/>
      </c>
      <c r="AA83" s="12">
        <f>IF(IF(T83&lt;&gt;"",T83,O83)=0,"",TEXT((Z83-IF(T83&lt;&gt;"",T83,O83))/IF(T83&lt;&gt;"",T83,O83),"+0.0%;-0.0%"))</f>
        <v/>
      </c>
      <c r="AB83" s="10">
        <f>IF(Y83&gt;0.5,"✅ PROFITABLE — keep",IF(Y83&gt;0.2,"🟡 OK — optimize",IF(Y83&gt;0,"⚠️ THIN — raise or drop","❌ LOSING MONEY")))</f>
        <v/>
      </c>
    </row>
    <row r="84">
      <c r="A84" t="inlineStr">
        <is>
          <t>—</t>
        </is>
      </c>
      <c r="B84" t="n">
        <v>83</v>
      </c>
      <c r="C84" t="inlineStr">
        <is>
          <t>GM-KBD-COR-001</t>
        </is>
      </c>
      <c r="D84" t="inlineStr">
        <is>
          <t>Corsair K70 MAX RGB</t>
        </is>
      </c>
      <c r="E84" t="inlineStr">
        <is>
          <t>Gaming</t>
        </is>
      </c>
      <c r="F84" s="13" t="n">
        <v>1299</v>
      </c>
      <c r="G84" s="4" t="inlineStr">
        <is>
          <t>🔗</t>
        </is>
      </c>
      <c r="H84" s="4" t="inlineStr">
        <is>
          <t>🔗</t>
        </is>
      </c>
      <c r="I84" s="4" t="inlineStr">
        <is>
          <t>🔗</t>
        </is>
      </c>
      <c r="J84" s="4" t="inlineStr">
        <is>
          <t>🔗</t>
        </is>
      </c>
      <c r="K84" s="4" t="inlineStr">
        <is>
          <t>🔗</t>
        </is>
      </c>
      <c r="L84" s="5" t="n">
        <v>285.01</v>
      </c>
      <c r="M84" s="5" t="n">
        <v>316.15</v>
      </c>
      <c r="N84" s="6" t="n">
        <v>1252.72</v>
      </c>
      <c r="O84" s="6" t="n">
        <v>1241.77</v>
      </c>
      <c r="P84" s="6" t="n">
        <v>1278.02</v>
      </c>
      <c r="Q84" s="7" t="n"/>
      <c r="R84" s="7" t="n"/>
      <c r="S84" s="8" t="n"/>
      <c r="T84" s="8" t="n"/>
      <c r="U84" s="8" t="n"/>
      <c r="V84" s="9">
        <f>MIN(IF(Q84&lt;&gt;"",Q84*3.75,L84*3.75),IF(R84&lt;&gt;"",R84*3.75,M84*3.75),IF(S84&lt;&gt;"",S84,N84),IF(T84&lt;&gt;"",T84,O84),IF(U84&lt;&gt;"",U84,P84))</f>
        <v/>
      </c>
      <c r="W84" s="10">
        <f>INDEX({"AliExpress","eBay","Amazon.sa","Noon","Jarir"},MATCH(V84,{IF(Q84&lt;&gt;"",Q84*3.75,L84*3.75),IF(R84&lt;&gt;"",R84*3.75,M84*3.75),IF(S84&lt;&gt;"",S84,N84),IF(T84&lt;&gt;"",T84,O84),IF(U84&lt;&gt;"",U84,P84)},0))</f>
        <v/>
      </c>
      <c r="X84" s="9">
        <f>F84-V84</f>
        <v/>
      </c>
      <c r="Y84" s="11">
        <f>IF(V84=0,0,(F84-V84)/V84)</f>
        <v/>
      </c>
      <c r="Z84" s="9">
        <f>CEILING(MAX(V84*1.4,IF(IF(T84&lt;&gt;"",T84,O84)=0,V84*1.5,IF(T84&lt;&gt;"",T84,O84)*0.95)),10)-1</f>
        <v/>
      </c>
      <c r="AA84" s="12">
        <f>IF(IF(T84&lt;&gt;"",T84,O84)=0,"",TEXT((Z84-IF(T84&lt;&gt;"",T84,O84))/IF(T84&lt;&gt;"",T84,O84),"+0.0%;-0.0%"))</f>
        <v/>
      </c>
      <c r="AB84" s="10">
        <f>IF(Y84&gt;0.5,"✅ PROFITABLE — keep",IF(Y84&gt;0.2,"🟡 OK — optimize",IF(Y84&gt;0,"⚠️ THIN — raise or drop","❌ LOSING MONEY")))</f>
        <v/>
      </c>
    </row>
    <row r="85">
      <c r="A85" t="inlineStr">
        <is>
          <t>—</t>
        </is>
      </c>
      <c r="B85" t="n">
        <v>84</v>
      </c>
      <c r="C85" t="inlineStr">
        <is>
          <t>SH-LGT-GOVE-002</t>
        </is>
      </c>
      <c r="D85" t="inlineStr">
        <is>
          <t>Govee Glide Hexagon Light Panels Ultra (10-pack)</t>
        </is>
      </c>
      <c r="E85" t="inlineStr">
        <is>
          <t>Smart Home &amp;amp; IoT</t>
        </is>
      </c>
      <c r="F85" s="13" t="n">
        <v>1299</v>
      </c>
      <c r="G85" s="4" t="inlineStr">
        <is>
          <t>🔗</t>
        </is>
      </c>
      <c r="H85" s="4" t="inlineStr">
        <is>
          <t>🔗</t>
        </is>
      </c>
      <c r="I85" s="4" t="inlineStr">
        <is>
          <t>🔗</t>
        </is>
      </c>
      <c r="J85" s="4" t="inlineStr">
        <is>
          <t>🔗</t>
        </is>
      </c>
      <c r="K85" s="4" t="inlineStr">
        <is>
          <t>🔗</t>
        </is>
      </c>
      <c r="L85" s="5" t="n">
        <v>122.93</v>
      </c>
      <c r="M85" s="5" t="n">
        <v>210.03</v>
      </c>
      <c r="N85" s="6" t="n">
        <v>1063.6</v>
      </c>
      <c r="O85" s="6" t="n">
        <v>1315.15</v>
      </c>
      <c r="P85" s="6" t="n">
        <v>1168.66</v>
      </c>
      <c r="Q85" s="7" t="n"/>
      <c r="R85" s="7" t="n"/>
      <c r="S85" s="8" t="n"/>
      <c r="T85" s="8" t="n"/>
      <c r="U85" s="8" t="n"/>
      <c r="V85" s="9">
        <f>MIN(IF(Q85&lt;&gt;"",Q85*3.75,L85*3.75),IF(R85&lt;&gt;"",R85*3.75,M85*3.75),IF(S85&lt;&gt;"",S85,N85),IF(T85&lt;&gt;"",T85,O85),IF(U85&lt;&gt;"",U85,P85))</f>
        <v/>
      </c>
      <c r="W85" s="10">
        <f>INDEX({"AliExpress","eBay","Amazon.sa","Noon","Jarir"},MATCH(V85,{IF(Q85&lt;&gt;"",Q85*3.75,L85*3.75),IF(R85&lt;&gt;"",R85*3.75,M85*3.75),IF(S85&lt;&gt;"",S85,N85),IF(T85&lt;&gt;"",T85,O85),IF(U85&lt;&gt;"",U85,P85)},0))</f>
        <v/>
      </c>
      <c r="X85" s="9">
        <f>F85-V85</f>
        <v/>
      </c>
      <c r="Y85" s="11">
        <f>IF(V85=0,0,(F85-V85)/V85)</f>
        <v/>
      </c>
      <c r="Z85" s="9">
        <f>CEILING(MAX(V85*1.4,IF(IF(T85&lt;&gt;"",T85,O85)=0,V85*1.5,IF(T85&lt;&gt;"",T85,O85)*0.95)),10)-1</f>
        <v/>
      </c>
      <c r="AA85" s="12">
        <f>IF(IF(T85&lt;&gt;"",T85,O85)=0,"",TEXT((Z85-IF(T85&lt;&gt;"",T85,O85))/IF(T85&lt;&gt;"",T85,O85),"+0.0%;-0.0%"))</f>
        <v/>
      </c>
      <c r="AB85" s="10">
        <f>IF(Y85&gt;0.5,"✅ PROFITABLE — keep",IF(Y85&gt;0.2,"🟡 OK — optimize",IF(Y85&gt;0,"⚠️ THIN — raise or drop","❌ LOSING MONEY")))</f>
        <v/>
      </c>
    </row>
    <row r="86">
      <c r="A86" t="inlineStr">
        <is>
          <t>—</t>
        </is>
      </c>
      <c r="B86" t="n">
        <v>85</v>
      </c>
      <c r="C86" t="inlineStr">
        <is>
          <t>SH-LCK-AUGS-001</t>
        </is>
      </c>
      <c r="D86" t="inlineStr">
        <is>
          <t>August Wi-Fi Smart Lock (4th Gen)</t>
        </is>
      </c>
      <c r="E86" t="inlineStr">
        <is>
          <t>Smart Home &amp;amp; IoT</t>
        </is>
      </c>
      <c r="F86" s="13" t="n">
        <v>1299</v>
      </c>
      <c r="G86" s="4" t="inlineStr">
        <is>
          <t>🔗</t>
        </is>
      </c>
      <c r="H86" s="4" t="inlineStr">
        <is>
          <t>🔗</t>
        </is>
      </c>
      <c r="I86" s="4" t="inlineStr">
        <is>
          <t>🔗</t>
        </is>
      </c>
      <c r="J86" s="4" t="inlineStr">
        <is>
          <t>🔗</t>
        </is>
      </c>
      <c r="K86" s="4" t="inlineStr">
        <is>
          <t>🔗</t>
        </is>
      </c>
      <c r="L86" s="5" t="n">
        <v>149.95</v>
      </c>
      <c r="M86" s="5" t="n">
        <v>240.7</v>
      </c>
      <c r="N86" s="6" t="n">
        <v>972.4400000000001</v>
      </c>
      <c r="O86" s="6" t="n">
        <v>1265.34</v>
      </c>
      <c r="P86" s="6" t="n">
        <v>1316.51</v>
      </c>
      <c r="Q86" s="7" t="n"/>
      <c r="R86" s="7" t="n"/>
      <c r="S86" s="8" t="n"/>
      <c r="T86" s="8" t="n"/>
      <c r="U86" s="8" t="n"/>
      <c r="V86" s="9">
        <f>MIN(IF(Q86&lt;&gt;"",Q86*3.75,L86*3.75),IF(R86&lt;&gt;"",R86*3.75,M86*3.75),IF(S86&lt;&gt;"",S86,N86),IF(T86&lt;&gt;"",T86,O86),IF(U86&lt;&gt;"",U86,P86))</f>
        <v/>
      </c>
      <c r="W86" s="10">
        <f>INDEX({"AliExpress","eBay","Amazon.sa","Noon","Jarir"},MATCH(V86,{IF(Q86&lt;&gt;"",Q86*3.75,L86*3.75),IF(R86&lt;&gt;"",R86*3.75,M86*3.75),IF(S86&lt;&gt;"",S86,N86),IF(T86&lt;&gt;"",T86,O86),IF(U86&lt;&gt;"",U86,P86)},0))</f>
        <v/>
      </c>
      <c r="X86" s="9">
        <f>F86-V86</f>
        <v/>
      </c>
      <c r="Y86" s="11">
        <f>IF(V86=0,0,(F86-V86)/V86)</f>
        <v/>
      </c>
      <c r="Z86" s="9">
        <f>CEILING(MAX(V86*1.4,IF(IF(T86&lt;&gt;"",T86,O86)=0,V86*1.5,IF(T86&lt;&gt;"",T86,O86)*0.95)),10)-1</f>
        <v/>
      </c>
      <c r="AA86" s="12">
        <f>IF(IF(T86&lt;&gt;"",T86,O86)=0,"",TEXT((Z86-IF(T86&lt;&gt;"",T86,O86))/IF(T86&lt;&gt;"",T86,O86),"+0.0%;-0.0%"))</f>
        <v/>
      </c>
      <c r="AB86" s="10">
        <f>IF(Y86&gt;0.5,"✅ PROFITABLE — keep",IF(Y86&gt;0.2,"🟡 OK — optimize",IF(Y86&gt;0,"⚠️ THIN — raise or drop","❌ LOSING MONEY")))</f>
        <v/>
      </c>
    </row>
    <row r="87">
      <c r="A87" t="inlineStr">
        <is>
          <t>—</t>
        </is>
      </c>
      <c r="B87" t="n">
        <v>86</v>
      </c>
      <c r="C87" t="inlineStr">
        <is>
          <t>NG-3DP-004</t>
        </is>
      </c>
      <c r="D87" t="inlineStr">
        <is>
          <t>eSUN PLA+ Filament 10-Color Pack - 10kg Total for 3D Printing</t>
        </is>
      </c>
      <c r="E87" t="inlineStr">
        <is>
          <t>3D Printing &amp;amp; CNC</t>
        </is>
      </c>
      <c r="F87" s="13" t="n">
        <v>1299</v>
      </c>
      <c r="G87" s="4" t="inlineStr">
        <is>
          <t>🔗</t>
        </is>
      </c>
      <c r="H87" s="4" t="inlineStr">
        <is>
          <t>🔗</t>
        </is>
      </c>
      <c r="I87" s="4" t="inlineStr">
        <is>
          <t>🔗</t>
        </is>
      </c>
      <c r="J87" s="4" t="inlineStr">
        <is>
          <t>🔗</t>
        </is>
      </c>
      <c r="K87" s="4" t="inlineStr">
        <is>
          <t>🔗</t>
        </is>
      </c>
      <c r="L87" s="5" t="n">
        <v>207.42</v>
      </c>
      <c r="M87" s="5" t="n">
        <v>270.61</v>
      </c>
      <c r="N87" s="6" t="n">
        <v>1066.48</v>
      </c>
      <c r="O87" s="6" t="n">
        <v>1390.18</v>
      </c>
      <c r="P87" s="6" t="n">
        <v>1473.08</v>
      </c>
      <c r="Q87" s="7" t="n"/>
      <c r="R87" s="7" t="n"/>
      <c r="S87" s="8" t="n"/>
      <c r="T87" s="8" t="n"/>
      <c r="U87" s="8" t="n"/>
      <c r="V87" s="9">
        <f>MIN(IF(Q87&lt;&gt;"",Q87*3.75,L87*3.75),IF(R87&lt;&gt;"",R87*3.75,M87*3.75),IF(S87&lt;&gt;"",S87,N87),IF(T87&lt;&gt;"",T87,O87),IF(U87&lt;&gt;"",U87,P87))</f>
        <v/>
      </c>
      <c r="W87" s="10">
        <f>INDEX({"AliExpress","eBay","Amazon.sa","Noon","Jarir"},MATCH(V87,{IF(Q87&lt;&gt;"",Q87*3.75,L87*3.75),IF(R87&lt;&gt;"",R87*3.75,M87*3.75),IF(S87&lt;&gt;"",S87,N87),IF(T87&lt;&gt;"",T87,O87),IF(U87&lt;&gt;"",U87,P87)},0))</f>
        <v/>
      </c>
      <c r="X87" s="9">
        <f>F87-V87</f>
        <v/>
      </c>
      <c r="Y87" s="11">
        <f>IF(V87=0,0,(F87-V87)/V87)</f>
        <v/>
      </c>
      <c r="Z87" s="9">
        <f>CEILING(MAX(V87*1.4,IF(IF(T87&lt;&gt;"",T87,O87)=0,V87*1.5,IF(T87&lt;&gt;"",T87,O87)*0.95)),10)-1</f>
        <v/>
      </c>
      <c r="AA87" s="12">
        <f>IF(IF(T87&lt;&gt;"",T87,O87)=0,"",TEXT((Z87-IF(T87&lt;&gt;"",T87,O87))/IF(T87&lt;&gt;"",T87,O87),"+0.0%;-0.0%"))</f>
        <v/>
      </c>
      <c r="AB87" s="10">
        <f>IF(Y87&gt;0.5,"✅ PROFITABLE — keep",IF(Y87&gt;0.2,"🟡 OK — optimize",IF(Y87&gt;0,"⚠️ THIN — raise or drop","❌ LOSING MONEY")))</f>
        <v/>
      </c>
    </row>
    <row r="88">
      <c r="A88" t="inlineStr">
        <is>
          <t>—</t>
        </is>
      </c>
      <c r="B88" t="n">
        <v>87</v>
      </c>
      <c r="C88" t="inlineStr">
        <is>
          <t>NG-ACC-006</t>
        </is>
      </c>
      <c r="D88" t="inlineStr">
        <is>
          <t>Samsung T7 Shield 2TB Portable SSD - Rugged, Fast, and Secure</t>
        </is>
      </c>
      <c r="E88" t="inlineStr">
        <is>
          <t>Hardware</t>
        </is>
      </c>
      <c r="F88" s="13" t="n">
        <v>1299</v>
      </c>
      <c r="G88" s="4" t="inlineStr">
        <is>
          <t>🔗</t>
        </is>
      </c>
      <c r="H88" s="4" t="inlineStr">
        <is>
          <t>🔗</t>
        </is>
      </c>
      <c r="I88" s="4" t="inlineStr">
        <is>
          <t>🔗</t>
        </is>
      </c>
      <c r="J88" s="4" t="inlineStr">
        <is>
          <t>🔗</t>
        </is>
      </c>
      <c r="K88" s="4" t="inlineStr">
        <is>
          <t>🔗</t>
        </is>
      </c>
      <c r="L88" s="5" t="n">
        <v>288.85</v>
      </c>
      <c r="M88" s="5" t="n">
        <v>316.53</v>
      </c>
      <c r="N88" s="6" t="n">
        <v>1181.96</v>
      </c>
      <c r="O88" s="6" t="n">
        <v>1394.18</v>
      </c>
      <c r="P88" s="6" t="n">
        <v>1348.43</v>
      </c>
      <c r="Q88" s="7" t="n"/>
      <c r="R88" s="7" t="n"/>
      <c r="S88" s="8" t="n"/>
      <c r="T88" s="8" t="n"/>
      <c r="U88" s="8" t="n"/>
      <c r="V88" s="9">
        <f>MIN(IF(Q88&lt;&gt;"",Q88*3.75,L88*3.75),IF(R88&lt;&gt;"",R88*3.75,M88*3.75),IF(S88&lt;&gt;"",S88,N88),IF(T88&lt;&gt;"",T88,O88),IF(U88&lt;&gt;"",U88,P88))</f>
        <v/>
      </c>
      <c r="W88" s="10">
        <f>INDEX({"AliExpress","eBay","Amazon.sa","Noon","Jarir"},MATCH(V88,{IF(Q88&lt;&gt;"",Q88*3.75,L88*3.75),IF(R88&lt;&gt;"",R88*3.75,M88*3.75),IF(S88&lt;&gt;"",S88,N88),IF(T88&lt;&gt;"",T88,O88),IF(U88&lt;&gt;"",U88,P88)},0))</f>
        <v/>
      </c>
      <c r="X88" s="9">
        <f>F88-V88</f>
        <v/>
      </c>
      <c r="Y88" s="11">
        <f>IF(V88=0,0,(F88-V88)/V88)</f>
        <v/>
      </c>
      <c r="Z88" s="9">
        <f>CEILING(MAX(V88*1.4,IF(IF(T88&lt;&gt;"",T88,O88)=0,V88*1.5,IF(T88&lt;&gt;"",T88,O88)*0.95)),10)-1</f>
        <v/>
      </c>
      <c r="AA88" s="12">
        <f>IF(IF(T88&lt;&gt;"",T88,O88)=0,"",TEXT((Z88-IF(T88&lt;&gt;"",T88,O88))/IF(T88&lt;&gt;"",T88,O88),"+0.0%;-0.0%"))</f>
        <v/>
      </c>
      <c r="AB88" s="10">
        <f>IF(Y88&gt;0.5,"✅ PROFITABLE — keep",IF(Y88&gt;0.2,"🟡 OK — optimize",IF(Y88&gt;0,"⚠️ THIN — raise or drop","❌ LOSING MONEY")))</f>
        <v/>
      </c>
    </row>
    <row r="89">
      <c r="A89" t="inlineStr">
        <is>
          <t>—</t>
        </is>
      </c>
      <c r="B89" t="n">
        <v>88</v>
      </c>
      <c r="C89" t="inlineStr">
        <is>
          <t>NG-NET-011</t>
        </is>
      </c>
      <c r="D89" t="inlineStr">
        <is>
          <t>TP-Link Archer AXE75 - AXE5400 Tri-Band WiFi 6E Router</t>
        </is>
      </c>
      <c r="E89" t="inlineStr">
        <is>
          <t>Networking</t>
        </is>
      </c>
      <c r="F89" s="13" t="n">
        <v>1299</v>
      </c>
      <c r="G89" s="4" t="inlineStr">
        <is>
          <t>🔗</t>
        </is>
      </c>
      <c r="H89" s="4" t="inlineStr">
        <is>
          <t>🔗</t>
        </is>
      </c>
      <c r="I89" s="4" t="inlineStr">
        <is>
          <t>🔗</t>
        </is>
      </c>
      <c r="J89" s="4" t="inlineStr">
        <is>
          <t>🔗</t>
        </is>
      </c>
      <c r="K89" s="4" t="inlineStr">
        <is>
          <t>🔗</t>
        </is>
      </c>
      <c r="L89" s="5" t="n">
        <v>210.97</v>
      </c>
      <c r="M89" s="5" t="n">
        <v>274.47</v>
      </c>
      <c r="N89" s="6" t="n">
        <v>1291.49</v>
      </c>
      <c r="O89" s="6" t="n">
        <v>1301.81</v>
      </c>
      <c r="P89" s="6" t="n">
        <v>1442.26</v>
      </c>
      <c r="Q89" s="7" t="n"/>
      <c r="R89" s="7" t="n"/>
      <c r="S89" s="8" t="n"/>
      <c r="T89" s="8" t="n"/>
      <c r="U89" s="8" t="n"/>
      <c r="V89" s="9">
        <f>MIN(IF(Q89&lt;&gt;"",Q89*3.75,L89*3.75),IF(R89&lt;&gt;"",R89*3.75,M89*3.75),IF(S89&lt;&gt;"",S89,N89),IF(T89&lt;&gt;"",T89,O89),IF(U89&lt;&gt;"",U89,P89))</f>
        <v/>
      </c>
      <c r="W89" s="10">
        <f>INDEX({"AliExpress","eBay","Amazon.sa","Noon","Jarir"},MATCH(V89,{IF(Q89&lt;&gt;"",Q89*3.75,L89*3.75),IF(R89&lt;&gt;"",R89*3.75,M89*3.75),IF(S89&lt;&gt;"",S89,N89),IF(T89&lt;&gt;"",T89,O89),IF(U89&lt;&gt;"",U89,P89)},0))</f>
        <v/>
      </c>
      <c r="X89" s="9">
        <f>F89-V89</f>
        <v/>
      </c>
      <c r="Y89" s="11">
        <f>IF(V89=0,0,(F89-V89)/V89)</f>
        <v/>
      </c>
      <c r="Z89" s="9">
        <f>CEILING(MAX(V89*1.4,IF(IF(T89&lt;&gt;"",T89,O89)=0,V89*1.5,IF(T89&lt;&gt;"",T89,O89)*0.95)),10)-1</f>
        <v/>
      </c>
      <c r="AA89" s="12">
        <f>IF(IF(T89&lt;&gt;"",T89,O89)=0,"",TEXT((Z89-IF(T89&lt;&gt;"",T89,O89))/IF(T89&lt;&gt;"",T89,O89),"+0.0%;-0.0%"))</f>
        <v/>
      </c>
      <c r="AB89" s="10">
        <f>IF(Y89&gt;0.5,"✅ PROFITABLE — keep",IF(Y89&gt;0.2,"🟡 OK — optimize",IF(Y89&gt;0,"⚠️ THIN — raise or drop","❌ LOSING MONEY")))</f>
        <v/>
      </c>
    </row>
    <row r="90">
      <c r="A90" t="inlineStr">
        <is>
          <t>—</t>
        </is>
      </c>
      <c r="B90" t="n">
        <v>89</v>
      </c>
      <c r="C90" t="inlineStr">
        <is>
          <t>SH-LCK-AQRA-001</t>
        </is>
      </c>
      <c r="D90" t="inlineStr">
        <is>
          <t>Aqara Smart Lock U200</t>
        </is>
      </c>
      <c r="E90" t="inlineStr">
        <is>
          <t>Smart Home &amp;amp; IoT</t>
        </is>
      </c>
      <c r="F90" s="13" t="n">
        <v>1249</v>
      </c>
      <c r="G90" s="4" t="inlineStr">
        <is>
          <t>🔗</t>
        </is>
      </c>
      <c r="H90" s="4" t="inlineStr">
        <is>
          <t>🔗</t>
        </is>
      </c>
      <c r="I90" s="4" t="inlineStr">
        <is>
          <t>🔗</t>
        </is>
      </c>
      <c r="J90" s="4" t="inlineStr">
        <is>
          <t>🔗</t>
        </is>
      </c>
      <c r="K90" s="4" t="inlineStr">
        <is>
          <t>🔗</t>
        </is>
      </c>
      <c r="L90" s="5" t="n">
        <v>161.04</v>
      </c>
      <c r="M90" s="5" t="n">
        <v>258.86</v>
      </c>
      <c r="N90" s="6" t="n">
        <v>1060.23</v>
      </c>
      <c r="O90" s="6" t="n">
        <v>1295.85</v>
      </c>
      <c r="P90" s="6" t="n">
        <v>1399.74</v>
      </c>
      <c r="Q90" s="7" t="n"/>
      <c r="R90" s="7" t="n"/>
      <c r="S90" s="8" t="n"/>
      <c r="T90" s="8" t="n"/>
      <c r="U90" s="8" t="n"/>
      <c r="V90" s="9">
        <f>MIN(IF(Q90&lt;&gt;"",Q90*3.75,L90*3.75),IF(R90&lt;&gt;"",R90*3.75,M90*3.75),IF(S90&lt;&gt;"",S90,N90),IF(T90&lt;&gt;"",T90,O90),IF(U90&lt;&gt;"",U90,P90))</f>
        <v/>
      </c>
      <c r="W90" s="10">
        <f>INDEX({"AliExpress","eBay","Amazon.sa","Noon","Jarir"},MATCH(V90,{IF(Q90&lt;&gt;"",Q90*3.75,L90*3.75),IF(R90&lt;&gt;"",R90*3.75,M90*3.75),IF(S90&lt;&gt;"",S90,N90),IF(T90&lt;&gt;"",T90,O90),IF(U90&lt;&gt;"",U90,P90)},0))</f>
        <v/>
      </c>
      <c r="X90" s="9">
        <f>F90-V90</f>
        <v/>
      </c>
      <c r="Y90" s="11">
        <f>IF(V90=0,0,(F90-V90)/V90)</f>
        <v/>
      </c>
      <c r="Z90" s="9">
        <f>CEILING(MAX(V90*1.4,IF(IF(T90&lt;&gt;"",T90,O90)=0,V90*1.5,IF(T90&lt;&gt;"",T90,O90)*0.95)),10)-1</f>
        <v/>
      </c>
      <c r="AA90" s="12">
        <f>IF(IF(T90&lt;&gt;"",T90,O90)=0,"",TEXT((Z90-IF(T90&lt;&gt;"",T90,O90))/IF(T90&lt;&gt;"",T90,O90),"+0.0%;-0.0%"))</f>
        <v/>
      </c>
      <c r="AB90" s="10">
        <f>IF(Y90&gt;0.5,"✅ PROFITABLE — keep",IF(Y90&gt;0.2,"🟡 OK — optimize",IF(Y90&gt;0,"⚠️ THIN — raise or drop","❌ LOSING MONEY")))</f>
        <v/>
      </c>
    </row>
    <row r="91">
      <c r="A91" t="inlineStr">
        <is>
          <t>—</t>
        </is>
      </c>
      <c r="B91" t="n">
        <v>90</v>
      </c>
      <c r="C91" t="inlineStr">
        <is>
          <t>NG-GAM-005</t>
        </is>
      </c>
      <c r="D91" t="inlineStr">
        <is>
          <t>Elgato HD60 X - External Capture Card for Streaming and Recording</t>
        </is>
      </c>
      <c r="E91" t="inlineStr">
        <is>
          <t>Gaming</t>
        </is>
      </c>
      <c r="F91" s="13" t="n">
        <v>1249</v>
      </c>
      <c r="G91" s="4" t="inlineStr">
        <is>
          <t>🔗</t>
        </is>
      </c>
      <c r="H91" s="4" t="inlineStr">
        <is>
          <t>🔗</t>
        </is>
      </c>
      <c r="I91" s="4" t="inlineStr">
        <is>
          <t>🔗</t>
        </is>
      </c>
      <c r="J91" s="4" t="inlineStr">
        <is>
          <t>🔗</t>
        </is>
      </c>
      <c r="K91" s="4" t="inlineStr">
        <is>
          <t>🔗</t>
        </is>
      </c>
      <c r="L91" s="5" t="n">
        <v>263.75</v>
      </c>
      <c r="M91" s="5" t="n">
        <v>302.39</v>
      </c>
      <c r="N91" s="6" t="n">
        <v>1168.83</v>
      </c>
      <c r="O91" s="6" t="n">
        <v>1315.06</v>
      </c>
      <c r="P91" s="6" t="n">
        <v>1302.88</v>
      </c>
      <c r="Q91" s="7" t="n"/>
      <c r="R91" s="7" t="n"/>
      <c r="S91" s="8" t="n"/>
      <c r="T91" s="8" t="n"/>
      <c r="U91" s="8" t="n"/>
      <c r="V91" s="9">
        <f>MIN(IF(Q91&lt;&gt;"",Q91*3.75,L91*3.75),IF(R91&lt;&gt;"",R91*3.75,M91*3.75),IF(S91&lt;&gt;"",S91,N91),IF(T91&lt;&gt;"",T91,O91),IF(U91&lt;&gt;"",U91,P91))</f>
        <v/>
      </c>
      <c r="W91" s="10">
        <f>INDEX({"AliExpress","eBay","Amazon.sa","Noon","Jarir"},MATCH(V91,{IF(Q91&lt;&gt;"",Q91*3.75,L91*3.75),IF(R91&lt;&gt;"",R91*3.75,M91*3.75),IF(S91&lt;&gt;"",S91,N91),IF(T91&lt;&gt;"",T91,O91),IF(U91&lt;&gt;"",U91,P91)},0))</f>
        <v/>
      </c>
      <c r="X91" s="9">
        <f>F91-V91</f>
        <v/>
      </c>
      <c r="Y91" s="11">
        <f>IF(V91=0,0,(F91-V91)/V91)</f>
        <v/>
      </c>
      <c r="Z91" s="9">
        <f>CEILING(MAX(V91*1.4,IF(IF(T91&lt;&gt;"",T91,O91)=0,V91*1.5,IF(T91&lt;&gt;"",T91,O91)*0.95)),10)-1</f>
        <v/>
      </c>
      <c r="AA91" s="12">
        <f>IF(IF(T91&lt;&gt;"",T91,O91)=0,"",TEXT((Z91-IF(T91&lt;&gt;"",T91,O91))/IF(T91&lt;&gt;"",T91,O91),"+0.0%;-0.0%"))</f>
        <v/>
      </c>
      <c r="AB91" s="10">
        <f>IF(Y91&gt;0.5,"✅ PROFITABLE — keep",IF(Y91&gt;0.2,"🟡 OK — optimize",IF(Y91&gt;0,"⚠️ THIN — raise or drop","❌ LOSING MONEY")))</f>
        <v/>
      </c>
    </row>
    <row r="92">
      <c r="A92" t="inlineStr">
        <is>
          <t>—</t>
        </is>
      </c>
      <c r="B92" t="n">
        <v>91</v>
      </c>
      <c r="C92" t="inlineStr">
        <is>
          <t>NG-MKR-005</t>
        </is>
      </c>
      <c r="D92" t="inlineStr">
        <is>
          <t>Elgato Stream Deck MK.2 - Professional Productivity Console with 15 LCD Keys</t>
        </is>
      </c>
      <c r="E92" t="inlineStr">
        <is>
          <t>Enthusiasts &amp;amp; Gamers</t>
        </is>
      </c>
      <c r="F92" s="13" t="n">
        <v>1249</v>
      </c>
      <c r="G92" s="4" t="inlineStr">
        <is>
          <t>🔗</t>
        </is>
      </c>
      <c r="H92" s="4" t="inlineStr">
        <is>
          <t>🔗</t>
        </is>
      </c>
      <c r="I92" s="4" t="inlineStr">
        <is>
          <t>🔗</t>
        </is>
      </c>
      <c r="J92" s="4" t="inlineStr">
        <is>
          <t>🔗</t>
        </is>
      </c>
      <c r="K92" s="4" t="inlineStr">
        <is>
          <t>🔗</t>
        </is>
      </c>
      <c r="L92" s="5" t="n">
        <v>226.3</v>
      </c>
      <c r="M92" s="5" t="n">
        <v>256.04</v>
      </c>
      <c r="N92" s="6" t="n">
        <v>1092.79</v>
      </c>
      <c r="O92" s="6" t="n">
        <v>1163.87</v>
      </c>
      <c r="P92" s="6" t="n">
        <v>1248.31</v>
      </c>
      <c r="Q92" s="7" t="n"/>
      <c r="R92" s="7" t="n"/>
      <c r="S92" s="8" t="n"/>
      <c r="T92" s="8" t="n"/>
      <c r="U92" s="8" t="n"/>
      <c r="V92" s="9">
        <f>MIN(IF(Q92&lt;&gt;"",Q92*3.75,L92*3.75),IF(R92&lt;&gt;"",R92*3.75,M92*3.75),IF(S92&lt;&gt;"",S92,N92),IF(T92&lt;&gt;"",T92,O92),IF(U92&lt;&gt;"",U92,P92))</f>
        <v/>
      </c>
      <c r="W92" s="10">
        <f>INDEX({"AliExpress","eBay","Amazon.sa","Noon","Jarir"},MATCH(V92,{IF(Q92&lt;&gt;"",Q92*3.75,L92*3.75),IF(R92&lt;&gt;"",R92*3.75,M92*3.75),IF(S92&lt;&gt;"",S92,N92),IF(T92&lt;&gt;"",T92,O92),IF(U92&lt;&gt;"",U92,P92)},0))</f>
        <v/>
      </c>
      <c r="X92" s="9">
        <f>F92-V92</f>
        <v/>
      </c>
      <c r="Y92" s="11">
        <f>IF(V92=0,0,(F92-V92)/V92)</f>
        <v/>
      </c>
      <c r="Z92" s="9">
        <f>CEILING(MAX(V92*1.4,IF(IF(T92&lt;&gt;"",T92,O92)=0,V92*1.5,IF(T92&lt;&gt;"",T92,O92)*0.95)),10)-1</f>
        <v/>
      </c>
      <c r="AA92" s="12">
        <f>IF(IF(T92&lt;&gt;"",T92,O92)=0,"",TEXT((Z92-IF(T92&lt;&gt;"",T92,O92))/IF(T92&lt;&gt;"",T92,O92),"+0.0%;-0.0%"))</f>
        <v/>
      </c>
      <c r="AB92" s="10">
        <f>IF(Y92&gt;0.5,"✅ PROFITABLE — keep",IF(Y92&gt;0.2,"🟡 OK — optimize",IF(Y92&gt;0,"⚠️ THIN — raise or drop","❌ LOSING MONEY")))</f>
        <v/>
      </c>
    </row>
    <row r="93">
      <c r="A93" t="inlineStr">
        <is>
          <t>—</t>
        </is>
      </c>
      <c r="B93" t="n">
        <v>92</v>
      </c>
      <c r="C93" t="inlineStr">
        <is>
          <t>GM-HST-HPX-001</t>
        </is>
      </c>
      <c r="D93" t="inlineStr">
        <is>
          <t>HyperX Cloud Alpha Wireless (300hr)</t>
        </is>
      </c>
      <c r="E93" t="inlineStr">
        <is>
          <t>Gaming</t>
        </is>
      </c>
      <c r="F93" s="13" t="n">
        <v>1199</v>
      </c>
      <c r="G93" s="4" t="inlineStr">
        <is>
          <t>🔗</t>
        </is>
      </c>
      <c r="H93" s="4" t="inlineStr">
        <is>
          <t>🔗</t>
        </is>
      </c>
      <c r="I93" s="4" t="inlineStr">
        <is>
          <t>🔗</t>
        </is>
      </c>
      <c r="J93" s="4" t="inlineStr">
        <is>
          <t>🔗</t>
        </is>
      </c>
      <c r="K93" s="4" t="inlineStr">
        <is>
          <t>🔗</t>
        </is>
      </c>
      <c r="L93" s="5" t="n">
        <v>254.39</v>
      </c>
      <c r="M93" s="5" t="n">
        <v>292.51</v>
      </c>
      <c r="N93" s="6" t="n">
        <v>1125.41</v>
      </c>
      <c r="O93" s="6" t="n">
        <v>1223.32</v>
      </c>
      <c r="P93" s="6" t="n">
        <v>1195.02</v>
      </c>
      <c r="Q93" s="7" t="n"/>
      <c r="R93" s="7" t="n"/>
      <c r="S93" s="8" t="n"/>
      <c r="T93" s="8" t="n"/>
      <c r="U93" s="8" t="n"/>
      <c r="V93" s="9">
        <f>MIN(IF(Q93&lt;&gt;"",Q93*3.75,L93*3.75),IF(R93&lt;&gt;"",R93*3.75,M93*3.75),IF(S93&lt;&gt;"",S93,N93),IF(T93&lt;&gt;"",T93,O93),IF(U93&lt;&gt;"",U93,P93))</f>
        <v/>
      </c>
      <c r="W93" s="10">
        <f>INDEX({"AliExpress","eBay","Amazon.sa","Noon","Jarir"},MATCH(V93,{IF(Q93&lt;&gt;"",Q93*3.75,L93*3.75),IF(R93&lt;&gt;"",R93*3.75,M93*3.75),IF(S93&lt;&gt;"",S93,N93),IF(T93&lt;&gt;"",T93,O93),IF(U93&lt;&gt;"",U93,P93)},0))</f>
        <v/>
      </c>
      <c r="X93" s="9">
        <f>F93-V93</f>
        <v/>
      </c>
      <c r="Y93" s="11">
        <f>IF(V93=0,0,(F93-V93)/V93)</f>
        <v/>
      </c>
      <c r="Z93" s="9">
        <f>CEILING(MAX(V93*1.4,IF(IF(T93&lt;&gt;"",T93,O93)=0,V93*1.5,IF(T93&lt;&gt;"",T93,O93)*0.95)),10)-1</f>
        <v/>
      </c>
      <c r="AA93" s="12">
        <f>IF(IF(T93&lt;&gt;"",T93,O93)=0,"",TEXT((Z93-IF(T93&lt;&gt;"",T93,O93))/IF(T93&lt;&gt;"",T93,O93),"+0.0%;-0.0%"))</f>
        <v/>
      </c>
      <c r="AB93" s="10">
        <f>IF(Y93&gt;0.5,"✅ PROFITABLE — keep",IF(Y93&gt;0.2,"🟡 OK — optimize",IF(Y93&gt;0,"⚠️ THIN — raise or drop","❌ LOSING MONEY")))</f>
        <v/>
      </c>
    </row>
    <row r="94">
      <c r="A94" t="inlineStr">
        <is>
          <t>—</t>
        </is>
      </c>
      <c r="B94" t="n">
        <v>93</v>
      </c>
      <c r="C94" t="inlineStr">
        <is>
          <t>GM-KBD-LOG-001</t>
        </is>
      </c>
      <c r="D94" t="inlineStr">
        <is>
          <t>Logitech G Pro X TKL LIGHTSPEED</t>
        </is>
      </c>
      <c r="E94" t="inlineStr">
        <is>
          <t>Gaming</t>
        </is>
      </c>
      <c r="F94" s="13" t="n">
        <v>1199</v>
      </c>
      <c r="G94" s="4" t="inlineStr">
        <is>
          <t>🔗</t>
        </is>
      </c>
      <c r="H94" s="4" t="inlineStr">
        <is>
          <t>🔗</t>
        </is>
      </c>
      <c r="I94" s="4" t="inlineStr">
        <is>
          <t>🔗</t>
        </is>
      </c>
      <c r="J94" s="4" t="inlineStr">
        <is>
          <t>🔗</t>
        </is>
      </c>
      <c r="K94" s="4" t="inlineStr">
        <is>
          <t>🔗</t>
        </is>
      </c>
      <c r="L94" s="5" t="n">
        <v>227.53</v>
      </c>
      <c r="M94" s="5" t="n">
        <v>269.49</v>
      </c>
      <c r="N94" s="6" t="n">
        <v>1074.53</v>
      </c>
      <c r="O94" s="6" t="n">
        <v>1164.41</v>
      </c>
      <c r="P94" s="6" t="n">
        <v>1249.15</v>
      </c>
      <c r="Q94" s="7" t="n"/>
      <c r="R94" s="7" t="n"/>
      <c r="S94" s="8" t="n"/>
      <c r="T94" s="8" t="n"/>
      <c r="U94" s="8" t="n"/>
      <c r="V94" s="9">
        <f>MIN(IF(Q94&lt;&gt;"",Q94*3.75,L94*3.75),IF(R94&lt;&gt;"",R94*3.75,M94*3.75),IF(S94&lt;&gt;"",S94,N94),IF(T94&lt;&gt;"",T94,O94),IF(U94&lt;&gt;"",U94,P94))</f>
        <v/>
      </c>
      <c r="W94" s="10">
        <f>INDEX({"AliExpress","eBay","Amazon.sa","Noon","Jarir"},MATCH(V94,{IF(Q94&lt;&gt;"",Q94*3.75,L94*3.75),IF(R94&lt;&gt;"",R94*3.75,M94*3.75),IF(S94&lt;&gt;"",S94,N94),IF(T94&lt;&gt;"",T94,O94),IF(U94&lt;&gt;"",U94,P94)},0))</f>
        <v/>
      </c>
      <c r="X94" s="9">
        <f>F94-V94</f>
        <v/>
      </c>
      <c r="Y94" s="11">
        <f>IF(V94=0,0,(F94-V94)/V94)</f>
        <v/>
      </c>
      <c r="Z94" s="9">
        <f>CEILING(MAX(V94*1.4,IF(IF(T94&lt;&gt;"",T94,O94)=0,V94*1.5,IF(T94&lt;&gt;"",T94,O94)*0.95)),10)-1</f>
        <v/>
      </c>
      <c r="AA94" s="12">
        <f>IF(IF(T94&lt;&gt;"",T94,O94)=0,"",TEXT((Z94-IF(T94&lt;&gt;"",T94,O94))/IF(T94&lt;&gt;"",T94,O94),"+0.0%;-0.0%"))</f>
        <v/>
      </c>
      <c r="AB94" s="10">
        <f>IF(Y94&gt;0.5,"✅ PROFITABLE — keep",IF(Y94&gt;0.2,"🟡 OK — optimize",IF(Y94&gt;0,"⚠️ THIN — raise or drop","❌ LOSING MONEY")))</f>
        <v/>
      </c>
    </row>
    <row r="95">
      <c r="A95" t="inlineStr">
        <is>
          <t>—</t>
        </is>
      </c>
      <c r="B95" t="n">
        <v>94</v>
      </c>
      <c r="C95" t="inlineStr">
        <is>
          <t>NT-NET-MKT-002</t>
        </is>
      </c>
      <c r="D95" t="inlineStr">
        <is>
          <t>MikroTik CRS326-24G-2S+RM</t>
        </is>
      </c>
      <c r="E95" t="inlineStr">
        <is>
          <t>Networking</t>
        </is>
      </c>
      <c r="F95" s="13" t="n">
        <v>1199</v>
      </c>
      <c r="G95" s="4" t="inlineStr">
        <is>
          <t>🔗</t>
        </is>
      </c>
      <c r="H95" s="4" t="inlineStr">
        <is>
          <t>🔗</t>
        </is>
      </c>
      <c r="I95" s="4" t="inlineStr">
        <is>
          <t>🔗</t>
        </is>
      </c>
      <c r="J95" s="4" t="inlineStr">
        <is>
          <t>🔗</t>
        </is>
      </c>
      <c r="K95" s="4" t="inlineStr">
        <is>
          <t>🔗</t>
        </is>
      </c>
      <c r="L95" s="5" t="n">
        <v>199.8</v>
      </c>
      <c r="M95" s="5" t="n">
        <v>252.37</v>
      </c>
      <c r="N95" s="6" t="n">
        <v>1160.6</v>
      </c>
      <c r="O95" s="6" t="n">
        <v>1255.54</v>
      </c>
      <c r="P95" s="6" t="n">
        <v>1154.45</v>
      </c>
      <c r="Q95" s="7" t="n"/>
      <c r="R95" s="7" t="n"/>
      <c r="S95" s="8" t="n"/>
      <c r="T95" s="8" t="n"/>
      <c r="U95" s="8" t="n"/>
      <c r="V95" s="9">
        <f>MIN(IF(Q95&lt;&gt;"",Q95*3.75,L95*3.75),IF(R95&lt;&gt;"",R95*3.75,M95*3.75),IF(S95&lt;&gt;"",S95,N95),IF(T95&lt;&gt;"",T95,O95),IF(U95&lt;&gt;"",U95,P95))</f>
        <v/>
      </c>
      <c r="W95" s="10">
        <f>INDEX({"AliExpress","eBay","Amazon.sa","Noon","Jarir"},MATCH(V95,{IF(Q95&lt;&gt;"",Q95*3.75,L95*3.75),IF(R95&lt;&gt;"",R95*3.75,M95*3.75),IF(S95&lt;&gt;"",S95,N95),IF(T95&lt;&gt;"",T95,O95),IF(U95&lt;&gt;"",U95,P95)},0))</f>
        <v/>
      </c>
      <c r="X95" s="9">
        <f>F95-V95</f>
        <v/>
      </c>
      <c r="Y95" s="11">
        <f>IF(V95=0,0,(F95-V95)/V95)</f>
        <v/>
      </c>
      <c r="Z95" s="9">
        <f>CEILING(MAX(V95*1.4,IF(IF(T95&lt;&gt;"",T95,O95)=0,V95*1.5,IF(T95&lt;&gt;"",T95,O95)*0.95)),10)-1</f>
        <v/>
      </c>
      <c r="AA95" s="12">
        <f>IF(IF(T95&lt;&gt;"",T95,O95)=0,"",TEXT((Z95-IF(T95&lt;&gt;"",T95,O95))/IF(T95&lt;&gt;"",T95,O95),"+0.0%;-0.0%"))</f>
        <v/>
      </c>
      <c r="AB95" s="10">
        <f>IF(Y95&gt;0.5,"✅ PROFITABLE — keep",IF(Y95&gt;0.2,"🟡 OK — optimize",IF(Y95&gt;0,"⚠️ THIN — raise or drop","❌ LOSING MONEY")))</f>
        <v/>
      </c>
    </row>
    <row r="96">
      <c r="A96" t="inlineStr">
        <is>
          <t>—</t>
        </is>
      </c>
      <c r="B96" t="n">
        <v>95</v>
      </c>
      <c r="C96" t="inlineStr">
        <is>
          <t>SH-HUB-HUBI-001</t>
        </is>
      </c>
      <c r="D96" t="inlineStr">
        <is>
          <t>Hubitat Elevation C-8 Pro</t>
        </is>
      </c>
      <c r="E96" t="inlineStr">
        <is>
          <t>Smart Home &amp;amp; IoT</t>
        </is>
      </c>
      <c r="F96" s="13" t="n">
        <v>1199</v>
      </c>
      <c r="G96" s="4" t="inlineStr">
        <is>
          <t>🔗</t>
        </is>
      </c>
      <c r="H96" s="4" t="inlineStr">
        <is>
          <t>🔗</t>
        </is>
      </c>
      <c r="I96" s="4" t="inlineStr">
        <is>
          <t>🔗</t>
        </is>
      </c>
      <c r="J96" s="4" t="inlineStr">
        <is>
          <t>🔗</t>
        </is>
      </c>
      <c r="K96" s="4" t="inlineStr">
        <is>
          <t>🔗</t>
        </is>
      </c>
      <c r="L96" s="5" t="n">
        <v>137.97</v>
      </c>
      <c r="M96" s="5" t="n">
        <v>215.76</v>
      </c>
      <c r="N96" s="6" t="n">
        <v>963.9299999999999</v>
      </c>
      <c r="O96" s="6" t="n">
        <v>1021.2</v>
      </c>
      <c r="P96" s="6" t="n">
        <v>1191.13</v>
      </c>
      <c r="Q96" s="7" t="n"/>
      <c r="R96" s="7" t="n"/>
      <c r="S96" s="8" t="n"/>
      <c r="T96" s="8" t="n"/>
      <c r="U96" s="8" t="n"/>
      <c r="V96" s="9">
        <f>MIN(IF(Q96&lt;&gt;"",Q96*3.75,L96*3.75),IF(R96&lt;&gt;"",R96*3.75,M96*3.75),IF(S96&lt;&gt;"",S96,N96),IF(T96&lt;&gt;"",T96,O96),IF(U96&lt;&gt;"",U96,P96))</f>
        <v/>
      </c>
      <c r="W96" s="10">
        <f>INDEX({"AliExpress","eBay","Amazon.sa","Noon","Jarir"},MATCH(V96,{IF(Q96&lt;&gt;"",Q96*3.75,L96*3.75),IF(R96&lt;&gt;"",R96*3.75,M96*3.75),IF(S96&lt;&gt;"",S96,N96),IF(T96&lt;&gt;"",T96,O96),IF(U96&lt;&gt;"",U96,P96)},0))</f>
        <v/>
      </c>
      <c r="X96" s="9">
        <f>F96-V96</f>
        <v/>
      </c>
      <c r="Y96" s="11">
        <f>IF(V96=0,0,(F96-V96)/V96)</f>
        <v/>
      </c>
      <c r="Z96" s="9">
        <f>CEILING(MAX(V96*1.4,IF(IF(T96&lt;&gt;"",T96,O96)=0,V96*1.5,IF(T96&lt;&gt;"",T96,O96)*0.95)),10)-1</f>
        <v/>
      </c>
      <c r="AA96" s="12">
        <f>IF(IF(T96&lt;&gt;"",T96,O96)=0,"",TEXT((Z96-IF(T96&lt;&gt;"",T96,O96))/IF(T96&lt;&gt;"",T96,O96),"+0.0%;-0.0%"))</f>
        <v/>
      </c>
      <c r="AB96" s="10">
        <f>IF(Y96&gt;0.5,"✅ PROFITABLE — keep",IF(Y96&gt;0.2,"🟡 OK — optimize",IF(Y96&gt;0,"⚠️ THIN — raise or drop","❌ LOSING MONEY")))</f>
        <v/>
      </c>
    </row>
    <row r="97">
      <c r="A97" t="inlineStr">
        <is>
          <t>—</t>
        </is>
      </c>
      <c r="B97" t="n">
        <v>96</v>
      </c>
      <c r="C97" t="inlineStr">
        <is>
          <t>NG-SEC-002</t>
        </is>
      </c>
      <c r="D97" t="inlineStr">
        <is>
          <t>Reolink Argus 4 Pro - Solar-Powered Wireless 4K Security Camera</t>
        </is>
      </c>
      <c r="E97" t="inlineStr">
        <is>
          <t>Security &amp;amp; Surveillance</t>
        </is>
      </c>
      <c r="F97" s="13" t="n">
        <v>1199</v>
      </c>
      <c r="G97" s="4" t="inlineStr">
        <is>
          <t>🔗</t>
        </is>
      </c>
      <c r="H97" s="4" t="inlineStr">
        <is>
          <t>🔗</t>
        </is>
      </c>
      <c r="I97" s="4" t="inlineStr">
        <is>
          <t>🔗</t>
        </is>
      </c>
      <c r="J97" s="4" t="inlineStr">
        <is>
          <t>🔗</t>
        </is>
      </c>
      <c r="K97" s="4" t="inlineStr">
        <is>
          <t>🔗</t>
        </is>
      </c>
      <c r="L97" s="5" t="n">
        <v>201.74</v>
      </c>
      <c r="M97" s="5" t="n">
        <v>235.58</v>
      </c>
      <c r="N97" s="6" t="n">
        <v>1102.01</v>
      </c>
      <c r="O97" s="6" t="n">
        <v>1255.41</v>
      </c>
      <c r="P97" s="6" t="n">
        <v>1314.21</v>
      </c>
      <c r="Q97" s="7" t="n"/>
      <c r="R97" s="7" t="n"/>
      <c r="S97" s="8" t="n"/>
      <c r="T97" s="8" t="n"/>
      <c r="U97" s="8" t="n"/>
      <c r="V97" s="9">
        <f>MIN(IF(Q97&lt;&gt;"",Q97*3.75,L97*3.75),IF(R97&lt;&gt;"",R97*3.75,M97*3.75),IF(S97&lt;&gt;"",S97,N97),IF(T97&lt;&gt;"",T97,O97),IF(U97&lt;&gt;"",U97,P97))</f>
        <v/>
      </c>
      <c r="W97" s="10">
        <f>INDEX({"AliExpress","eBay","Amazon.sa","Noon","Jarir"},MATCH(V97,{IF(Q97&lt;&gt;"",Q97*3.75,L97*3.75),IF(R97&lt;&gt;"",R97*3.75,M97*3.75),IF(S97&lt;&gt;"",S97,N97),IF(T97&lt;&gt;"",T97,O97),IF(U97&lt;&gt;"",U97,P97)},0))</f>
        <v/>
      </c>
      <c r="X97" s="9">
        <f>F97-V97</f>
        <v/>
      </c>
      <c r="Y97" s="11">
        <f>IF(V97=0,0,(F97-V97)/V97)</f>
        <v/>
      </c>
      <c r="Z97" s="9">
        <f>CEILING(MAX(V97*1.4,IF(IF(T97&lt;&gt;"",T97,O97)=0,V97*1.5,IF(T97&lt;&gt;"",T97,O97)*0.95)),10)-1</f>
        <v/>
      </c>
      <c r="AA97" s="12">
        <f>IF(IF(T97&lt;&gt;"",T97,O97)=0,"",TEXT((Z97-IF(T97&lt;&gt;"",T97,O97))/IF(T97&lt;&gt;"",T97,O97),"+0.0%;-0.0%"))</f>
        <v/>
      </c>
      <c r="AB97" s="10">
        <f>IF(Y97&gt;0.5,"✅ PROFITABLE — keep",IF(Y97&gt;0.2,"🟡 OK — optimize",IF(Y97&gt;0,"⚠️ THIN — raise or drop","❌ LOSING MONEY")))</f>
        <v/>
      </c>
    </row>
    <row r="98">
      <c r="A98" t="inlineStr">
        <is>
          <t>—</t>
        </is>
      </c>
      <c r="B98" t="n">
        <v>97</v>
      </c>
      <c r="C98" t="inlineStr">
        <is>
          <t>NG-MKR-008</t>
        </is>
      </c>
      <c r="D98" t="inlineStr">
        <is>
          <t>Creality Ender-3 V3 SE - The Best Entry-Level 3D Printer</t>
        </is>
      </c>
      <c r="E98" t="inlineStr">
        <is>
          <t>Enthusiasts &amp;amp; Gamers</t>
        </is>
      </c>
      <c r="F98" s="13" t="n">
        <v>1199</v>
      </c>
      <c r="G98" s="4" t="inlineStr">
        <is>
          <t>🔗</t>
        </is>
      </c>
      <c r="H98" s="4" t="inlineStr">
        <is>
          <t>🔗</t>
        </is>
      </c>
      <c r="I98" s="4" t="inlineStr">
        <is>
          <t>🔗</t>
        </is>
      </c>
      <c r="J98" s="4" t="inlineStr">
        <is>
          <t>🔗</t>
        </is>
      </c>
      <c r="K98" s="4" t="inlineStr">
        <is>
          <t>🔗</t>
        </is>
      </c>
      <c r="L98" s="5" t="n">
        <v>200.18</v>
      </c>
      <c r="M98" s="5" t="n">
        <v>208.2</v>
      </c>
      <c r="N98" s="6" t="n">
        <v>1059.1</v>
      </c>
      <c r="O98" s="6" t="n">
        <v>1283.76</v>
      </c>
      <c r="P98" s="6" t="n">
        <v>1379.68</v>
      </c>
      <c r="Q98" s="7" t="n"/>
      <c r="R98" s="7" t="n"/>
      <c r="S98" s="8" t="n"/>
      <c r="T98" s="8" t="n"/>
      <c r="U98" s="8" t="n"/>
      <c r="V98" s="9">
        <f>MIN(IF(Q98&lt;&gt;"",Q98*3.75,L98*3.75),IF(R98&lt;&gt;"",R98*3.75,M98*3.75),IF(S98&lt;&gt;"",S98,N98),IF(T98&lt;&gt;"",T98,O98),IF(U98&lt;&gt;"",U98,P98))</f>
        <v/>
      </c>
      <c r="W98" s="10">
        <f>INDEX({"AliExpress","eBay","Amazon.sa","Noon","Jarir"},MATCH(V98,{IF(Q98&lt;&gt;"",Q98*3.75,L98*3.75),IF(R98&lt;&gt;"",R98*3.75,M98*3.75),IF(S98&lt;&gt;"",S98,N98),IF(T98&lt;&gt;"",T98,O98),IF(U98&lt;&gt;"",U98,P98)},0))</f>
        <v/>
      </c>
      <c r="X98" s="9">
        <f>F98-V98</f>
        <v/>
      </c>
      <c r="Y98" s="11">
        <f>IF(V98=0,0,(F98-V98)/V98)</f>
        <v/>
      </c>
      <c r="Z98" s="9">
        <f>CEILING(MAX(V98*1.4,IF(IF(T98&lt;&gt;"",T98,O98)=0,V98*1.5,IF(T98&lt;&gt;"",T98,O98)*0.95)),10)-1</f>
        <v/>
      </c>
      <c r="AA98" s="12">
        <f>IF(IF(T98&lt;&gt;"",T98,O98)=0,"",TEXT((Z98-IF(T98&lt;&gt;"",T98,O98))/IF(T98&lt;&gt;"",T98,O98),"+0.0%;-0.0%"))</f>
        <v/>
      </c>
      <c r="AB98" s="10">
        <f>IF(Y98&gt;0.5,"✅ PROFITABLE — keep",IF(Y98&gt;0.2,"🟡 OK — optimize",IF(Y98&gt;0,"⚠️ THIN — raise or drop","❌ LOSING MONEY")))</f>
        <v/>
      </c>
    </row>
    <row r="99">
      <c r="A99" t="inlineStr">
        <is>
          <t>—</t>
        </is>
      </c>
      <c r="B99" t="n">
        <v>98</v>
      </c>
      <c r="C99" t="inlineStr">
        <is>
          <t>NG-GAM-006</t>
        </is>
      </c>
      <c r="D99" t="inlineStr">
        <is>
          <t>SteelSeries Arctis Nova 7 - Multi-Platform Wireless Gaming Headset</t>
        </is>
      </c>
      <c r="E99" t="inlineStr">
        <is>
          <t>Gaming</t>
        </is>
      </c>
      <c r="F99" s="13" t="n">
        <v>1199</v>
      </c>
      <c r="G99" s="4" t="inlineStr">
        <is>
          <t>🔗</t>
        </is>
      </c>
      <c r="H99" s="4" t="inlineStr">
        <is>
          <t>🔗</t>
        </is>
      </c>
      <c r="I99" s="4" t="inlineStr">
        <is>
          <t>🔗</t>
        </is>
      </c>
      <c r="J99" s="4" t="inlineStr">
        <is>
          <t>🔗</t>
        </is>
      </c>
      <c r="K99" s="4" t="inlineStr">
        <is>
          <t>🔗</t>
        </is>
      </c>
      <c r="L99" s="5" t="n">
        <v>269.54</v>
      </c>
      <c r="M99" s="5" t="n">
        <v>275.88</v>
      </c>
      <c r="N99" s="6" t="n">
        <v>1171.52</v>
      </c>
      <c r="O99" s="6" t="n">
        <v>1207.85</v>
      </c>
      <c r="P99" s="6" t="n">
        <v>1262.01</v>
      </c>
      <c r="Q99" s="7" t="n"/>
      <c r="R99" s="7" t="n"/>
      <c r="S99" s="8" t="n"/>
      <c r="T99" s="8" t="n"/>
      <c r="U99" s="8" t="n"/>
      <c r="V99" s="9">
        <f>MIN(IF(Q99&lt;&gt;"",Q99*3.75,L99*3.75),IF(R99&lt;&gt;"",R99*3.75,M99*3.75),IF(S99&lt;&gt;"",S99,N99),IF(T99&lt;&gt;"",T99,O99),IF(U99&lt;&gt;"",U99,P99))</f>
        <v/>
      </c>
      <c r="W99" s="10">
        <f>INDEX({"AliExpress","eBay","Amazon.sa","Noon","Jarir"},MATCH(V99,{IF(Q99&lt;&gt;"",Q99*3.75,L99*3.75),IF(R99&lt;&gt;"",R99*3.75,M99*3.75),IF(S99&lt;&gt;"",S99,N99),IF(T99&lt;&gt;"",T99,O99),IF(U99&lt;&gt;"",U99,P99)},0))</f>
        <v/>
      </c>
      <c r="X99" s="9">
        <f>F99-V99</f>
        <v/>
      </c>
      <c r="Y99" s="11">
        <f>IF(V99=0,0,(F99-V99)/V99)</f>
        <v/>
      </c>
      <c r="Z99" s="9">
        <f>CEILING(MAX(V99*1.4,IF(IF(T99&lt;&gt;"",T99,O99)=0,V99*1.5,IF(T99&lt;&gt;"",T99,O99)*0.95)),10)-1</f>
        <v/>
      </c>
      <c r="AA99" s="12">
        <f>IF(IF(T99&lt;&gt;"",T99,O99)=0,"",TEXT((Z99-IF(T99&lt;&gt;"",T99,O99))/IF(T99&lt;&gt;"",T99,O99),"+0.0%;-0.0%"))</f>
        <v/>
      </c>
      <c r="AB99" s="10">
        <f>IF(Y99&gt;0.5,"✅ PROFITABLE — keep",IF(Y99&gt;0.2,"🟡 OK — optimize",IF(Y99&gt;0,"⚠️ THIN — raise or drop","❌ LOSING MONEY")))</f>
        <v/>
      </c>
    </row>
    <row r="100">
      <c r="A100" t="inlineStr">
        <is>
          <t>—</t>
        </is>
      </c>
      <c r="B100" t="n">
        <v>99</v>
      </c>
      <c r="C100" t="inlineStr">
        <is>
          <t>NG-GAM-004</t>
        </is>
      </c>
      <c r="D100" t="inlineStr">
        <is>
          <t>Razer BlackWidow V4 75% - Compact Mechanical Gaming Keyboard</t>
        </is>
      </c>
      <c r="E100" t="inlineStr">
        <is>
          <t>Gaming</t>
        </is>
      </c>
      <c r="F100" s="13" t="n">
        <v>1199</v>
      </c>
      <c r="G100" s="4" t="inlineStr">
        <is>
          <t>🔗</t>
        </is>
      </c>
      <c r="H100" s="4" t="inlineStr">
        <is>
          <t>🔗</t>
        </is>
      </c>
      <c r="I100" s="4" t="inlineStr">
        <is>
          <t>🔗</t>
        </is>
      </c>
      <c r="J100" s="4" t="inlineStr">
        <is>
          <t>🔗</t>
        </is>
      </c>
      <c r="K100" s="4" t="inlineStr">
        <is>
          <t>🔗</t>
        </is>
      </c>
      <c r="L100" s="5" t="n">
        <v>234.39</v>
      </c>
      <c r="M100" s="5" t="n">
        <v>266.31</v>
      </c>
      <c r="N100" s="6" t="n">
        <v>1107.99</v>
      </c>
      <c r="O100" s="6" t="n">
        <v>1108.65</v>
      </c>
      <c r="P100" s="6" t="n">
        <v>1207.56</v>
      </c>
      <c r="Q100" s="7" t="n"/>
      <c r="R100" s="7" t="n"/>
      <c r="S100" s="8" t="n"/>
      <c r="T100" s="8" t="n"/>
      <c r="U100" s="8" t="n"/>
      <c r="V100" s="9">
        <f>MIN(IF(Q100&lt;&gt;"",Q100*3.75,L100*3.75),IF(R100&lt;&gt;"",R100*3.75,M100*3.75),IF(S100&lt;&gt;"",S100,N100),IF(T100&lt;&gt;"",T100,O100),IF(U100&lt;&gt;"",U100,P100))</f>
        <v/>
      </c>
      <c r="W100" s="10">
        <f>INDEX({"AliExpress","eBay","Amazon.sa","Noon","Jarir"},MATCH(V100,{IF(Q100&lt;&gt;"",Q100*3.75,L100*3.75),IF(R100&lt;&gt;"",R100*3.75,M100*3.75),IF(S100&lt;&gt;"",S100,N100),IF(T100&lt;&gt;"",T100,O100),IF(U100&lt;&gt;"",U100,P100)},0))</f>
        <v/>
      </c>
      <c r="X100" s="9">
        <f>F100-V100</f>
        <v/>
      </c>
      <c r="Y100" s="11">
        <f>IF(V100=0,0,(F100-V100)/V100)</f>
        <v/>
      </c>
      <c r="Z100" s="9">
        <f>CEILING(MAX(V100*1.4,IF(IF(T100&lt;&gt;"",T100,O100)=0,V100*1.5,IF(T100&lt;&gt;"",T100,O100)*0.95)),10)-1</f>
        <v/>
      </c>
      <c r="AA100" s="12">
        <f>IF(IF(T100&lt;&gt;"",T100,O100)=0,"",TEXT((Z100-IF(T100&lt;&gt;"",T100,O100))/IF(T100&lt;&gt;"",T100,O100),"+0.0%;-0.0%"))</f>
        <v/>
      </c>
      <c r="AB100" s="10">
        <f>IF(Y100&gt;0.5,"✅ PROFITABLE — keep",IF(Y100&gt;0.2,"🟡 OK — optimize",IF(Y100&gt;0,"⚠️ THIN — raise or drop","❌ LOSING MONEY")))</f>
        <v/>
      </c>
    </row>
    <row r="101">
      <c r="A101" t="inlineStr">
        <is>
          <t>—</t>
        </is>
      </c>
      <c r="B101" t="n">
        <v>100</v>
      </c>
      <c r="C101" t="inlineStr">
        <is>
          <t>GM-CMP-COR-001</t>
        </is>
      </c>
      <c r="D101" t="inlineStr">
        <is>
          <t>Corsair iCUE H150i RGB Elite (360mm AIO)</t>
        </is>
      </c>
      <c r="E101" t="inlineStr">
        <is>
          <t>Hardware</t>
        </is>
      </c>
      <c r="F101" s="13" t="n">
        <v>1149</v>
      </c>
      <c r="G101" s="4" t="inlineStr">
        <is>
          <t>🔗</t>
        </is>
      </c>
      <c r="H101" s="4" t="inlineStr">
        <is>
          <t>🔗</t>
        </is>
      </c>
      <c r="I101" s="4" t="inlineStr">
        <is>
          <t>🔗</t>
        </is>
      </c>
      <c r="J101" s="4" t="inlineStr">
        <is>
          <t>🔗</t>
        </is>
      </c>
      <c r="K101" s="4" t="inlineStr">
        <is>
          <t>🔗</t>
        </is>
      </c>
      <c r="L101" s="5" t="n">
        <v>278.3</v>
      </c>
      <c r="M101" s="5" t="n">
        <v>279.02</v>
      </c>
      <c r="N101" s="6" t="n">
        <v>1043.36</v>
      </c>
      <c r="O101" s="6" t="n">
        <v>1143.01</v>
      </c>
      <c r="P101" s="6" t="n">
        <v>1116.48</v>
      </c>
      <c r="Q101" s="7" t="n"/>
      <c r="R101" s="7" t="n"/>
      <c r="S101" s="8" t="n"/>
      <c r="T101" s="8" t="n"/>
      <c r="U101" s="8" t="n"/>
      <c r="V101" s="9">
        <f>MIN(IF(Q101&lt;&gt;"",Q101*3.75,L101*3.75),IF(R101&lt;&gt;"",R101*3.75,M101*3.75),IF(S101&lt;&gt;"",S101,N101),IF(T101&lt;&gt;"",T101,O101),IF(U101&lt;&gt;"",U101,P101))</f>
        <v/>
      </c>
      <c r="W101" s="10">
        <f>INDEX({"AliExpress","eBay","Amazon.sa","Noon","Jarir"},MATCH(V101,{IF(Q101&lt;&gt;"",Q101*3.75,L101*3.75),IF(R101&lt;&gt;"",R101*3.75,M101*3.75),IF(S101&lt;&gt;"",S101,N101),IF(T101&lt;&gt;"",T101,O101),IF(U101&lt;&gt;"",U101,P101)},0))</f>
        <v/>
      </c>
      <c r="X101" s="9">
        <f>F101-V101</f>
        <v/>
      </c>
      <c r="Y101" s="11">
        <f>IF(V101=0,0,(F101-V101)/V101)</f>
        <v/>
      </c>
      <c r="Z101" s="9">
        <f>CEILING(MAX(V101*1.4,IF(IF(T101&lt;&gt;"",T101,O101)=0,V101*1.5,IF(T101&lt;&gt;"",T101,O101)*0.95)),10)-1</f>
        <v/>
      </c>
      <c r="AA101" s="12">
        <f>IF(IF(T101&lt;&gt;"",T101,O101)=0,"",TEXT((Z101-IF(T101&lt;&gt;"",T101,O101))/IF(T101&lt;&gt;"",T101,O101),"+0.0%;-0.0%"))</f>
        <v/>
      </c>
      <c r="AB101" s="10">
        <f>IF(Y101&gt;0.5,"✅ PROFITABLE — keep",IF(Y101&gt;0.2,"🟡 OK — optimize",IF(Y101&gt;0,"⚠️ THIN — raise or drop","❌ LOSING MONEY")))</f>
        <v/>
      </c>
    </row>
    <row r="102">
      <c r="A102" t="inlineStr">
        <is>
          <t>—</t>
        </is>
      </c>
      <c r="B102" t="n">
        <v>101</v>
      </c>
      <c r="C102" t="inlineStr">
        <is>
          <t>GM-CTR-MSF-001</t>
        </is>
      </c>
      <c r="D102" t="inlineStr">
        <is>
          <t>Xbox Elite Controller Series 2 Core</t>
        </is>
      </c>
      <c r="E102" t="inlineStr">
        <is>
          <t>Gaming</t>
        </is>
      </c>
      <c r="F102" s="13" t="n">
        <v>1149</v>
      </c>
      <c r="G102" s="4" t="inlineStr">
        <is>
          <t>🔗</t>
        </is>
      </c>
      <c r="H102" s="4" t="inlineStr">
        <is>
          <t>🔗</t>
        </is>
      </c>
      <c r="I102" s="4" t="inlineStr">
        <is>
          <t>🔗</t>
        </is>
      </c>
      <c r="J102" s="4" t="inlineStr">
        <is>
          <t>🔗</t>
        </is>
      </c>
      <c r="K102" s="4" t="inlineStr">
        <is>
          <t>🔗</t>
        </is>
      </c>
      <c r="L102" s="5" t="n">
        <v>243.08</v>
      </c>
      <c r="M102" s="5" t="n">
        <v>246.36</v>
      </c>
      <c r="N102" s="6" t="n">
        <v>1053.61</v>
      </c>
      <c r="O102" s="6" t="n">
        <v>1160.84</v>
      </c>
      <c r="P102" s="6" t="n">
        <v>1096.84</v>
      </c>
      <c r="Q102" s="7" t="n"/>
      <c r="R102" s="7" t="n"/>
      <c r="S102" s="8" t="n"/>
      <c r="T102" s="8" t="n"/>
      <c r="U102" s="8" t="n"/>
      <c r="V102" s="9">
        <f>MIN(IF(Q102&lt;&gt;"",Q102*3.75,L102*3.75),IF(R102&lt;&gt;"",R102*3.75,M102*3.75),IF(S102&lt;&gt;"",S102,N102),IF(T102&lt;&gt;"",T102,O102),IF(U102&lt;&gt;"",U102,P102))</f>
        <v/>
      </c>
      <c r="W102" s="10">
        <f>INDEX({"AliExpress","eBay","Amazon.sa","Noon","Jarir"},MATCH(V102,{IF(Q102&lt;&gt;"",Q102*3.75,L102*3.75),IF(R102&lt;&gt;"",R102*3.75,M102*3.75),IF(S102&lt;&gt;"",S102,N102),IF(T102&lt;&gt;"",T102,O102),IF(U102&lt;&gt;"",U102,P102)},0))</f>
        <v/>
      </c>
      <c r="X102" s="9">
        <f>F102-V102</f>
        <v/>
      </c>
      <c r="Y102" s="11">
        <f>IF(V102=0,0,(F102-V102)/V102)</f>
        <v/>
      </c>
      <c r="Z102" s="9">
        <f>CEILING(MAX(V102*1.4,IF(IF(T102&lt;&gt;"",T102,O102)=0,V102*1.5,IF(T102&lt;&gt;"",T102,O102)*0.95)),10)-1</f>
        <v/>
      </c>
      <c r="AA102" s="12">
        <f>IF(IF(T102&lt;&gt;"",T102,O102)=0,"",TEXT((Z102-IF(T102&lt;&gt;"",T102,O102))/IF(T102&lt;&gt;"",T102,O102),"+0.0%;-0.0%"))</f>
        <v/>
      </c>
      <c r="AB102" s="10">
        <f>IF(Y102&gt;0.5,"✅ PROFITABLE — keep",IF(Y102&gt;0.2,"🟡 OK — optimize",IF(Y102&gt;0,"⚠️ THIN — raise or drop","❌ LOSING MONEY")))</f>
        <v/>
      </c>
    </row>
    <row r="103">
      <c r="A103" t="inlineStr">
        <is>
          <t>—</t>
        </is>
      </c>
      <c r="B103" t="n">
        <v>102</v>
      </c>
      <c r="C103" t="inlineStr">
        <is>
          <t>GM-HST-STS-001</t>
        </is>
      </c>
      <c r="D103" t="inlineStr">
        <is>
          <t>SteelSeries Arctis Nova 7 Wireless</t>
        </is>
      </c>
      <c r="E103" t="inlineStr">
        <is>
          <t>Gaming</t>
        </is>
      </c>
      <c r="F103" s="13" t="n">
        <v>1149</v>
      </c>
      <c r="G103" s="4" t="inlineStr">
        <is>
          <t>🔗</t>
        </is>
      </c>
      <c r="H103" s="4" t="inlineStr">
        <is>
          <t>🔗</t>
        </is>
      </c>
      <c r="I103" s="4" t="inlineStr">
        <is>
          <t>🔗</t>
        </is>
      </c>
      <c r="J103" s="4" t="inlineStr">
        <is>
          <t>🔗</t>
        </is>
      </c>
      <c r="K103" s="4" t="inlineStr">
        <is>
          <t>🔗</t>
        </is>
      </c>
      <c r="L103" s="5" t="n">
        <v>244.02</v>
      </c>
      <c r="M103" s="5" t="n">
        <v>251.36</v>
      </c>
      <c r="N103" s="6" t="n">
        <v>1066.83</v>
      </c>
      <c r="O103" s="6" t="n">
        <v>1066.32</v>
      </c>
      <c r="P103" s="6" t="n">
        <v>1165.6</v>
      </c>
      <c r="Q103" s="7" t="n"/>
      <c r="R103" s="7" t="n"/>
      <c r="S103" s="8" t="n"/>
      <c r="T103" s="8" t="n"/>
      <c r="U103" s="8" t="n"/>
      <c r="V103" s="9">
        <f>MIN(IF(Q103&lt;&gt;"",Q103*3.75,L103*3.75),IF(R103&lt;&gt;"",R103*3.75,M103*3.75),IF(S103&lt;&gt;"",S103,N103),IF(T103&lt;&gt;"",T103,O103),IF(U103&lt;&gt;"",U103,P103))</f>
        <v/>
      </c>
      <c r="W103" s="10">
        <f>INDEX({"AliExpress","eBay","Amazon.sa","Noon","Jarir"},MATCH(V103,{IF(Q103&lt;&gt;"",Q103*3.75,L103*3.75),IF(R103&lt;&gt;"",R103*3.75,M103*3.75),IF(S103&lt;&gt;"",S103,N103),IF(T103&lt;&gt;"",T103,O103),IF(U103&lt;&gt;"",U103,P103)},0))</f>
        <v/>
      </c>
      <c r="X103" s="9">
        <f>F103-V103</f>
        <v/>
      </c>
      <c r="Y103" s="11">
        <f>IF(V103=0,0,(F103-V103)/V103)</f>
        <v/>
      </c>
      <c r="Z103" s="9">
        <f>CEILING(MAX(V103*1.4,IF(IF(T103&lt;&gt;"",T103,O103)=0,V103*1.5,IF(T103&lt;&gt;"",T103,O103)*0.95)),10)-1</f>
        <v/>
      </c>
      <c r="AA103" s="12">
        <f>IF(IF(T103&lt;&gt;"",T103,O103)=0,"",TEXT((Z103-IF(T103&lt;&gt;"",T103,O103))/IF(T103&lt;&gt;"",T103,O103),"+0.0%;-0.0%"))</f>
        <v/>
      </c>
      <c r="AB103" s="10">
        <f>IF(Y103&gt;0.5,"✅ PROFITABLE — keep",IF(Y103&gt;0.2,"🟡 OK — optimize",IF(Y103&gt;0,"⚠️ THIN — raise or drop","❌ LOSING MONEY")))</f>
        <v/>
      </c>
    </row>
    <row r="104">
      <c r="A104" t="inlineStr">
        <is>
          <t>—</t>
        </is>
      </c>
      <c r="B104" t="n">
        <v>103</v>
      </c>
      <c r="C104" t="inlineStr">
        <is>
          <t>GM-MOU-RAZ-001</t>
        </is>
      </c>
      <c r="D104" t="inlineStr">
        <is>
          <t>Razer DeathAdder V4 Pro (57g Wireless)</t>
        </is>
      </c>
      <c r="E104" t="inlineStr">
        <is>
          <t>Gaming</t>
        </is>
      </c>
      <c r="F104" s="13" t="n">
        <v>1149</v>
      </c>
      <c r="G104" s="4" t="inlineStr">
        <is>
          <t>🔗</t>
        </is>
      </c>
      <c r="H104" s="4" t="inlineStr">
        <is>
          <t>🔗</t>
        </is>
      </c>
      <c r="I104" s="4" t="inlineStr">
        <is>
          <t>🔗</t>
        </is>
      </c>
      <c r="J104" s="4" t="inlineStr">
        <is>
          <t>🔗</t>
        </is>
      </c>
      <c r="K104" s="4" t="inlineStr">
        <is>
          <t>🔗</t>
        </is>
      </c>
      <c r="L104" s="5" t="n">
        <v>224.21</v>
      </c>
      <c r="M104" s="5" t="n">
        <v>260.14</v>
      </c>
      <c r="N104" s="6" t="n">
        <v>1125.34</v>
      </c>
      <c r="O104" s="6" t="n">
        <v>1126.78</v>
      </c>
      <c r="P104" s="6" t="n">
        <v>1238.44</v>
      </c>
      <c r="Q104" s="7" t="n"/>
      <c r="R104" s="7" t="n"/>
      <c r="S104" s="8" t="n"/>
      <c r="T104" s="8" t="n"/>
      <c r="U104" s="8" t="n"/>
      <c r="V104" s="9">
        <f>MIN(IF(Q104&lt;&gt;"",Q104*3.75,L104*3.75),IF(R104&lt;&gt;"",R104*3.75,M104*3.75),IF(S104&lt;&gt;"",S104,N104),IF(T104&lt;&gt;"",T104,O104),IF(U104&lt;&gt;"",U104,P104))</f>
        <v/>
      </c>
      <c r="W104" s="10">
        <f>INDEX({"AliExpress","eBay","Amazon.sa","Noon","Jarir"},MATCH(V104,{IF(Q104&lt;&gt;"",Q104*3.75,L104*3.75),IF(R104&lt;&gt;"",R104*3.75,M104*3.75),IF(S104&lt;&gt;"",S104,N104),IF(T104&lt;&gt;"",T104,O104),IF(U104&lt;&gt;"",U104,P104)},0))</f>
        <v/>
      </c>
      <c r="X104" s="9">
        <f>F104-V104</f>
        <v/>
      </c>
      <c r="Y104" s="11">
        <f>IF(V104=0,0,(F104-V104)/V104)</f>
        <v/>
      </c>
      <c r="Z104" s="9">
        <f>CEILING(MAX(V104*1.4,IF(IF(T104&lt;&gt;"",T104,O104)=0,V104*1.5,IF(T104&lt;&gt;"",T104,O104)*0.95)),10)-1</f>
        <v/>
      </c>
      <c r="AA104" s="12">
        <f>IF(IF(T104&lt;&gt;"",T104,O104)=0,"",TEXT((Z104-IF(T104&lt;&gt;"",T104,O104))/IF(T104&lt;&gt;"",T104,O104),"+0.0%;-0.0%"))</f>
        <v/>
      </c>
      <c r="AB104" s="10">
        <f>IF(Y104&gt;0.5,"✅ PROFITABLE — keep",IF(Y104&gt;0.2,"🟡 OK — optimize",IF(Y104&gt;0,"⚠️ THIN — raise or drop","❌ LOSING MONEY")))</f>
        <v/>
      </c>
    </row>
    <row r="105">
      <c r="A105" t="inlineStr">
        <is>
          <t>—</t>
        </is>
      </c>
      <c r="B105" t="n">
        <v>104</v>
      </c>
      <c r="C105" t="inlineStr">
        <is>
          <t>SH-LGT-PHUE-002</t>
        </is>
      </c>
      <c r="D105" t="inlineStr">
        <is>
          <t>Philips Hue Gradient Lightstrip (2m)</t>
        </is>
      </c>
      <c r="E105" t="inlineStr">
        <is>
          <t>Smart Home &amp;amp; IoT</t>
        </is>
      </c>
      <c r="F105" s="13" t="n">
        <v>1149</v>
      </c>
      <c r="G105" s="4" t="inlineStr">
        <is>
          <t>🔗</t>
        </is>
      </c>
      <c r="H105" s="4" t="inlineStr">
        <is>
          <t>🔗</t>
        </is>
      </c>
      <c r="I105" s="4" t="inlineStr">
        <is>
          <t>🔗</t>
        </is>
      </c>
      <c r="J105" s="4" t="inlineStr">
        <is>
          <t>🔗</t>
        </is>
      </c>
      <c r="K105" s="4" t="inlineStr">
        <is>
          <t>🔗</t>
        </is>
      </c>
      <c r="L105" s="5" t="n">
        <v>158.22</v>
      </c>
      <c r="M105" s="5" t="n">
        <v>186.3</v>
      </c>
      <c r="N105" s="6" t="n">
        <v>827.83</v>
      </c>
      <c r="O105" s="6" t="n">
        <v>924.77</v>
      </c>
      <c r="P105" s="6" t="n">
        <v>1178.46</v>
      </c>
      <c r="Q105" s="7" t="n"/>
      <c r="R105" s="7" t="n"/>
      <c r="S105" s="8" t="n"/>
      <c r="T105" s="8" t="n"/>
      <c r="U105" s="8" t="n"/>
      <c r="V105" s="9">
        <f>MIN(IF(Q105&lt;&gt;"",Q105*3.75,L105*3.75),IF(R105&lt;&gt;"",R105*3.75,M105*3.75),IF(S105&lt;&gt;"",S105,N105),IF(T105&lt;&gt;"",T105,O105),IF(U105&lt;&gt;"",U105,P105))</f>
        <v/>
      </c>
      <c r="W105" s="10">
        <f>INDEX({"AliExpress","eBay","Amazon.sa","Noon","Jarir"},MATCH(V105,{IF(Q105&lt;&gt;"",Q105*3.75,L105*3.75),IF(R105&lt;&gt;"",R105*3.75,M105*3.75),IF(S105&lt;&gt;"",S105,N105),IF(T105&lt;&gt;"",T105,O105),IF(U105&lt;&gt;"",U105,P105)},0))</f>
        <v/>
      </c>
      <c r="X105" s="9">
        <f>F105-V105</f>
        <v/>
      </c>
      <c r="Y105" s="11">
        <f>IF(V105=0,0,(F105-V105)/V105)</f>
        <v/>
      </c>
      <c r="Z105" s="9">
        <f>CEILING(MAX(V105*1.4,IF(IF(T105&lt;&gt;"",T105,O105)=0,V105*1.5,IF(T105&lt;&gt;"",T105,O105)*0.95)),10)-1</f>
        <v/>
      </c>
      <c r="AA105" s="12">
        <f>IF(IF(T105&lt;&gt;"",T105,O105)=0,"",TEXT((Z105-IF(T105&lt;&gt;"",T105,O105))/IF(T105&lt;&gt;"",T105,O105),"+0.0%;-0.0%"))</f>
        <v/>
      </c>
      <c r="AB105" s="10">
        <f>IF(Y105&gt;0.5,"✅ PROFITABLE — keep",IF(Y105&gt;0.2,"🟡 OK — optimize",IF(Y105&gt;0,"⚠️ THIN — raise or drop","❌ LOSING MONEY")))</f>
        <v/>
      </c>
    </row>
    <row r="106">
      <c r="A106" t="inlineStr">
        <is>
          <t>—</t>
        </is>
      </c>
      <c r="B106" t="n">
        <v>105</v>
      </c>
      <c r="C106" t="inlineStr">
        <is>
          <t>NG-GAM-012</t>
        </is>
      </c>
      <c r="D106" t="inlineStr">
        <is>
          <t>Elgato Wave:3 - Premium USB Condenser Microphone for Streaming</t>
        </is>
      </c>
      <c r="E106" t="inlineStr">
        <is>
          <t>Gaming</t>
        </is>
      </c>
      <c r="F106" s="13" t="n">
        <v>1149</v>
      </c>
      <c r="G106" s="4" t="inlineStr">
        <is>
          <t>🔗</t>
        </is>
      </c>
      <c r="H106" s="4" t="inlineStr">
        <is>
          <t>🔗</t>
        </is>
      </c>
      <c r="I106" s="4" t="inlineStr">
        <is>
          <t>🔗</t>
        </is>
      </c>
      <c r="J106" s="4" t="inlineStr">
        <is>
          <t>🔗</t>
        </is>
      </c>
      <c r="K106" s="4" t="inlineStr">
        <is>
          <t>🔗</t>
        </is>
      </c>
      <c r="L106" s="5" t="n">
        <v>260.43</v>
      </c>
      <c r="M106" s="5" t="n">
        <v>261.21</v>
      </c>
      <c r="N106" s="6" t="n">
        <v>1103.64</v>
      </c>
      <c r="O106" s="6" t="n">
        <v>1200.7</v>
      </c>
      <c r="P106" s="6" t="n">
        <v>1218.86</v>
      </c>
      <c r="Q106" s="7" t="n"/>
      <c r="R106" s="7" t="n"/>
      <c r="S106" s="8" t="n"/>
      <c r="T106" s="8" t="n"/>
      <c r="U106" s="8" t="n"/>
      <c r="V106" s="9">
        <f>MIN(IF(Q106&lt;&gt;"",Q106*3.75,L106*3.75),IF(R106&lt;&gt;"",R106*3.75,M106*3.75),IF(S106&lt;&gt;"",S106,N106),IF(T106&lt;&gt;"",T106,O106),IF(U106&lt;&gt;"",U106,P106))</f>
        <v/>
      </c>
      <c r="W106" s="10">
        <f>INDEX({"AliExpress","eBay","Amazon.sa","Noon","Jarir"},MATCH(V106,{IF(Q106&lt;&gt;"",Q106*3.75,L106*3.75),IF(R106&lt;&gt;"",R106*3.75,M106*3.75),IF(S106&lt;&gt;"",S106,N106),IF(T106&lt;&gt;"",T106,O106),IF(U106&lt;&gt;"",U106,P106)},0))</f>
        <v/>
      </c>
      <c r="X106" s="9">
        <f>F106-V106</f>
        <v/>
      </c>
      <c r="Y106" s="11">
        <f>IF(V106=0,0,(F106-V106)/V106)</f>
        <v/>
      </c>
      <c r="Z106" s="9">
        <f>CEILING(MAX(V106*1.4,IF(IF(T106&lt;&gt;"",T106,O106)=0,V106*1.5,IF(T106&lt;&gt;"",T106,O106)*0.95)),10)-1</f>
        <v/>
      </c>
      <c r="AA106" s="12">
        <f>IF(IF(T106&lt;&gt;"",T106,O106)=0,"",TEXT((Z106-IF(T106&lt;&gt;"",T106,O106))/IF(T106&lt;&gt;"",T106,O106),"+0.0%;-0.0%"))</f>
        <v/>
      </c>
      <c r="AB106" s="10">
        <f>IF(Y106&gt;0.5,"✅ PROFITABLE — keep",IF(Y106&gt;0.2,"🟡 OK — optimize",IF(Y106&gt;0,"⚠️ THIN — raise or drop","❌ LOSING MONEY")))</f>
        <v/>
      </c>
    </row>
    <row r="107">
      <c r="A107" t="inlineStr">
        <is>
          <t>—</t>
        </is>
      </c>
      <c r="B107" t="n">
        <v>106</v>
      </c>
      <c r="C107" t="inlineStr">
        <is>
          <t>NG-NET-004</t>
        </is>
      </c>
      <c r="D107" t="inlineStr">
        <is>
          <t>MikroTik CRS305-1G-4S+IN - 4-Port 10G SFP+ Desktop Switch</t>
        </is>
      </c>
      <c r="E107" t="inlineStr">
        <is>
          <t>Networking</t>
        </is>
      </c>
      <c r="F107" s="13" t="n">
        <v>1149</v>
      </c>
      <c r="G107" s="4" t="inlineStr">
        <is>
          <t>🔗</t>
        </is>
      </c>
      <c r="H107" s="4" t="inlineStr">
        <is>
          <t>🔗</t>
        </is>
      </c>
      <c r="I107" s="4" t="inlineStr">
        <is>
          <t>🔗</t>
        </is>
      </c>
      <c r="J107" s="4" t="inlineStr">
        <is>
          <t>🔗</t>
        </is>
      </c>
      <c r="K107" s="4" t="inlineStr">
        <is>
          <t>🔗</t>
        </is>
      </c>
      <c r="L107" s="5" t="n">
        <v>225.44</v>
      </c>
      <c r="M107" s="5" t="n">
        <v>279.26</v>
      </c>
      <c r="N107" s="6" t="n">
        <v>1015.59</v>
      </c>
      <c r="O107" s="6" t="n">
        <v>1061.29</v>
      </c>
      <c r="P107" s="6" t="n">
        <v>1126.57</v>
      </c>
      <c r="Q107" s="7" t="n"/>
      <c r="R107" s="7" t="n"/>
      <c r="S107" s="8" t="n"/>
      <c r="T107" s="8" t="n"/>
      <c r="U107" s="8" t="n"/>
      <c r="V107" s="9">
        <f>MIN(IF(Q107&lt;&gt;"",Q107*3.75,L107*3.75),IF(R107&lt;&gt;"",R107*3.75,M107*3.75),IF(S107&lt;&gt;"",S107,N107),IF(T107&lt;&gt;"",T107,O107),IF(U107&lt;&gt;"",U107,P107))</f>
        <v/>
      </c>
      <c r="W107" s="10">
        <f>INDEX({"AliExpress","eBay","Amazon.sa","Noon","Jarir"},MATCH(V107,{IF(Q107&lt;&gt;"",Q107*3.75,L107*3.75),IF(R107&lt;&gt;"",R107*3.75,M107*3.75),IF(S107&lt;&gt;"",S107,N107),IF(T107&lt;&gt;"",T107,O107),IF(U107&lt;&gt;"",U107,P107)},0))</f>
        <v/>
      </c>
      <c r="X107" s="9">
        <f>F107-V107</f>
        <v/>
      </c>
      <c r="Y107" s="11">
        <f>IF(V107=0,0,(F107-V107)/V107)</f>
        <v/>
      </c>
      <c r="Z107" s="9">
        <f>CEILING(MAX(V107*1.4,IF(IF(T107&lt;&gt;"",T107,O107)=0,V107*1.5,IF(T107&lt;&gt;"",T107,O107)*0.95)),10)-1</f>
        <v/>
      </c>
      <c r="AA107" s="12">
        <f>IF(IF(T107&lt;&gt;"",T107,O107)=0,"",TEXT((Z107-IF(T107&lt;&gt;"",T107,O107))/IF(T107&lt;&gt;"",T107,O107),"+0.0%;-0.0%"))</f>
        <v/>
      </c>
      <c r="AB107" s="10">
        <f>IF(Y107&gt;0.5,"✅ PROFITABLE — keep",IF(Y107&gt;0.2,"🟡 OK — optimize",IF(Y107&gt;0,"⚠️ THIN — raise or drop","❌ LOSING MONEY")))</f>
        <v/>
      </c>
    </row>
    <row r="108">
      <c r="A108" t="inlineStr">
        <is>
          <t>—</t>
        </is>
      </c>
      <c r="B108" t="n">
        <v>107</v>
      </c>
      <c r="C108" t="inlineStr">
        <is>
          <t>NG-MKR-002</t>
        </is>
      </c>
      <c r="D108" t="inlineStr">
        <is>
          <t>Raspberry Pi 5 Ultimate Starter Kit - Everything You Need in One Box</t>
        </is>
      </c>
      <c r="E108" t="inlineStr">
        <is>
          <t>Hardware</t>
        </is>
      </c>
      <c r="F108" s="13" t="n">
        <v>1149</v>
      </c>
      <c r="G108" s="4" t="inlineStr">
        <is>
          <t>🔗</t>
        </is>
      </c>
      <c r="H108" s="4" t="inlineStr">
        <is>
          <t>🔗</t>
        </is>
      </c>
      <c r="I108" s="4" t="inlineStr">
        <is>
          <t>🔗</t>
        </is>
      </c>
      <c r="J108" s="4" t="inlineStr">
        <is>
          <t>🔗</t>
        </is>
      </c>
      <c r="K108" s="4" t="inlineStr">
        <is>
          <t>🔗</t>
        </is>
      </c>
      <c r="L108" s="5" t="n">
        <v>256.27</v>
      </c>
      <c r="M108" s="5" t="n">
        <v>291.21</v>
      </c>
      <c r="N108" s="6" t="n">
        <v>1121.28</v>
      </c>
      <c r="O108" s="6" t="n">
        <v>1097.15</v>
      </c>
      <c r="P108" s="6" t="n">
        <v>1228.18</v>
      </c>
      <c r="Q108" s="7" t="n"/>
      <c r="R108" s="7" t="n"/>
      <c r="S108" s="8" t="n"/>
      <c r="T108" s="8" t="n"/>
      <c r="U108" s="8" t="n"/>
      <c r="V108" s="9">
        <f>MIN(IF(Q108&lt;&gt;"",Q108*3.75,L108*3.75),IF(R108&lt;&gt;"",R108*3.75,M108*3.75),IF(S108&lt;&gt;"",S108,N108),IF(T108&lt;&gt;"",T108,O108),IF(U108&lt;&gt;"",U108,P108))</f>
        <v/>
      </c>
      <c r="W108" s="10">
        <f>INDEX({"AliExpress","eBay","Amazon.sa","Noon","Jarir"},MATCH(V108,{IF(Q108&lt;&gt;"",Q108*3.75,L108*3.75),IF(R108&lt;&gt;"",R108*3.75,M108*3.75),IF(S108&lt;&gt;"",S108,N108),IF(T108&lt;&gt;"",T108,O108),IF(U108&lt;&gt;"",U108,P108)},0))</f>
        <v/>
      </c>
      <c r="X108" s="9">
        <f>F108-V108</f>
        <v/>
      </c>
      <c r="Y108" s="11">
        <f>IF(V108=0,0,(F108-V108)/V108)</f>
        <v/>
      </c>
      <c r="Z108" s="9">
        <f>CEILING(MAX(V108*1.4,IF(IF(T108&lt;&gt;"",T108,O108)=0,V108*1.5,IF(T108&lt;&gt;"",T108,O108)*0.95)),10)-1</f>
        <v/>
      </c>
      <c r="AA108" s="12">
        <f>IF(IF(T108&lt;&gt;"",T108,O108)=0,"",TEXT((Z108-IF(T108&lt;&gt;"",T108,O108))/IF(T108&lt;&gt;"",T108,O108),"+0.0%;-0.0%"))</f>
        <v/>
      </c>
      <c r="AB108" s="10">
        <f>IF(Y108&gt;0.5,"✅ PROFITABLE — keep",IF(Y108&gt;0.2,"🟡 OK — optimize",IF(Y108&gt;0,"⚠️ THIN — raise or drop","❌ LOSING MONEY")))</f>
        <v/>
      </c>
    </row>
    <row r="109">
      <c r="A109" t="inlineStr">
        <is>
          <t>—</t>
        </is>
      </c>
      <c r="B109" t="n">
        <v>108</v>
      </c>
      <c r="C109" t="inlineStr">
        <is>
          <t>GM-CAP-ELG-001</t>
        </is>
      </c>
      <c r="D109" t="inlineStr">
        <is>
          <t>Elgato HD60 X Capture Card</t>
        </is>
      </c>
      <c r="E109" t="inlineStr">
        <is>
          <t>Gaming</t>
        </is>
      </c>
      <c r="F109" s="13" t="n">
        <v>1099</v>
      </c>
      <c r="G109" s="4" t="inlineStr">
        <is>
          <t>🔗</t>
        </is>
      </c>
      <c r="H109" s="4" t="inlineStr">
        <is>
          <t>🔗</t>
        </is>
      </c>
      <c r="I109" s="4" t="inlineStr">
        <is>
          <t>🔗</t>
        </is>
      </c>
      <c r="J109" s="4" t="inlineStr">
        <is>
          <t>🔗</t>
        </is>
      </c>
      <c r="K109" s="4" t="inlineStr">
        <is>
          <t>🔗</t>
        </is>
      </c>
      <c r="L109" s="5" t="n">
        <v>238.86</v>
      </c>
      <c r="M109" s="5" t="n">
        <v>241.83</v>
      </c>
      <c r="N109" s="6" t="n">
        <v>1047.6</v>
      </c>
      <c r="O109" s="6" t="n">
        <v>1142.6</v>
      </c>
      <c r="P109" s="6" t="n">
        <v>1065.45</v>
      </c>
      <c r="Q109" s="7" t="n"/>
      <c r="R109" s="7" t="n"/>
      <c r="S109" s="8" t="n"/>
      <c r="T109" s="8" t="n"/>
      <c r="U109" s="8" t="n"/>
      <c r="V109" s="9">
        <f>MIN(IF(Q109&lt;&gt;"",Q109*3.75,L109*3.75),IF(R109&lt;&gt;"",R109*3.75,M109*3.75),IF(S109&lt;&gt;"",S109,N109),IF(T109&lt;&gt;"",T109,O109),IF(U109&lt;&gt;"",U109,P109))</f>
        <v/>
      </c>
      <c r="W109" s="10">
        <f>INDEX({"AliExpress","eBay","Amazon.sa","Noon","Jarir"},MATCH(V109,{IF(Q109&lt;&gt;"",Q109*3.75,L109*3.75),IF(R109&lt;&gt;"",R109*3.75,M109*3.75),IF(S109&lt;&gt;"",S109,N109),IF(T109&lt;&gt;"",T109,O109),IF(U109&lt;&gt;"",U109,P109)},0))</f>
        <v/>
      </c>
      <c r="X109" s="9">
        <f>F109-V109</f>
        <v/>
      </c>
      <c r="Y109" s="11">
        <f>IF(V109=0,0,(F109-V109)/V109)</f>
        <v/>
      </c>
      <c r="Z109" s="9">
        <f>CEILING(MAX(V109*1.4,IF(IF(T109&lt;&gt;"",T109,O109)=0,V109*1.5,IF(T109&lt;&gt;"",T109,O109)*0.95)),10)-1</f>
        <v/>
      </c>
      <c r="AA109" s="12">
        <f>IF(IF(T109&lt;&gt;"",T109,O109)=0,"",TEXT((Z109-IF(T109&lt;&gt;"",T109,O109))/IF(T109&lt;&gt;"",T109,O109),"+0.0%;-0.0%"))</f>
        <v/>
      </c>
      <c r="AB109" s="10">
        <f>IF(Y109&gt;0.5,"✅ PROFITABLE — keep",IF(Y109&gt;0.2,"🟡 OK — optimize",IF(Y109&gt;0,"⚠️ THIN — raise or drop","❌ LOSING MONEY")))</f>
        <v/>
      </c>
    </row>
    <row r="110">
      <c r="A110" t="inlineStr">
        <is>
          <t>—</t>
        </is>
      </c>
      <c r="B110" t="n">
        <v>109</v>
      </c>
      <c r="C110" t="inlineStr">
        <is>
          <t>GM-MOU-LOG-001</t>
        </is>
      </c>
      <c r="D110" t="inlineStr">
        <is>
          <t>Logitech G Pro X Superlight 2 DEX</t>
        </is>
      </c>
      <c r="E110" t="inlineStr">
        <is>
          <t>Gaming</t>
        </is>
      </c>
      <c r="F110" s="13" t="n">
        <v>1099</v>
      </c>
      <c r="G110" s="4" t="inlineStr">
        <is>
          <t>🔗</t>
        </is>
      </c>
      <c r="H110" s="4" t="inlineStr">
        <is>
          <t>🔗</t>
        </is>
      </c>
      <c r="I110" s="4" t="inlineStr">
        <is>
          <t>🔗</t>
        </is>
      </c>
      <c r="J110" s="4" t="inlineStr">
        <is>
          <t>🔗</t>
        </is>
      </c>
      <c r="K110" s="4" t="inlineStr">
        <is>
          <t>🔗</t>
        </is>
      </c>
      <c r="L110" s="5" t="n">
        <v>241.16</v>
      </c>
      <c r="M110" s="5" t="n">
        <v>276.86</v>
      </c>
      <c r="N110" s="6" t="n">
        <v>954.35</v>
      </c>
      <c r="O110" s="6" t="n">
        <v>1015.6</v>
      </c>
      <c r="P110" s="6" t="n">
        <v>1102.33</v>
      </c>
      <c r="Q110" s="7" t="n"/>
      <c r="R110" s="7" t="n"/>
      <c r="S110" s="8" t="n"/>
      <c r="T110" s="8" t="n"/>
      <c r="U110" s="8" t="n"/>
      <c r="V110" s="9">
        <f>MIN(IF(Q110&lt;&gt;"",Q110*3.75,L110*3.75),IF(R110&lt;&gt;"",R110*3.75,M110*3.75),IF(S110&lt;&gt;"",S110,N110),IF(T110&lt;&gt;"",T110,O110),IF(U110&lt;&gt;"",U110,P110))</f>
        <v/>
      </c>
      <c r="W110" s="10">
        <f>INDEX({"AliExpress","eBay","Amazon.sa","Noon","Jarir"},MATCH(V110,{IF(Q110&lt;&gt;"",Q110*3.75,L110*3.75),IF(R110&lt;&gt;"",R110*3.75,M110*3.75),IF(S110&lt;&gt;"",S110,N110),IF(T110&lt;&gt;"",T110,O110),IF(U110&lt;&gt;"",U110,P110)},0))</f>
        <v/>
      </c>
      <c r="X110" s="9">
        <f>F110-V110</f>
        <v/>
      </c>
      <c r="Y110" s="11">
        <f>IF(V110=0,0,(F110-V110)/V110)</f>
        <v/>
      </c>
      <c r="Z110" s="9">
        <f>CEILING(MAX(V110*1.4,IF(IF(T110&lt;&gt;"",T110,O110)=0,V110*1.5,IF(T110&lt;&gt;"",T110,O110)*0.95)),10)-1</f>
        <v/>
      </c>
      <c r="AA110" s="12">
        <f>IF(IF(T110&lt;&gt;"",T110,O110)=0,"",TEXT((Z110-IF(T110&lt;&gt;"",T110,O110))/IF(T110&lt;&gt;"",T110,O110),"+0.0%;-0.0%"))</f>
        <v/>
      </c>
      <c r="AB110" s="10">
        <f>IF(Y110&gt;0.5,"✅ PROFITABLE — keep",IF(Y110&gt;0.2,"🟡 OK — optimize",IF(Y110&gt;0,"⚠️ THIN — raise or drop","❌ LOSING MONEY")))</f>
        <v/>
      </c>
    </row>
    <row r="111">
      <c r="A111" t="inlineStr">
        <is>
          <t>—</t>
        </is>
      </c>
      <c r="B111" t="n">
        <v>110</v>
      </c>
      <c r="C111" t="inlineStr">
        <is>
          <t>GM-CAP-AVR-001</t>
        </is>
      </c>
      <c r="D111" t="inlineStr">
        <is>
          <t>AVerMedia Live Gamer Ultra S</t>
        </is>
      </c>
      <c r="E111" t="inlineStr">
        <is>
          <t>Gaming</t>
        </is>
      </c>
      <c r="F111" s="13" t="n">
        <v>1049</v>
      </c>
      <c r="G111" s="4" t="inlineStr">
        <is>
          <t>🔗</t>
        </is>
      </c>
      <c r="H111" s="4" t="inlineStr">
        <is>
          <t>🔗</t>
        </is>
      </c>
      <c r="I111" s="4" t="inlineStr">
        <is>
          <t>🔗</t>
        </is>
      </c>
      <c r="J111" s="4" t="inlineStr">
        <is>
          <t>🔗</t>
        </is>
      </c>
      <c r="K111" s="4" t="inlineStr">
        <is>
          <t>🔗</t>
        </is>
      </c>
      <c r="L111" s="5" t="n">
        <v>224.23</v>
      </c>
      <c r="M111" s="5" t="n">
        <v>263.99</v>
      </c>
      <c r="N111" s="6" t="n">
        <v>962.39</v>
      </c>
      <c r="O111" s="6" t="n">
        <v>1085.09</v>
      </c>
      <c r="P111" s="6" t="n">
        <v>1010.1</v>
      </c>
      <c r="Q111" s="7" t="n"/>
      <c r="R111" s="7" t="n"/>
      <c r="S111" s="8" t="n"/>
      <c r="T111" s="8" t="n"/>
      <c r="U111" s="8" t="n"/>
      <c r="V111" s="9">
        <f>MIN(IF(Q111&lt;&gt;"",Q111*3.75,L111*3.75),IF(R111&lt;&gt;"",R111*3.75,M111*3.75),IF(S111&lt;&gt;"",S111,N111),IF(T111&lt;&gt;"",T111,O111),IF(U111&lt;&gt;"",U111,P111))</f>
        <v/>
      </c>
      <c r="W111" s="10">
        <f>INDEX({"AliExpress","eBay","Amazon.sa","Noon","Jarir"},MATCH(V111,{IF(Q111&lt;&gt;"",Q111*3.75,L111*3.75),IF(R111&lt;&gt;"",R111*3.75,M111*3.75),IF(S111&lt;&gt;"",S111,N111),IF(T111&lt;&gt;"",T111,O111),IF(U111&lt;&gt;"",U111,P111)},0))</f>
        <v/>
      </c>
      <c r="X111" s="9">
        <f>F111-V111</f>
        <v/>
      </c>
      <c r="Y111" s="11">
        <f>IF(V111=0,0,(F111-V111)/V111)</f>
        <v/>
      </c>
      <c r="Z111" s="9">
        <f>CEILING(MAX(V111*1.4,IF(IF(T111&lt;&gt;"",T111,O111)=0,V111*1.5,IF(T111&lt;&gt;"",T111,O111)*0.95)),10)-1</f>
        <v/>
      </c>
      <c r="AA111" s="12">
        <f>IF(IF(T111&lt;&gt;"",T111,O111)=0,"",TEXT((Z111-IF(T111&lt;&gt;"",T111,O111))/IF(T111&lt;&gt;"",T111,O111),"+0.0%;-0.0%"))</f>
        <v/>
      </c>
      <c r="AB111" s="10">
        <f>IF(Y111&gt;0.5,"✅ PROFITABLE — keep",IF(Y111&gt;0.2,"🟡 OK — optimize",IF(Y111&gt;0,"⚠️ THIN — raise or drop","❌ LOSING MONEY")))</f>
        <v/>
      </c>
    </row>
    <row r="112">
      <c r="A112" t="inlineStr">
        <is>
          <t>—</t>
        </is>
      </c>
      <c r="B112" t="n">
        <v>111</v>
      </c>
      <c r="C112" t="inlineStr">
        <is>
          <t>GM-MOU-RAZ-002</t>
        </is>
      </c>
      <c r="D112" t="inlineStr">
        <is>
          <t>Razer Viper V3 Pro (54g Wireless)</t>
        </is>
      </c>
      <c r="E112" t="inlineStr">
        <is>
          <t>Gaming</t>
        </is>
      </c>
      <c r="F112" s="13" t="n">
        <v>1049</v>
      </c>
      <c r="G112" s="4" t="inlineStr">
        <is>
          <t>🔗</t>
        </is>
      </c>
      <c r="H112" s="4" t="inlineStr">
        <is>
          <t>🔗</t>
        </is>
      </c>
      <c r="I112" s="4" t="inlineStr">
        <is>
          <t>🔗</t>
        </is>
      </c>
      <c r="J112" s="4" t="inlineStr">
        <is>
          <t>🔗</t>
        </is>
      </c>
      <c r="K112" s="4" t="inlineStr">
        <is>
          <t>🔗</t>
        </is>
      </c>
      <c r="L112" s="5" t="n">
        <v>224.79</v>
      </c>
      <c r="M112" s="5" t="n">
        <v>250.11</v>
      </c>
      <c r="N112" s="6" t="n">
        <v>909.8200000000001</v>
      </c>
      <c r="O112" s="6" t="n">
        <v>1094.73</v>
      </c>
      <c r="P112" s="6" t="n">
        <v>1148.18</v>
      </c>
      <c r="Q112" s="7" t="n"/>
      <c r="R112" s="7" t="n"/>
      <c r="S112" s="8" t="n"/>
      <c r="T112" s="8" t="n"/>
      <c r="U112" s="8" t="n"/>
      <c r="V112" s="9">
        <f>MIN(IF(Q112&lt;&gt;"",Q112*3.75,L112*3.75),IF(R112&lt;&gt;"",R112*3.75,M112*3.75),IF(S112&lt;&gt;"",S112,N112),IF(T112&lt;&gt;"",T112,O112),IF(U112&lt;&gt;"",U112,P112))</f>
        <v/>
      </c>
      <c r="W112" s="10">
        <f>INDEX({"AliExpress","eBay","Amazon.sa","Noon","Jarir"},MATCH(V112,{IF(Q112&lt;&gt;"",Q112*3.75,L112*3.75),IF(R112&lt;&gt;"",R112*3.75,M112*3.75),IF(S112&lt;&gt;"",S112,N112),IF(T112&lt;&gt;"",T112,O112),IF(U112&lt;&gt;"",U112,P112)},0))</f>
        <v/>
      </c>
      <c r="X112" s="9">
        <f>F112-V112</f>
        <v/>
      </c>
      <c r="Y112" s="11">
        <f>IF(V112=0,0,(F112-V112)/V112)</f>
        <v/>
      </c>
      <c r="Z112" s="9">
        <f>CEILING(MAX(V112*1.4,IF(IF(T112&lt;&gt;"",T112,O112)=0,V112*1.5,IF(T112&lt;&gt;"",T112,O112)*0.95)),10)-1</f>
        <v/>
      </c>
      <c r="AA112" s="12">
        <f>IF(IF(T112&lt;&gt;"",T112,O112)=0,"",TEXT((Z112-IF(T112&lt;&gt;"",T112,O112))/IF(T112&lt;&gt;"",T112,O112),"+0.0%;-0.0%"))</f>
        <v/>
      </c>
      <c r="AB112" s="10">
        <f>IF(Y112&gt;0.5,"✅ PROFITABLE — keep",IF(Y112&gt;0.2,"🟡 OK — optimize",IF(Y112&gt;0,"⚠️ THIN — raise or drop","❌ LOSING MONEY")))</f>
        <v/>
      </c>
    </row>
    <row r="113">
      <c r="A113" t="inlineStr">
        <is>
          <t>—</t>
        </is>
      </c>
      <c r="B113" t="n">
        <v>112</v>
      </c>
      <c r="C113" t="inlineStr">
        <is>
          <t>NG-3DP-007</t>
        </is>
      </c>
      <c r="D113" t="inlineStr">
        <is>
          <t>Creality Sonic Pad - Klipper Tablet to Supercharge Your 3D Printer</t>
        </is>
      </c>
      <c r="E113" t="inlineStr">
        <is>
          <t>3D Printing &amp;amp; CNC</t>
        </is>
      </c>
      <c r="F113" s="13" t="n">
        <v>1049</v>
      </c>
      <c r="G113" s="4" t="inlineStr">
        <is>
          <t>🔗</t>
        </is>
      </c>
      <c r="H113" s="4" t="inlineStr">
        <is>
          <t>🔗</t>
        </is>
      </c>
      <c r="I113" s="4" t="inlineStr">
        <is>
          <t>🔗</t>
        </is>
      </c>
      <c r="J113" s="4" t="inlineStr">
        <is>
          <t>🔗</t>
        </is>
      </c>
      <c r="K113" s="4" t="inlineStr">
        <is>
          <t>🔗</t>
        </is>
      </c>
      <c r="L113" s="5" t="n">
        <v>187.45</v>
      </c>
      <c r="M113" s="5" t="n">
        <v>188.6</v>
      </c>
      <c r="N113" s="6" t="n">
        <v>1045.95</v>
      </c>
      <c r="O113" s="6" t="n">
        <v>1129.28</v>
      </c>
      <c r="P113" s="6" t="n">
        <v>1100.86</v>
      </c>
      <c r="Q113" s="7" t="n"/>
      <c r="R113" s="7" t="n"/>
      <c r="S113" s="8" t="n"/>
      <c r="T113" s="8" t="n"/>
      <c r="U113" s="8" t="n"/>
      <c r="V113" s="9">
        <f>MIN(IF(Q113&lt;&gt;"",Q113*3.75,L113*3.75),IF(R113&lt;&gt;"",R113*3.75,M113*3.75),IF(S113&lt;&gt;"",S113,N113),IF(T113&lt;&gt;"",T113,O113),IF(U113&lt;&gt;"",U113,P113))</f>
        <v/>
      </c>
      <c r="W113" s="10">
        <f>INDEX({"AliExpress","eBay","Amazon.sa","Noon","Jarir"},MATCH(V113,{IF(Q113&lt;&gt;"",Q113*3.75,L113*3.75),IF(R113&lt;&gt;"",R113*3.75,M113*3.75),IF(S113&lt;&gt;"",S113,N113),IF(T113&lt;&gt;"",T113,O113),IF(U113&lt;&gt;"",U113,P113)},0))</f>
        <v/>
      </c>
      <c r="X113" s="9">
        <f>F113-V113</f>
        <v/>
      </c>
      <c r="Y113" s="11">
        <f>IF(V113=0,0,(F113-V113)/V113)</f>
        <v/>
      </c>
      <c r="Z113" s="9">
        <f>CEILING(MAX(V113*1.4,IF(IF(T113&lt;&gt;"",T113,O113)=0,V113*1.5,IF(T113&lt;&gt;"",T113,O113)*0.95)),10)-1</f>
        <v/>
      </c>
      <c r="AA113" s="12">
        <f>IF(IF(T113&lt;&gt;"",T113,O113)=0,"",TEXT((Z113-IF(T113&lt;&gt;"",T113,O113))/IF(T113&lt;&gt;"",T113,O113),"+0.0%;-0.0%"))</f>
        <v/>
      </c>
      <c r="AB113" s="10">
        <f>IF(Y113&gt;0.5,"✅ PROFITABLE — keep",IF(Y113&gt;0.2,"🟡 OK — optimize",IF(Y113&gt;0,"⚠️ THIN — raise or drop","❌ LOSING MONEY")))</f>
        <v/>
      </c>
    </row>
    <row r="114">
      <c r="A114" t="inlineStr">
        <is>
          <t>—</t>
        </is>
      </c>
      <c r="B114" t="n">
        <v>113</v>
      </c>
      <c r="C114" t="inlineStr">
        <is>
          <t>GM-HST-RAZ-001</t>
        </is>
      </c>
      <c r="D114" t="inlineStr">
        <is>
          <t>Razer BlackShark V2 Pro 2023</t>
        </is>
      </c>
      <c r="E114" t="inlineStr">
        <is>
          <t>Gaming</t>
        </is>
      </c>
      <c r="F114" s="13" t="n">
        <v>999</v>
      </c>
      <c r="G114" s="4" t="inlineStr">
        <is>
          <t>🔗</t>
        </is>
      </c>
      <c r="H114" s="4" t="inlineStr">
        <is>
          <t>🔗</t>
        </is>
      </c>
      <c r="I114" s="4" t="inlineStr">
        <is>
          <t>🔗</t>
        </is>
      </c>
      <c r="J114" s="4" t="inlineStr">
        <is>
          <t>🔗</t>
        </is>
      </c>
      <c r="K114" s="4" t="inlineStr">
        <is>
          <t>🔗</t>
        </is>
      </c>
      <c r="L114" s="5" t="n">
        <v>203.6</v>
      </c>
      <c r="M114" s="5" t="n">
        <v>227.93</v>
      </c>
      <c r="N114" s="6" t="n">
        <v>935.08</v>
      </c>
      <c r="O114" s="6" t="n">
        <v>973.62</v>
      </c>
      <c r="P114" s="6" t="n">
        <v>1093.33</v>
      </c>
      <c r="Q114" s="7" t="n"/>
      <c r="R114" s="7" t="n"/>
      <c r="S114" s="8" t="n"/>
      <c r="T114" s="8" t="n"/>
      <c r="U114" s="8" t="n"/>
      <c r="V114" s="9">
        <f>MIN(IF(Q114&lt;&gt;"",Q114*3.75,L114*3.75),IF(R114&lt;&gt;"",R114*3.75,M114*3.75),IF(S114&lt;&gt;"",S114,N114),IF(T114&lt;&gt;"",T114,O114),IF(U114&lt;&gt;"",U114,P114))</f>
        <v/>
      </c>
      <c r="W114" s="10">
        <f>INDEX({"AliExpress","eBay","Amazon.sa","Noon","Jarir"},MATCH(V114,{IF(Q114&lt;&gt;"",Q114*3.75,L114*3.75),IF(R114&lt;&gt;"",R114*3.75,M114*3.75),IF(S114&lt;&gt;"",S114,N114),IF(T114&lt;&gt;"",T114,O114),IF(U114&lt;&gt;"",U114,P114)},0))</f>
        <v/>
      </c>
      <c r="X114" s="9">
        <f>F114-V114</f>
        <v/>
      </c>
      <c r="Y114" s="11">
        <f>IF(V114=0,0,(F114-V114)/V114)</f>
        <v/>
      </c>
      <c r="Z114" s="9">
        <f>CEILING(MAX(V114*1.4,IF(IF(T114&lt;&gt;"",T114,O114)=0,V114*1.5,IF(T114&lt;&gt;"",T114,O114)*0.95)),10)-1</f>
        <v/>
      </c>
      <c r="AA114" s="12">
        <f>IF(IF(T114&lt;&gt;"",T114,O114)=0,"",TEXT((Z114-IF(T114&lt;&gt;"",T114,O114))/IF(T114&lt;&gt;"",T114,O114),"+0.0%;-0.0%"))</f>
        <v/>
      </c>
      <c r="AB114" s="10">
        <f>IF(Y114&gt;0.5,"✅ PROFITABLE — keep",IF(Y114&gt;0.2,"🟡 OK — optimize",IF(Y114&gt;0,"⚠️ THIN — raise or drop","❌ LOSING MONEY")))</f>
        <v/>
      </c>
    </row>
    <row r="115">
      <c r="A115" t="inlineStr">
        <is>
          <t>—</t>
        </is>
      </c>
      <c r="B115" t="n">
        <v>114</v>
      </c>
      <c r="C115" t="inlineStr">
        <is>
          <t>GM-KBD-KEY-001</t>
        </is>
      </c>
      <c r="D115" t="inlineStr">
        <is>
          <t>Keychron K10 HE (Arabic Layout)</t>
        </is>
      </c>
      <c r="E115" t="inlineStr">
        <is>
          <t>Gaming</t>
        </is>
      </c>
      <c r="F115" s="13" t="n">
        <v>999</v>
      </c>
      <c r="G115" s="4" t="inlineStr">
        <is>
          <t>🔗</t>
        </is>
      </c>
      <c r="H115" s="4" t="inlineStr">
        <is>
          <t>🔗</t>
        </is>
      </c>
      <c r="I115" s="4" t="inlineStr">
        <is>
          <t>🔗</t>
        </is>
      </c>
      <c r="J115" s="4" t="inlineStr">
        <is>
          <t>🔗</t>
        </is>
      </c>
      <c r="K115" s="4" t="inlineStr">
        <is>
          <t>🔗</t>
        </is>
      </c>
      <c r="L115" s="5" t="n">
        <v>219.34</v>
      </c>
      <c r="M115" s="5" t="n">
        <v>217.34</v>
      </c>
      <c r="N115" s="6" t="n">
        <v>1012.32</v>
      </c>
      <c r="O115" s="6" t="n">
        <v>1020.67</v>
      </c>
      <c r="P115" s="6" t="n">
        <v>1089.79</v>
      </c>
      <c r="Q115" s="7" t="n"/>
      <c r="R115" s="7" t="n"/>
      <c r="S115" s="8" t="n"/>
      <c r="T115" s="8" t="n"/>
      <c r="U115" s="8" t="n"/>
      <c r="V115" s="9">
        <f>MIN(IF(Q115&lt;&gt;"",Q115*3.75,L115*3.75),IF(R115&lt;&gt;"",R115*3.75,M115*3.75),IF(S115&lt;&gt;"",S115,N115),IF(T115&lt;&gt;"",T115,O115),IF(U115&lt;&gt;"",U115,P115))</f>
        <v/>
      </c>
      <c r="W115" s="10">
        <f>INDEX({"AliExpress","eBay","Amazon.sa","Noon","Jarir"},MATCH(V115,{IF(Q115&lt;&gt;"",Q115*3.75,L115*3.75),IF(R115&lt;&gt;"",R115*3.75,M115*3.75),IF(S115&lt;&gt;"",S115,N115),IF(T115&lt;&gt;"",T115,O115),IF(U115&lt;&gt;"",U115,P115)},0))</f>
        <v/>
      </c>
      <c r="X115" s="9">
        <f>F115-V115</f>
        <v/>
      </c>
      <c r="Y115" s="11">
        <f>IF(V115=0,0,(F115-V115)/V115)</f>
        <v/>
      </c>
      <c r="Z115" s="9">
        <f>CEILING(MAX(V115*1.4,IF(IF(T115&lt;&gt;"",T115,O115)=0,V115*1.5,IF(T115&lt;&gt;"",T115,O115)*0.95)),10)-1</f>
        <v/>
      </c>
      <c r="AA115" s="12">
        <f>IF(IF(T115&lt;&gt;"",T115,O115)=0,"",TEXT((Z115-IF(T115&lt;&gt;"",T115,O115))/IF(T115&lt;&gt;"",T115,O115),"+0.0%;-0.0%"))</f>
        <v/>
      </c>
      <c r="AB115" s="10">
        <f>IF(Y115&gt;0.5,"✅ PROFITABLE — keep",IF(Y115&gt;0.2,"🟡 OK — optimize",IF(Y115&gt;0,"⚠️ THIN — raise or drop","❌ LOSING MONEY")))</f>
        <v/>
      </c>
    </row>
    <row r="116">
      <c r="A116" t="inlineStr">
        <is>
          <t>—</t>
        </is>
      </c>
      <c r="B116" t="n">
        <v>115</v>
      </c>
      <c r="C116" t="inlineStr">
        <is>
          <t>NT-MPC-BLK-002</t>
        </is>
      </c>
      <c r="D116" t="inlineStr">
        <is>
          <t>Beelink EQ12 (Intel N100)</t>
        </is>
      </c>
      <c r="E116" t="inlineStr">
        <is>
          <t>Homelab</t>
        </is>
      </c>
      <c r="F116" s="13" t="n">
        <v>999</v>
      </c>
      <c r="G116" s="4" t="inlineStr">
        <is>
          <t>🔗</t>
        </is>
      </c>
      <c r="H116" s="4" t="inlineStr">
        <is>
          <t>🔗</t>
        </is>
      </c>
      <c r="I116" s="4" t="inlineStr">
        <is>
          <t>🔗</t>
        </is>
      </c>
      <c r="J116" s="4" t="inlineStr">
        <is>
          <t>🔗</t>
        </is>
      </c>
      <c r="K116" s="4" t="inlineStr">
        <is>
          <t>🔗</t>
        </is>
      </c>
      <c r="L116" s="5" t="n">
        <v>178.55</v>
      </c>
      <c r="M116" s="5" t="n">
        <v>192.88</v>
      </c>
      <c r="N116" s="6" t="n">
        <v>903.84</v>
      </c>
      <c r="O116" s="6" t="n">
        <v>1091.31</v>
      </c>
      <c r="P116" s="6" t="n">
        <v>981.14</v>
      </c>
      <c r="Q116" s="7" t="n"/>
      <c r="R116" s="7" t="n"/>
      <c r="S116" s="8" t="n"/>
      <c r="T116" s="8" t="n"/>
      <c r="U116" s="8" t="n"/>
      <c r="V116" s="9">
        <f>MIN(IF(Q116&lt;&gt;"",Q116*3.75,L116*3.75),IF(R116&lt;&gt;"",R116*3.75,M116*3.75),IF(S116&lt;&gt;"",S116,N116),IF(T116&lt;&gt;"",T116,O116),IF(U116&lt;&gt;"",U116,P116))</f>
        <v/>
      </c>
      <c r="W116" s="10">
        <f>INDEX({"AliExpress","eBay","Amazon.sa","Noon","Jarir"},MATCH(V116,{IF(Q116&lt;&gt;"",Q116*3.75,L116*3.75),IF(R116&lt;&gt;"",R116*3.75,M116*3.75),IF(S116&lt;&gt;"",S116,N116),IF(T116&lt;&gt;"",T116,O116),IF(U116&lt;&gt;"",U116,P116)},0))</f>
        <v/>
      </c>
      <c r="X116" s="9">
        <f>F116-V116</f>
        <v/>
      </c>
      <c r="Y116" s="11">
        <f>IF(V116=0,0,(F116-V116)/V116)</f>
        <v/>
      </c>
      <c r="Z116" s="9">
        <f>CEILING(MAX(V116*1.4,IF(IF(T116&lt;&gt;"",T116,O116)=0,V116*1.5,IF(T116&lt;&gt;"",T116,O116)*0.95)),10)-1</f>
        <v/>
      </c>
      <c r="AA116" s="12">
        <f>IF(IF(T116&lt;&gt;"",T116,O116)=0,"",TEXT((Z116-IF(T116&lt;&gt;"",T116,O116))/IF(T116&lt;&gt;"",T116,O116),"+0.0%;-0.0%"))</f>
        <v/>
      </c>
      <c r="AB116" s="10">
        <f>IF(Y116&gt;0.5,"✅ PROFITABLE — keep",IF(Y116&gt;0.2,"🟡 OK — optimize",IF(Y116&gt;0,"⚠️ THIN — raise or drop","❌ LOSING MONEY")))</f>
        <v/>
      </c>
    </row>
    <row r="117">
      <c r="A117" t="inlineStr">
        <is>
          <t>—</t>
        </is>
      </c>
      <c r="B117" t="n">
        <v>116</v>
      </c>
      <c r="C117" t="inlineStr">
        <is>
          <t>NT-WAP-UBQ-001</t>
        </is>
      </c>
      <c r="D117" t="inlineStr">
        <is>
          <t>Ubiquiti UniFi U6 Pro</t>
        </is>
      </c>
      <c r="E117" t="inlineStr">
        <is>
          <t>Networking</t>
        </is>
      </c>
      <c r="F117" s="13" t="n">
        <v>999</v>
      </c>
      <c r="G117" s="4" t="inlineStr">
        <is>
          <t>🔗</t>
        </is>
      </c>
      <c r="H117" s="4" t="inlineStr">
        <is>
          <t>🔗</t>
        </is>
      </c>
      <c r="I117" s="4" t="inlineStr">
        <is>
          <t>🔗</t>
        </is>
      </c>
      <c r="J117" s="4" t="inlineStr">
        <is>
          <t>🔗</t>
        </is>
      </c>
      <c r="K117" s="4" t="inlineStr">
        <is>
          <t>🔗</t>
        </is>
      </c>
      <c r="L117" s="5" t="n">
        <v>198.59</v>
      </c>
      <c r="M117" s="5" t="n">
        <v>224.17</v>
      </c>
      <c r="N117" s="6" t="n">
        <v>931.26</v>
      </c>
      <c r="O117" s="6" t="n">
        <v>997.41</v>
      </c>
      <c r="P117" s="6" t="n">
        <v>1095.11</v>
      </c>
      <c r="Q117" s="7" t="n"/>
      <c r="R117" s="7" t="n"/>
      <c r="S117" s="8" t="n"/>
      <c r="T117" s="8" t="n"/>
      <c r="U117" s="8" t="n"/>
      <c r="V117" s="9">
        <f>MIN(IF(Q117&lt;&gt;"",Q117*3.75,L117*3.75),IF(R117&lt;&gt;"",R117*3.75,M117*3.75),IF(S117&lt;&gt;"",S117,N117),IF(T117&lt;&gt;"",T117,O117),IF(U117&lt;&gt;"",U117,P117))</f>
        <v/>
      </c>
      <c r="W117" s="10">
        <f>INDEX({"AliExpress","eBay","Amazon.sa","Noon","Jarir"},MATCH(V117,{IF(Q117&lt;&gt;"",Q117*3.75,L117*3.75),IF(R117&lt;&gt;"",R117*3.75,M117*3.75),IF(S117&lt;&gt;"",S117,N117),IF(T117&lt;&gt;"",T117,O117),IF(U117&lt;&gt;"",U117,P117)},0))</f>
        <v/>
      </c>
      <c r="X117" s="9">
        <f>F117-V117</f>
        <v/>
      </c>
      <c r="Y117" s="11">
        <f>IF(V117=0,0,(F117-V117)/V117)</f>
        <v/>
      </c>
      <c r="Z117" s="9">
        <f>CEILING(MAX(V117*1.4,IF(IF(T117&lt;&gt;"",T117,O117)=0,V117*1.5,IF(T117&lt;&gt;"",T117,O117)*0.95)),10)-1</f>
        <v/>
      </c>
      <c r="AA117" s="12">
        <f>IF(IF(T117&lt;&gt;"",T117,O117)=0,"",TEXT((Z117-IF(T117&lt;&gt;"",T117,O117))/IF(T117&lt;&gt;"",T117,O117),"+0.0%;-0.0%"))</f>
        <v/>
      </c>
      <c r="AB117" s="10">
        <f>IF(Y117&gt;0.5,"✅ PROFITABLE — keep",IF(Y117&gt;0.2,"🟡 OK — optimize",IF(Y117&gt;0,"⚠️ THIN — raise or drop","❌ LOSING MONEY")))</f>
        <v/>
      </c>
    </row>
    <row r="118">
      <c r="A118" t="inlineStr">
        <is>
          <t>—</t>
        </is>
      </c>
      <c r="B118" t="n">
        <v>117</v>
      </c>
      <c r="C118" t="inlineStr">
        <is>
          <t>NT-NET-MKT-001</t>
        </is>
      </c>
      <c r="D118" t="inlineStr">
        <is>
          <t>MikroTik CRS305-1G-4S+IN</t>
        </is>
      </c>
      <c r="E118" t="inlineStr">
        <is>
          <t>Networking</t>
        </is>
      </c>
      <c r="F118" s="13" t="n">
        <v>999</v>
      </c>
      <c r="G118" s="4" t="inlineStr">
        <is>
          <t>🔗</t>
        </is>
      </c>
      <c r="H118" s="4" t="inlineStr">
        <is>
          <t>🔗</t>
        </is>
      </c>
      <c r="I118" s="4" t="inlineStr">
        <is>
          <t>🔗</t>
        </is>
      </c>
      <c r="J118" s="4" t="inlineStr">
        <is>
          <t>🔗</t>
        </is>
      </c>
      <c r="K118" s="4" t="inlineStr">
        <is>
          <t>🔗</t>
        </is>
      </c>
      <c r="L118" s="5" t="n">
        <v>172.71</v>
      </c>
      <c r="M118" s="5" t="n">
        <v>238.37</v>
      </c>
      <c r="N118" s="6" t="n">
        <v>990.23</v>
      </c>
      <c r="O118" s="6" t="n">
        <v>934.66</v>
      </c>
      <c r="P118" s="6" t="n">
        <v>1125.2</v>
      </c>
      <c r="Q118" s="7" t="n"/>
      <c r="R118" s="7" t="n"/>
      <c r="S118" s="8" t="n"/>
      <c r="T118" s="8" t="n"/>
      <c r="U118" s="8" t="n"/>
      <c r="V118" s="9">
        <f>MIN(IF(Q118&lt;&gt;"",Q118*3.75,L118*3.75),IF(R118&lt;&gt;"",R118*3.75,M118*3.75),IF(S118&lt;&gt;"",S118,N118),IF(T118&lt;&gt;"",T118,O118),IF(U118&lt;&gt;"",U118,P118))</f>
        <v/>
      </c>
      <c r="W118" s="10">
        <f>INDEX({"AliExpress","eBay","Amazon.sa","Noon","Jarir"},MATCH(V118,{IF(Q118&lt;&gt;"",Q118*3.75,L118*3.75),IF(R118&lt;&gt;"",R118*3.75,M118*3.75),IF(S118&lt;&gt;"",S118,N118),IF(T118&lt;&gt;"",T118,O118),IF(U118&lt;&gt;"",U118,P118)},0))</f>
        <v/>
      </c>
      <c r="X118" s="9">
        <f>F118-V118</f>
        <v/>
      </c>
      <c r="Y118" s="11">
        <f>IF(V118=0,0,(F118-V118)/V118)</f>
        <v/>
      </c>
      <c r="Z118" s="9">
        <f>CEILING(MAX(V118*1.4,IF(IF(T118&lt;&gt;"",T118,O118)=0,V118*1.5,IF(T118&lt;&gt;"",T118,O118)*0.95)),10)-1</f>
        <v/>
      </c>
      <c r="AA118" s="12">
        <f>IF(IF(T118&lt;&gt;"",T118,O118)=0,"",TEXT((Z118-IF(T118&lt;&gt;"",T118,O118))/IF(T118&lt;&gt;"",T118,O118),"+0.0%;-0.0%"))</f>
        <v/>
      </c>
      <c r="AB118" s="10">
        <f>IF(Y118&gt;0.5,"✅ PROFITABLE — keep",IF(Y118&gt;0.2,"🟡 OK — optimize",IF(Y118&gt;0,"⚠️ THIN — raise or drop","❌ LOSING MONEY")))</f>
        <v/>
      </c>
    </row>
    <row r="119">
      <c r="A119" t="inlineStr">
        <is>
          <t>—</t>
        </is>
      </c>
      <c r="B119" t="n">
        <v>118</v>
      </c>
      <c r="C119" t="inlineStr">
        <is>
          <t>SH-VDB-EUFY-001</t>
        </is>
      </c>
      <c r="D119" t="inlineStr">
        <is>
          <t>Eufy Video Doorbell E340 (Dual Camera)</t>
        </is>
      </c>
      <c r="E119" t="inlineStr">
        <is>
          <t>Smart Home &amp;amp; IoT</t>
        </is>
      </c>
      <c r="F119" s="13" t="n">
        <v>999</v>
      </c>
      <c r="G119" s="4" t="inlineStr">
        <is>
          <t>🔗</t>
        </is>
      </c>
      <c r="H119" s="4" t="inlineStr">
        <is>
          <t>🔗</t>
        </is>
      </c>
      <c r="I119" s="4" t="inlineStr">
        <is>
          <t>🔗</t>
        </is>
      </c>
      <c r="J119" s="4" t="inlineStr">
        <is>
          <t>🔗</t>
        </is>
      </c>
      <c r="K119" s="4" t="inlineStr">
        <is>
          <t>🔗</t>
        </is>
      </c>
      <c r="L119" s="5" t="n">
        <v>106.23</v>
      </c>
      <c r="M119" s="5" t="n">
        <v>174.99</v>
      </c>
      <c r="N119" s="6" t="n">
        <v>851.73</v>
      </c>
      <c r="O119" s="6" t="n">
        <v>893.85</v>
      </c>
      <c r="P119" s="6" t="n">
        <v>886.86</v>
      </c>
      <c r="Q119" s="7" t="n"/>
      <c r="R119" s="7" t="n"/>
      <c r="S119" s="8" t="n"/>
      <c r="T119" s="8" t="n"/>
      <c r="U119" s="8" t="n"/>
      <c r="V119" s="9">
        <f>MIN(IF(Q119&lt;&gt;"",Q119*3.75,L119*3.75),IF(R119&lt;&gt;"",R119*3.75,M119*3.75),IF(S119&lt;&gt;"",S119,N119),IF(T119&lt;&gt;"",T119,O119),IF(U119&lt;&gt;"",U119,P119))</f>
        <v/>
      </c>
      <c r="W119" s="10">
        <f>INDEX({"AliExpress","eBay","Amazon.sa","Noon","Jarir"},MATCH(V119,{IF(Q119&lt;&gt;"",Q119*3.75,L119*3.75),IF(R119&lt;&gt;"",R119*3.75,M119*3.75),IF(S119&lt;&gt;"",S119,N119),IF(T119&lt;&gt;"",T119,O119),IF(U119&lt;&gt;"",U119,P119)},0))</f>
        <v/>
      </c>
      <c r="X119" s="9">
        <f>F119-V119</f>
        <v/>
      </c>
      <c r="Y119" s="11">
        <f>IF(V119=0,0,(F119-V119)/V119)</f>
        <v/>
      </c>
      <c r="Z119" s="9">
        <f>CEILING(MAX(V119*1.4,IF(IF(T119&lt;&gt;"",T119,O119)=0,V119*1.5,IF(T119&lt;&gt;"",T119,O119)*0.95)),10)-1</f>
        <v/>
      </c>
      <c r="AA119" s="12">
        <f>IF(IF(T119&lt;&gt;"",T119,O119)=0,"",TEXT((Z119-IF(T119&lt;&gt;"",T119,O119))/IF(T119&lt;&gt;"",T119,O119),"+0.0%;-0.0%"))</f>
        <v/>
      </c>
      <c r="AB119" s="10">
        <f>IF(Y119&gt;0.5,"✅ PROFITABLE — keep",IF(Y119&gt;0.2,"🟡 OK — optimize",IF(Y119&gt;0,"⚠️ THIN — raise or drop","❌ LOSING MONEY")))</f>
        <v/>
      </c>
    </row>
    <row r="120">
      <c r="A120" t="inlineStr">
        <is>
          <t>—</t>
        </is>
      </c>
      <c r="B120" t="n">
        <v>119</v>
      </c>
      <c r="C120" t="inlineStr">
        <is>
          <t>SH-VDB-RING-001</t>
        </is>
      </c>
      <c r="D120" t="inlineStr">
        <is>
          <t>Ring Battery Doorbell Plus</t>
        </is>
      </c>
      <c r="E120" t="inlineStr">
        <is>
          <t>Smart Home &amp;amp; IoT</t>
        </is>
      </c>
      <c r="F120" s="13" t="n">
        <v>999</v>
      </c>
      <c r="G120" s="4" t="inlineStr">
        <is>
          <t>🔗</t>
        </is>
      </c>
      <c r="H120" s="4" t="inlineStr">
        <is>
          <t>🔗</t>
        </is>
      </c>
      <c r="I120" s="4" t="inlineStr">
        <is>
          <t>🔗</t>
        </is>
      </c>
      <c r="J120" s="4" t="inlineStr">
        <is>
          <t>🔗</t>
        </is>
      </c>
      <c r="K120" s="4" t="inlineStr">
        <is>
          <t>🔗</t>
        </is>
      </c>
      <c r="L120" s="5" t="n">
        <v>138.58</v>
      </c>
      <c r="M120" s="5" t="n">
        <v>157.66</v>
      </c>
      <c r="N120" s="6" t="n">
        <v>752.28</v>
      </c>
      <c r="O120" s="6" t="n">
        <v>998.46</v>
      </c>
      <c r="P120" s="6" t="n">
        <v>970.92</v>
      </c>
      <c r="Q120" s="7" t="n"/>
      <c r="R120" s="7" t="n"/>
      <c r="S120" s="8" t="n"/>
      <c r="T120" s="8" t="n"/>
      <c r="U120" s="8" t="n"/>
      <c r="V120" s="9">
        <f>MIN(IF(Q120&lt;&gt;"",Q120*3.75,L120*3.75),IF(R120&lt;&gt;"",R120*3.75,M120*3.75),IF(S120&lt;&gt;"",S120,N120),IF(T120&lt;&gt;"",T120,O120),IF(U120&lt;&gt;"",U120,P120))</f>
        <v/>
      </c>
      <c r="W120" s="10">
        <f>INDEX({"AliExpress","eBay","Amazon.sa","Noon","Jarir"},MATCH(V120,{IF(Q120&lt;&gt;"",Q120*3.75,L120*3.75),IF(R120&lt;&gt;"",R120*3.75,M120*3.75),IF(S120&lt;&gt;"",S120,N120),IF(T120&lt;&gt;"",T120,O120),IF(U120&lt;&gt;"",U120,P120)},0))</f>
        <v/>
      </c>
      <c r="X120" s="9">
        <f>F120-V120</f>
        <v/>
      </c>
      <c r="Y120" s="11">
        <f>IF(V120=0,0,(F120-V120)/V120)</f>
        <v/>
      </c>
      <c r="Z120" s="9">
        <f>CEILING(MAX(V120*1.4,IF(IF(T120&lt;&gt;"",T120,O120)=0,V120*1.5,IF(T120&lt;&gt;"",T120,O120)*0.95)),10)-1</f>
        <v/>
      </c>
      <c r="AA120" s="12">
        <f>IF(IF(T120&lt;&gt;"",T120,O120)=0,"",TEXT((Z120-IF(T120&lt;&gt;"",T120,O120))/IF(T120&lt;&gt;"",T120,O120),"+0.0%;-0.0%"))</f>
        <v/>
      </c>
      <c r="AB120" s="10">
        <f>IF(Y120&gt;0.5,"✅ PROFITABLE — keep",IF(Y120&gt;0.2,"🟡 OK — optimize",IF(Y120&gt;0,"⚠️ THIN — raise or drop","❌ LOSING MONEY")))</f>
        <v/>
      </c>
    </row>
    <row r="121">
      <c r="A121" t="inlineStr">
        <is>
          <t>—</t>
        </is>
      </c>
      <c r="B121" t="n">
        <v>120</v>
      </c>
      <c r="C121" t="inlineStr">
        <is>
          <t>SH-DSP-AMZN-001</t>
        </is>
      </c>
      <c r="D121" t="inlineStr">
        <is>
          <t>Amazon Echo Show 8 (3rd Gen)</t>
        </is>
      </c>
      <c r="E121" t="inlineStr">
        <is>
          <t>Smart Home &amp;amp; IoT</t>
        </is>
      </c>
      <c r="F121" s="13" t="n">
        <v>999</v>
      </c>
      <c r="G121" s="4" t="inlineStr">
        <is>
          <t>🔗</t>
        </is>
      </c>
      <c r="H121" s="4" t="inlineStr">
        <is>
          <t>🔗</t>
        </is>
      </c>
      <c r="I121" s="4" t="inlineStr">
        <is>
          <t>🔗</t>
        </is>
      </c>
      <c r="J121" s="4" t="inlineStr">
        <is>
          <t>🔗</t>
        </is>
      </c>
      <c r="K121" s="4" t="inlineStr">
        <is>
          <t>🔗</t>
        </is>
      </c>
      <c r="L121" s="5" t="n">
        <v>140.14</v>
      </c>
      <c r="M121" s="5" t="n">
        <v>189.48</v>
      </c>
      <c r="N121" s="6" t="n">
        <v>768.3</v>
      </c>
      <c r="O121" s="6" t="n">
        <v>801.74</v>
      </c>
      <c r="P121" s="6" t="n">
        <v>1134.84</v>
      </c>
      <c r="Q121" s="7" t="n"/>
      <c r="R121" s="7" t="n"/>
      <c r="S121" s="8" t="n"/>
      <c r="T121" s="8" t="n"/>
      <c r="U121" s="8" t="n"/>
      <c r="V121" s="9">
        <f>MIN(IF(Q121&lt;&gt;"",Q121*3.75,L121*3.75),IF(R121&lt;&gt;"",R121*3.75,M121*3.75),IF(S121&lt;&gt;"",S121,N121),IF(T121&lt;&gt;"",T121,O121),IF(U121&lt;&gt;"",U121,P121))</f>
        <v/>
      </c>
      <c r="W121" s="10">
        <f>INDEX({"AliExpress","eBay","Amazon.sa","Noon","Jarir"},MATCH(V121,{IF(Q121&lt;&gt;"",Q121*3.75,L121*3.75),IF(R121&lt;&gt;"",R121*3.75,M121*3.75),IF(S121&lt;&gt;"",S121,N121),IF(T121&lt;&gt;"",T121,O121),IF(U121&lt;&gt;"",U121,P121)},0))</f>
        <v/>
      </c>
      <c r="X121" s="9">
        <f>F121-V121</f>
        <v/>
      </c>
      <c r="Y121" s="11">
        <f>IF(V121=0,0,(F121-V121)/V121)</f>
        <v/>
      </c>
      <c r="Z121" s="9">
        <f>CEILING(MAX(V121*1.4,IF(IF(T121&lt;&gt;"",T121,O121)=0,V121*1.5,IF(T121&lt;&gt;"",T121,O121)*0.95)),10)-1</f>
        <v/>
      </c>
      <c r="AA121" s="12">
        <f>IF(IF(T121&lt;&gt;"",T121,O121)=0,"",TEXT((Z121-IF(T121&lt;&gt;"",T121,O121))/IF(T121&lt;&gt;"",T121,O121),"+0.0%;-0.0%"))</f>
        <v/>
      </c>
      <c r="AB121" s="10">
        <f>IF(Y121&gt;0.5,"✅ PROFITABLE — keep",IF(Y121&gt;0.2,"🟡 OK — optimize",IF(Y121&gt;0,"⚠️ THIN — raise or drop","❌ LOSING MONEY")))</f>
        <v/>
      </c>
    </row>
    <row r="122">
      <c r="A122" t="inlineStr">
        <is>
          <t>—</t>
        </is>
      </c>
      <c r="B122" t="n">
        <v>121</v>
      </c>
      <c r="C122" t="inlineStr">
        <is>
          <t>NG-GAM-009</t>
        </is>
      </c>
      <c r="D122" t="inlineStr">
        <is>
          <t>Corsair K70 RGB Pro - Legendary Mechanical Gaming Keyboard</t>
        </is>
      </c>
      <c r="E122" t="inlineStr">
        <is>
          <t>Gaming</t>
        </is>
      </c>
      <c r="F122" s="13" t="n">
        <v>999</v>
      </c>
      <c r="G122" s="4" t="inlineStr">
        <is>
          <t>🔗</t>
        </is>
      </c>
      <c r="H122" s="4" t="inlineStr">
        <is>
          <t>🔗</t>
        </is>
      </c>
      <c r="I122" s="4" t="inlineStr">
        <is>
          <t>🔗</t>
        </is>
      </c>
      <c r="J122" s="4" t="inlineStr">
        <is>
          <t>🔗</t>
        </is>
      </c>
      <c r="K122" s="4" t="inlineStr">
        <is>
          <t>🔗</t>
        </is>
      </c>
      <c r="L122" s="5" t="n">
        <v>189.9</v>
      </c>
      <c r="M122" s="5" t="n">
        <v>241.89</v>
      </c>
      <c r="N122" s="6" t="n">
        <v>932.13</v>
      </c>
      <c r="O122" s="6" t="n">
        <v>1040.27</v>
      </c>
      <c r="P122" s="6" t="n">
        <v>1066.34</v>
      </c>
      <c r="Q122" s="7" t="n"/>
      <c r="R122" s="7" t="n"/>
      <c r="S122" s="8" t="n"/>
      <c r="T122" s="8" t="n"/>
      <c r="U122" s="8" t="n"/>
      <c r="V122" s="9">
        <f>MIN(IF(Q122&lt;&gt;"",Q122*3.75,L122*3.75),IF(R122&lt;&gt;"",R122*3.75,M122*3.75),IF(S122&lt;&gt;"",S122,N122),IF(T122&lt;&gt;"",T122,O122),IF(U122&lt;&gt;"",U122,P122))</f>
        <v/>
      </c>
      <c r="W122" s="10">
        <f>INDEX({"AliExpress","eBay","Amazon.sa","Noon","Jarir"},MATCH(V122,{IF(Q122&lt;&gt;"",Q122*3.75,L122*3.75),IF(R122&lt;&gt;"",R122*3.75,M122*3.75),IF(S122&lt;&gt;"",S122,N122),IF(T122&lt;&gt;"",T122,O122),IF(U122&lt;&gt;"",U122,P122)},0))</f>
        <v/>
      </c>
      <c r="X122" s="9">
        <f>F122-V122</f>
        <v/>
      </c>
      <c r="Y122" s="11">
        <f>IF(V122=0,0,(F122-V122)/V122)</f>
        <v/>
      </c>
      <c r="Z122" s="9">
        <f>CEILING(MAX(V122*1.4,IF(IF(T122&lt;&gt;"",T122,O122)=0,V122*1.5,IF(T122&lt;&gt;"",T122,O122)*0.95)),10)-1</f>
        <v/>
      </c>
      <c r="AA122" s="12">
        <f>IF(IF(T122&lt;&gt;"",T122,O122)=0,"",TEXT((Z122-IF(T122&lt;&gt;"",T122,O122))/IF(T122&lt;&gt;"",T122,O122),"+0.0%;-0.0%"))</f>
        <v/>
      </c>
      <c r="AB122" s="10">
        <f>IF(Y122&gt;0.5,"✅ PROFITABLE — keep",IF(Y122&gt;0.2,"🟡 OK — optimize",IF(Y122&gt;0,"⚠️ THIN — raise or drop","❌ LOSING MONEY")))</f>
        <v/>
      </c>
    </row>
    <row r="123">
      <c r="A123" t="inlineStr">
        <is>
          <t>—</t>
        </is>
      </c>
      <c r="B123" t="n">
        <v>122</v>
      </c>
      <c r="C123" t="inlineStr">
        <is>
          <t>NG-GAM-003</t>
        </is>
      </c>
      <c r="D123" t="inlineStr">
        <is>
          <t>HyperX Cloud III Wireless - Premium Wireless Gaming Headset</t>
        </is>
      </c>
      <c r="E123" t="inlineStr">
        <is>
          <t>Gaming</t>
        </is>
      </c>
      <c r="F123" s="13" t="n">
        <v>999</v>
      </c>
      <c r="G123" s="4" t="inlineStr">
        <is>
          <t>🔗</t>
        </is>
      </c>
      <c r="H123" s="4" t="inlineStr">
        <is>
          <t>🔗</t>
        </is>
      </c>
      <c r="I123" s="4" t="inlineStr">
        <is>
          <t>🔗</t>
        </is>
      </c>
      <c r="J123" s="4" t="inlineStr">
        <is>
          <t>🔗</t>
        </is>
      </c>
      <c r="K123" s="4" t="inlineStr">
        <is>
          <t>🔗</t>
        </is>
      </c>
      <c r="L123" s="5" t="n">
        <v>212.29</v>
      </c>
      <c r="M123" s="5" t="n">
        <v>232.73</v>
      </c>
      <c r="N123" s="6" t="n">
        <v>983.8099999999999</v>
      </c>
      <c r="O123" s="6" t="n">
        <v>933.95</v>
      </c>
      <c r="P123" s="6" t="n">
        <v>986.6799999999999</v>
      </c>
      <c r="Q123" s="7" t="n"/>
      <c r="R123" s="7" t="n"/>
      <c r="S123" s="8" t="n"/>
      <c r="T123" s="8" t="n"/>
      <c r="U123" s="8" t="n"/>
      <c r="V123" s="9">
        <f>MIN(IF(Q123&lt;&gt;"",Q123*3.75,L123*3.75),IF(R123&lt;&gt;"",R123*3.75,M123*3.75),IF(S123&lt;&gt;"",S123,N123),IF(T123&lt;&gt;"",T123,O123),IF(U123&lt;&gt;"",U123,P123))</f>
        <v/>
      </c>
      <c r="W123" s="10">
        <f>INDEX({"AliExpress","eBay","Amazon.sa","Noon","Jarir"},MATCH(V123,{IF(Q123&lt;&gt;"",Q123*3.75,L123*3.75),IF(R123&lt;&gt;"",R123*3.75,M123*3.75),IF(S123&lt;&gt;"",S123,N123),IF(T123&lt;&gt;"",T123,O123),IF(U123&lt;&gt;"",U123,P123)},0))</f>
        <v/>
      </c>
      <c r="X123" s="9">
        <f>F123-V123</f>
        <v/>
      </c>
      <c r="Y123" s="11">
        <f>IF(V123=0,0,(F123-V123)/V123)</f>
        <v/>
      </c>
      <c r="Z123" s="9">
        <f>CEILING(MAX(V123*1.4,IF(IF(T123&lt;&gt;"",T123,O123)=0,V123*1.5,IF(T123&lt;&gt;"",T123,O123)*0.95)),10)-1</f>
        <v/>
      </c>
      <c r="AA123" s="12">
        <f>IF(IF(T123&lt;&gt;"",T123,O123)=0,"",TEXT((Z123-IF(T123&lt;&gt;"",T123,O123))/IF(T123&lt;&gt;"",T123,O123),"+0.0%;-0.0%"))</f>
        <v/>
      </c>
      <c r="AB123" s="10">
        <f>IF(Y123&gt;0.5,"✅ PROFITABLE — keep",IF(Y123&gt;0.2,"🟡 OK — optimize",IF(Y123&gt;0,"⚠️ THIN — raise or drop","❌ LOSING MONEY")))</f>
        <v/>
      </c>
    </row>
    <row r="124">
      <c r="A124" t="inlineStr">
        <is>
          <t>—</t>
        </is>
      </c>
      <c r="B124" t="n">
        <v>123</v>
      </c>
      <c r="C124" t="inlineStr">
        <is>
          <t>GM-STR-HPX-001</t>
        </is>
      </c>
      <c r="D124" t="inlineStr">
        <is>
          <t>HyperX QuadCast S USB Microphone</t>
        </is>
      </c>
      <c r="E124" t="inlineStr">
        <is>
          <t>Gaming</t>
        </is>
      </c>
      <c r="F124" s="13" t="n">
        <v>949</v>
      </c>
      <c r="G124" s="4" t="inlineStr">
        <is>
          <t>🔗</t>
        </is>
      </c>
      <c r="H124" s="4" t="inlineStr">
        <is>
          <t>🔗</t>
        </is>
      </c>
      <c r="I124" s="4" t="inlineStr">
        <is>
          <t>🔗</t>
        </is>
      </c>
      <c r="J124" s="4" t="inlineStr">
        <is>
          <t>🔗</t>
        </is>
      </c>
      <c r="K124" s="4" t="inlineStr">
        <is>
          <t>🔗</t>
        </is>
      </c>
      <c r="L124" s="5" t="n">
        <v>203.41</v>
      </c>
      <c r="M124" s="5" t="n">
        <v>214.08</v>
      </c>
      <c r="N124" s="6" t="n">
        <v>900.47</v>
      </c>
      <c r="O124" s="6" t="n">
        <v>944.9400000000001</v>
      </c>
      <c r="P124" s="6" t="n">
        <v>987.2</v>
      </c>
      <c r="Q124" s="7" t="n"/>
      <c r="R124" s="7" t="n"/>
      <c r="S124" s="8" t="n"/>
      <c r="T124" s="8" t="n"/>
      <c r="U124" s="8" t="n"/>
      <c r="V124" s="9">
        <f>MIN(IF(Q124&lt;&gt;"",Q124*3.75,L124*3.75),IF(R124&lt;&gt;"",R124*3.75,M124*3.75),IF(S124&lt;&gt;"",S124,N124),IF(T124&lt;&gt;"",T124,O124),IF(U124&lt;&gt;"",U124,P124))</f>
        <v/>
      </c>
      <c r="W124" s="10">
        <f>INDEX({"AliExpress","eBay","Amazon.sa","Noon","Jarir"},MATCH(V124,{IF(Q124&lt;&gt;"",Q124*3.75,L124*3.75),IF(R124&lt;&gt;"",R124*3.75,M124*3.75),IF(S124&lt;&gt;"",S124,N124),IF(T124&lt;&gt;"",T124,O124),IF(U124&lt;&gt;"",U124,P124)},0))</f>
        <v/>
      </c>
      <c r="X124" s="9">
        <f>F124-V124</f>
        <v/>
      </c>
      <c r="Y124" s="11">
        <f>IF(V124=0,0,(F124-V124)/V124)</f>
        <v/>
      </c>
      <c r="Z124" s="9">
        <f>CEILING(MAX(V124*1.4,IF(IF(T124&lt;&gt;"",T124,O124)=0,V124*1.5,IF(T124&lt;&gt;"",T124,O124)*0.95)),10)-1</f>
        <v/>
      </c>
      <c r="AA124" s="12">
        <f>IF(IF(T124&lt;&gt;"",T124,O124)=0,"",TEXT((Z124-IF(T124&lt;&gt;"",T124,O124))/IF(T124&lt;&gt;"",T124,O124),"+0.0%;-0.0%"))</f>
        <v/>
      </c>
      <c r="AB124" s="10">
        <f>IF(Y124&gt;0.5,"✅ PROFITABLE — keep",IF(Y124&gt;0.2,"🟡 OK — optimize",IF(Y124&gt;0,"⚠️ THIN — raise or drop","❌ LOSING MONEY")))</f>
        <v/>
      </c>
    </row>
    <row r="125">
      <c r="A125" t="inlineStr">
        <is>
          <t>—</t>
        </is>
      </c>
      <c r="B125" t="n">
        <v>124</v>
      </c>
      <c r="C125" t="inlineStr">
        <is>
          <t>GM-STR-ELG-001</t>
        </is>
      </c>
      <c r="D125" t="inlineStr">
        <is>
          <t>Elgato Stream Deck MK.2</t>
        </is>
      </c>
      <c r="E125" t="inlineStr">
        <is>
          <t>Gaming</t>
        </is>
      </c>
      <c r="F125" s="13" t="n">
        <v>949</v>
      </c>
      <c r="G125" s="4" t="inlineStr">
        <is>
          <t>🔗</t>
        </is>
      </c>
      <c r="H125" s="4" t="inlineStr">
        <is>
          <t>🔗</t>
        </is>
      </c>
      <c r="I125" s="4" t="inlineStr">
        <is>
          <t>🔗</t>
        </is>
      </c>
      <c r="J125" s="4" t="inlineStr">
        <is>
          <t>🔗</t>
        </is>
      </c>
      <c r="K125" s="4" t="inlineStr">
        <is>
          <t>🔗</t>
        </is>
      </c>
      <c r="L125" s="5" t="n">
        <v>193.3</v>
      </c>
      <c r="M125" s="5" t="n">
        <v>230.77</v>
      </c>
      <c r="N125" s="6" t="n">
        <v>860.02</v>
      </c>
      <c r="O125" s="6" t="n">
        <v>979.8</v>
      </c>
      <c r="P125" s="6" t="n">
        <v>945.26</v>
      </c>
      <c r="Q125" s="7" t="n"/>
      <c r="R125" s="7" t="n"/>
      <c r="S125" s="8" t="n"/>
      <c r="T125" s="8" t="n"/>
      <c r="U125" s="8" t="n"/>
      <c r="V125" s="9">
        <f>MIN(IF(Q125&lt;&gt;"",Q125*3.75,L125*3.75),IF(R125&lt;&gt;"",R125*3.75,M125*3.75),IF(S125&lt;&gt;"",S125,N125),IF(T125&lt;&gt;"",T125,O125),IF(U125&lt;&gt;"",U125,P125))</f>
        <v/>
      </c>
      <c r="W125" s="10">
        <f>INDEX({"AliExpress","eBay","Amazon.sa","Noon","Jarir"},MATCH(V125,{IF(Q125&lt;&gt;"",Q125*3.75,L125*3.75),IF(R125&lt;&gt;"",R125*3.75,M125*3.75),IF(S125&lt;&gt;"",S125,N125),IF(T125&lt;&gt;"",T125,O125),IF(U125&lt;&gt;"",U125,P125)},0))</f>
        <v/>
      </c>
      <c r="X125" s="9">
        <f>F125-V125</f>
        <v/>
      </c>
      <c r="Y125" s="11">
        <f>IF(V125=0,0,(F125-V125)/V125)</f>
        <v/>
      </c>
      <c r="Z125" s="9">
        <f>CEILING(MAX(V125*1.4,IF(IF(T125&lt;&gt;"",T125,O125)=0,V125*1.5,IF(T125&lt;&gt;"",T125,O125)*0.95)),10)-1</f>
        <v/>
      </c>
      <c r="AA125" s="12">
        <f>IF(IF(T125&lt;&gt;"",T125,O125)=0,"",TEXT((Z125-IF(T125&lt;&gt;"",T125,O125))/IF(T125&lt;&gt;"",T125,O125),"+0.0%;-0.0%"))</f>
        <v/>
      </c>
      <c r="AB125" s="10">
        <f>IF(Y125&gt;0.5,"✅ PROFITABLE — keep",IF(Y125&gt;0.2,"🟡 OK — optimize",IF(Y125&gt;0,"⚠️ THIN — raise or drop","❌ LOSING MONEY")))</f>
        <v/>
      </c>
    </row>
    <row r="126">
      <c r="A126" t="inlineStr">
        <is>
          <t>—</t>
        </is>
      </c>
      <c r="B126" t="n">
        <v>125</v>
      </c>
      <c r="C126" t="inlineStr">
        <is>
          <t>SH-BLD-IKEA-001</t>
        </is>
      </c>
      <c r="D126" t="inlineStr">
        <is>
          <t>IKEA FYRTUR Blackout Smart Roller Blind</t>
        </is>
      </c>
      <c r="E126" t="inlineStr">
        <is>
          <t>Smart Home &amp;amp; IoT</t>
        </is>
      </c>
      <c r="F126" s="13" t="n">
        <v>949</v>
      </c>
      <c r="G126" s="4" t="inlineStr">
        <is>
          <t>🔗</t>
        </is>
      </c>
      <c r="H126" s="4" t="inlineStr">
        <is>
          <t>🔗</t>
        </is>
      </c>
      <c r="I126" s="4" t="inlineStr">
        <is>
          <t>🔗</t>
        </is>
      </c>
      <c r="J126" s="4" t="inlineStr">
        <is>
          <t>🔗</t>
        </is>
      </c>
      <c r="K126" s="4" t="inlineStr">
        <is>
          <t>🔗</t>
        </is>
      </c>
      <c r="L126" s="5" t="n">
        <v>101.3</v>
      </c>
      <c r="M126" s="5" t="n">
        <v>146.21</v>
      </c>
      <c r="N126" s="6" t="n">
        <v>709.99</v>
      </c>
      <c r="O126" s="6" t="n">
        <v>787.5599999999999</v>
      </c>
      <c r="P126" s="6" t="n">
        <v>972.42</v>
      </c>
      <c r="Q126" s="7" t="n"/>
      <c r="R126" s="7" t="n"/>
      <c r="S126" s="8" t="n"/>
      <c r="T126" s="8" t="n"/>
      <c r="U126" s="8" t="n"/>
      <c r="V126" s="9">
        <f>MIN(IF(Q126&lt;&gt;"",Q126*3.75,L126*3.75),IF(R126&lt;&gt;"",R126*3.75,M126*3.75),IF(S126&lt;&gt;"",S126,N126),IF(T126&lt;&gt;"",T126,O126),IF(U126&lt;&gt;"",U126,P126))</f>
        <v/>
      </c>
      <c r="W126" s="10">
        <f>INDEX({"AliExpress","eBay","Amazon.sa","Noon","Jarir"},MATCH(V126,{IF(Q126&lt;&gt;"",Q126*3.75,L126*3.75),IF(R126&lt;&gt;"",R126*3.75,M126*3.75),IF(S126&lt;&gt;"",S126,N126),IF(T126&lt;&gt;"",T126,O126),IF(U126&lt;&gt;"",U126,P126)},0))</f>
        <v/>
      </c>
      <c r="X126" s="9">
        <f>F126-V126</f>
        <v/>
      </c>
      <c r="Y126" s="11">
        <f>IF(V126=0,0,(F126-V126)/V126)</f>
        <v/>
      </c>
      <c r="Z126" s="9">
        <f>CEILING(MAX(V126*1.4,IF(IF(T126&lt;&gt;"",T126,O126)=0,V126*1.5,IF(T126&lt;&gt;"",T126,O126)*0.95)),10)-1</f>
        <v/>
      </c>
      <c r="AA126" s="12">
        <f>IF(IF(T126&lt;&gt;"",T126,O126)=0,"",TEXT((Z126-IF(T126&lt;&gt;"",T126,O126))/IF(T126&lt;&gt;"",T126,O126),"+0.0%;-0.0%"))</f>
        <v/>
      </c>
      <c r="AB126" s="10">
        <f>IF(Y126&gt;0.5,"✅ PROFITABLE — keep",IF(Y126&gt;0.2,"🟡 OK — optimize",IF(Y126&gt;0,"⚠️ THIN — raise or drop","❌ LOSING MONEY")))</f>
        <v/>
      </c>
    </row>
    <row r="127">
      <c r="A127" t="inlineStr">
        <is>
          <t>—</t>
        </is>
      </c>
      <c r="B127" t="n">
        <v>126</v>
      </c>
      <c r="C127" t="inlineStr">
        <is>
          <t>SH-HUB-AQRA-001</t>
        </is>
      </c>
      <c r="D127" t="inlineStr">
        <is>
          <t>Aqara Hub M3</t>
        </is>
      </c>
      <c r="E127" t="inlineStr">
        <is>
          <t>Smart Home &amp;amp; IoT</t>
        </is>
      </c>
      <c r="F127" s="13" t="n">
        <v>899</v>
      </c>
      <c r="G127" s="4" t="inlineStr">
        <is>
          <t>🔗</t>
        </is>
      </c>
      <c r="H127" s="4" t="inlineStr">
        <is>
          <t>🔗</t>
        </is>
      </c>
      <c r="I127" s="4" t="inlineStr">
        <is>
          <t>🔗</t>
        </is>
      </c>
      <c r="J127" s="4" t="inlineStr">
        <is>
          <t>🔗</t>
        </is>
      </c>
      <c r="K127" s="4" t="inlineStr">
        <is>
          <t>🔗</t>
        </is>
      </c>
      <c r="L127" s="5" t="n">
        <v>120.45</v>
      </c>
      <c r="M127" s="5" t="n">
        <v>142.06</v>
      </c>
      <c r="N127" s="6" t="n">
        <v>677.9299999999999</v>
      </c>
      <c r="O127" s="6" t="n">
        <v>828.02</v>
      </c>
      <c r="P127" s="6" t="n">
        <v>967</v>
      </c>
      <c r="Q127" s="7" t="n"/>
      <c r="R127" s="7" t="n"/>
      <c r="S127" s="8" t="n"/>
      <c r="T127" s="8" t="n"/>
      <c r="U127" s="8" t="n"/>
      <c r="V127" s="9">
        <f>MIN(IF(Q127&lt;&gt;"",Q127*3.75,L127*3.75),IF(R127&lt;&gt;"",R127*3.75,M127*3.75),IF(S127&lt;&gt;"",S127,N127),IF(T127&lt;&gt;"",T127,O127),IF(U127&lt;&gt;"",U127,P127))</f>
        <v/>
      </c>
      <c r="W127" s="10">
        <f>INDEX({"AliExpress","eBay","Amazon.sa","Noon","Jarir"},MATCH(V127,{IF(Q127&lt;&gt;"",Q127*3.75,L127*3.75),IF(R127&lt;&gt;"",R127*3.75,M127*3.75),IF(S127&lt;&gt;"",S127,N127),IF(T127&lt;&gt;"",T127,O127),IF(U127&lt;&gt;"",U127,P127)},0))</f>
        <v/>
      </c>
      <c r="X127" s="9">
        <f>F127-V127</f>
        <v/>
      </c>
      <c r="Y127" s="11">
        <f>IF(V127=0,0,(F127-V127)/V127)</f>
        <v/>
      </c>
      <c r="Z127" s="9">
        <f>CEILING(MAX(V127*1.4,IF(IF(T127&lt;&gt;"",T127,O127)=0,V127*1.5,IF(T127&lt;&gt;"",T127,O127)*0.95)),10)-1</f>
        <v/>
      </c>
      <c r="AA127" s="12">
        <f>IF(IF(T127&lt;&gt;"",T127,O127)=0,"",TEXT((Z127-IF(T127&lt;&gt;"",T127,O127))/IF(T127&lt;&gt;"",T127,O127),"+0.0%;-0.0%"))</f>
        <v/>
      </c>
      <c r="AB127" s="10">
        <f>IF(Y127&gt;0.5,"✅ PROFITABLE — keep",IF(Y127&gt;0.2,"🟡 OK — optimize",IF(Y127&gt;0,"⚠️ THIN — raise or drop","❌ LOSING MONEY")))</f>
        <v/>
      </c>
    </row>
    <row r="128">
      <c r="A128" t="inlineStr">
        <is>
          <t>—</t>
        </is>
      </c>
      <c r="B128" t="n">
        <v>127</v>
      </c>
      <c r="C128" t="inlineStr">
        <is>
          <t>SH-CAM-RELK-001</t>
        </is>
      </c>
      <c r="D128" t="inlineStr">
        <is>
          <t>Reolink Argus 4 Pro (4K)</t>
        </is>
      </c>
      <c r="E128" t="inlineStr">
        <is>
          <t>Smart Home &amp;amp; IoT</t>
        </is>
      </c>
      <c r="F128" s="13" t="n">
        <v>899</v>
      </c>
      <c r="G128" s="4" t="inlineStr">
        <is>
          <t>🔗</t>
        </is>
      </c>
      <c r="H128" s="4" t="inlineStr">
        <is>
          <t>🔗</t>
        </is>
      </c>
      <c r="I128" s="4" t="inlineStr">
        <is>
          <t>🔗</t>
        </is>
      </c>
      <c r="J128" s="4" t="inlineStr">
        <is>
          <t>🔗</t>
        </is>
      </c>
      <c r="K128" s="4" t="inlineStr">
        <is>
          <t>🔗</t>
        </is>
      </c>
      <c r="L128" s="5" t="n">
        <v>130.73</v>
      </c>
      <c r="M128" s="5" t="n">
        <v>160.78</v>
      </c>
      <c r="N128" s="6" t="n">
        <v>692.9</v>
      </c>
      <c r="O128" s="6" t="n">
        <v>741.79</v>
      </c>
      <c r="P128" s="6" t="n">
        <v>838.24</v>
      </c>
      <c r="Q128" s="7" t="n"/>
      <c r="R128" s="7" t="n"/>
      <c r="S128" s="8" t="n"/>
      <c r="T128" s="8" t="n"/>
      <c r="U128" s="8" t="n"/>
      <c r="V128" s="9">
        <f>MIN(IF(Q128&lt;&gt;"",Q128*3.75,L128*3.75),IF(R128&lt;&gt;"",R128*3.75,M128*3.75),IF(S128&lt;&gt;"",S128,N128),IF(T128&lt;&gt;"",T128,O128),IF(U128&lt;&gt;"",U128,P128))</f>
        <v/>
      </c>
      <c r="W128" s="10">
        <f>INDEX({"AliExpress","eBay","Amazon.sa","Noon","Jarir"},MATCH(V128,{IF(Q128&lt;&gt;"",Q128*3.75,L128*3.75),IF(R128&lt;&gt;"",R128*3.75,M128*3.75),IF(S128&lt;&gt;"",S128,N128),IF(T128&lt;&gt;"",T128,O128),IF(U128&lt;&gt;"",U128,P128)},0))</f>
        <v/>
      </c>
      <c r="X128" s="9">
        <f>F128-V128</f>
        <v/>
      </c>
      <c r="Y128" s="11">
        <f>IF(V128=0,0,(F128-V128)/V128)</f>
        <v/>
      </c>
      <c r="Z128" s="9">
        <f>CEILING(MAX(V128*1.4,IF(IF(T128&lt;&gt;"",T128,O128)=0,V128*1.5,IF(T128&lt;&gt;"",T128,O128)*0.95)),10)-1</f>
        <v/>
      </c>
      <c r="AA128" s="12">
        <f>IF(IF(T128&lt;&gt;"",T128,O128)=0,"",TEXT((Z128-IF(T128&lt;&gt;"",T128,O128))/IF(T128&lt;&gt;"",T128,O128),"+0.0%;-0.0%"))</f>
        <v/>
      </c>
      <c r="AB128" s="10">
        <f>IF(Y128&gt;0.5,"✅ PROFITABLE — keep",IF(Y128&gt;0.2,"🟡 OK — optimize",IF(Y128&gt;0,"⚠️ THIN — raise or drop","❌ LOSING MONEY")))</f>
        <v/>
      </c>
    </row>
    <row r="129">
      <c r="A129" t="inlineStr">
        <is>
          <t>—</t>
        </is>
      </c>
      <c r="B129" t="n">
        <v>128</v>
      </c>
      <c r="C129" t="inlineStr">
        <is>
          <t>SH-LGT-PHUE-001</t>
        </is>
      </c>
      <c r="D129" t="inlineStr">
        <is>
          <t>Philips Hue Starter Kit (3x A19 + Bridge)</t>
        </is>
      </c>
      <c r="E129" t="inlineStr">
        <is>
          <t>Smart Home &amp;amp; IoT</t>
        </is>
      </c>
      <c r="F129" s="13" t="n">
        <v>899</v>
      </c>
      <c r="G129" s="4" t="inlineStr">
        <is>
          <t>🔗</t>
        </is>
      </c>
      <c r="H129" s="4" t="inlineStr">
        <is>
          <t>🔗</t>
        </is>
      </c>
      <c r="I129" s="4" t="inlineStr">
        <is>
          <t>🔗</t>
        </is>
      </c>
      <c r="J129" s="4" t="inlineStr">
        <is>
          <t>🔗</t>
        </is>
      </c>
      <c r="K129" s="4" t="inlineStr">
        <is>
          <t>🔗</t>
        </is>
      </c>
      <c r="L129" s="5" t="n">
        <v>94.81</v>
      </c>
      <c r="M129" s="5" t="n">
        <v>141.75</v>
      </c>
      <c r="N129" s="6" t="n">
        <v>632.48</v>
      </c>
      <c r="O129" s="6" t="n">
        <v>839.25</v>
      </c>
      <c r="P129" s="6" t="n">
        <v>857.7</v>
      </c>
      <c r="Q129" s="7" t="n"/>
      <c r="R129" s="7" t="n"/>
      <c r="S129" s="8" t="n"/>
      <c r="T129" s="8" t="n"/>
      <c r="U129" s="8" t="n"/>
      <c r="V129" s="9">
        <f>MIN(IF(Q129&lt;&gt;"",Q129*3.75,L129*3.75),IF(R129&lt;&gt;"",R129*3.75,M129*3.75),IF(S129&lt;&gt;"",S129,N129),IF(T129&lt;&gt;"",T129,O129),IF(U129&lt;&gt;"",U129,P129))</f>
        <v/>
      </c>
      <c r="W129" s="10">
        <f>INDEX({"AliExpress","eBay","Amazon.sa","Noon","Jarir"},MATCH(V129,{IF(Q129&lt;&gt;"",Q129*3.75,L129*3.75),IF(R129&lt;&gt;"",R129*3.75,M129*3.75),IF(S129&lt;&gt;"",S129,N129),IF(T129&lt;&gt;"",T129,O129),IF(U129&lt;&gt;"",U129,P129)},0))</f>
        <v/>
      </c>
      <c r="X129" s="9">
        <f>F129-V129</f>
        <v/>
      </c>
      <c r="Y129" s="11">
        <f>IF(V129=0,0,(F129-V129)/V129)</f>
        <v/>
      </c>
      <c r="Z129" s="9">
        <f>CEILING(MAX(V129*1.4,IF(IF(T129&lt;&gt;"",T129,O129)=0,V129*1.5,IF(T129&lt;&gt;"",T129,O129)*0.95)),10)-1</f>
        <v/>
      </c>
      <c r="AA129" s="12">
        <f>IF(IF(T129&lt;&gt;"",T129,O129)=0,"",TEXT((Z129-IF(T129&lt;&gt;"",T129,O129))/IF(T129&lt;&gt;"",T129,O129),"+0.0%;-0.0%"))</f>
        <v/>
      </c>
      <c r="AB129" s="10">
        <f>IF(Y129&gt;0.5,"✅ PROFITABLE — keep",IF(Y129&gt;0.2,"🟡 OK — optimize",IF(Y129&gt;0,"⚠️ THIN — raise or drop","❌ LOSING MONEY")))</f>
        <v/>
      </c>
    </row>
    <row r="130">
      <c r="A130" t="inlineStr">
        <is>
          <t>—</t>
        </is>
      </c>
      <c r="B130" t="n">
        <v>129</v>
      </c>
      <c r="C130" t="inlineStr">
        <is>
          <t>NG-NET-012</t>
        </is>
      </c>
      <c r="D130" t="inlineStr">
        <is>
          <t>Ubiquiti UniFi Cloud Gateway Ultra - All-in-One UniFi Gateway</t>
        </is>
      </c>
      <c r="E130" t="inlineStr">
        <is>
          <t>Networking</t>
        </is>
      </c>
      <c r="F130" s="13" t="n">
        <v>899</v>
      </c>
      <c r="G130" s="4" t="inlineStr">
        <is>
          <t>🔗</t>
        </is>
      </c>
      <c r="H130" s="4" t="inlineStr">
        <is>
          <t>🔗</t>
        </is>
      </c>
      <c r="I130" s="4" t="inlineStr">
        <is>
          <t>🔗</t>
        </is>
      </c>
      <c r="J130" s="4" t="inlineStr">
        <is>
          <t>🔗</t>
        </is>
      </c>
      <c r="K130" s="4" t="inlineStr">
        <is>
          <t>🔗</t>
        </is>
      </c>
      <c r="L130" s="5" t="n">
        <v>185.88</v>
      </c>
      <c r="M130" s="5" t="n">
        <v>202.35</v>
      </c>
      <c r="N130" s="6" t="n">
        <v>870.74</v>
      </c>
      <c r="O130" s="6" t="n">
        <v>847.51</v>
      </c>
      <c r="P130" s="6" t="n">
        <v>1010.2</v>
      </c>
      <c r="Q130" s="7" t="n"/>
      <c r="R130" s="7" t="n"/>
      <c r="S130" s="8" t="n"/>
      <c r="T130" s="8" t="n"/>
      <c r="U130" s="8" t="n"/>
      <c r="V130" s="9">
        <f>MIN(IF(Q130&lt;&gt;"",Q130*3.75,L130*3.75),IF(R130&lt;&gt;"",R130*3.75,M130*3.75),IF(S130&lt;&gt;"",S130,N130),IF(T130&lt;&gt;"",T130,O130),IF(U130&lt;&gt;"",U130,P130))</f>
        <v/>
      </c>
      <c r="W130" s="10">
        <f>INDEX({"AliExpress","eBay","Amazon.sa","Noon","Jarir"},MATCH(V130,{IF(Q130&lt;&gt;"",Q130*3.75,L130*3.75),IF(R130&lt;&gt;"",R130*3.75,M130*3.75),IF(S130&lt;&gt;"",S130,N130),IF(T130&lt;&gt;"",T130,O130),IF(U130&lt;&gt;"",U130,P130)},0))</f>
        <v/>
      </c>
      <c r="X130" s="9">
        <f>F130-V130</f>
        <v/>
      </c>
      <c r="Y130" s="11">
        <f>IF(V130=0,0,(F130-V130)/V130)</f>
        <v/>
      </c>
      <c r="Z130" s="9">
        <f>CEILING(MAX(V130*1.4,IF(IF(T130&lt;&gt;"",T130,O130)=0,V130*1.5,IF(T130&lt;&gt;"",T130,O130)*0.95)),10)-1</f>
        <v/>
      </c>
      <c r="AA130" s="12">
        <f>IF(IF(T130&lt;&gt;"",T130,O130)=0,"",TEXT((Z130-IF(T130&lt;&gt;"",T130,O130))/IF(T130&lt;&gt;"",T130,O130),"+0.0%;-0.0%"))</f>
        <v/>
      </c>
      <c r="AB130" s="10">
        <f>IF(Y130&gt;0.5,"✅ PROFITABLE — keep",IF(Y130&gt;0.2,"🟡 OK — optimize",IF(Y130&gt;0,"⚠️ THIN — raise or drop","❌ LOSING MONEY")))</f>
        <v/>
      </c>
    </row>
    <row r="131">
      <c r="A131" t="inlineStr">
        <is>
          <t>—</t>
        </is>
      </c>
      <c r="B131" t="n">
        <v>130</v>
      </c>
      <c r="C131" t="inlineStr">
        <is>
          <t>NG-MKR-001</t>
        </is>
      </c>
      <c r="D131" t="inlineStr">
        <is>
          <t>Raspberry Pi 5 8GB - The New Standard in Single Board Computing</t>
        </is>
      </c>
      <c r="E131" t="inlineStr">
        <is>
          <t>Hardware</t>
        </is>
      </c>
      <c r="F131" s="13" t="n">
        <v>899</v>
      </c>
      <c r="G131" s="4" t="inlineStr">
        <is>
          <t>🔗</t>
        </is>
      </c>
      <c r="H131" s="4" t="inlineStr">
        <is>
          <t>🔗</t>
        </is>
      </c>
      <c r="I131" s="4" t="inlineStr">
        <is>
          <t>🔗</t>
        </is>
      </c>
      <c r="J131" s="4" t="inlineStr">
        <is>
          <t>🔗</t>
        </is>
      </c>
      <c r="K131" s="4" t="inlineStr">
        <is>
          <t>🔗</t>
        </is>
      </c>
      <c r="L131" s="5" t="n">
        <v>211.88</v>
      </c>
      <c r="M131" s="5" t="n">
        <v>235.16</v>
      </c>
      <c r="N131" s="6" t="n">
        <v>878.85</v>
      </c>
      <c r="O131" s="6" t="n">
        <v>894.6</v>
      </c>
      <c r="P131" s="6" t="n">
        <v>921.37</v>
      </c>
      <c r="Q131" s="7" t="n"/>
      <c r="R131" s="7" t="n"/>
      <c r="S131" s="8" t="n"/>
      <c r="T131" s="8" t="n"/>
      <c r="U131" s="8" t="n"/>
      <c r="V131" s="9">
        <f>MIN(IF(Q131&lt;&gt;"",Q131*3.75,L131*3.75),IF(R131&lt;&gt;"",R131*3.75,M131*3.75),IF(S131&lt;&gt;"",S131,N131),IF(T131&lt;&gt;"",T131,O131),IF(U131&lt;&gt;"",U131,P131))</f>
        <v/>
      </c>
      <c r="W131" s="10">
        <f>INDEX({"AliExpress","eBay","Amazon.sa","Noon","Jarir"},MATCH(V131,{IF(Q131&lt;&gt;"",Q131*3.75,L131*3.75),IF(R131&lt;&gt;"",R131*3.75,M131*3.75),IF(S131&lt;&gt;"",S131,N131),IF(T131&lt;&gt;"",T131,O131),IF(U131&lt;&gt;"",U131,P131)},0))</f>
        <v/>
      </c>
      <c r="X131" s="9">
        <f>F131-V131</f>
        <v/>
      </c>
      <c r="Y131" s="11">
        <f>IF(V131=0,0,(F131-V131)/V131)</f>
        <v/>
      </c>
      <c r="Z131" s="9">
        <f>CEILING(MAX(V131*1.4,IF(IF(T131&lt;&gt;"",T131,O131)=0,V131*1.5,IF(T131&lt;&gt;"",T131,O131)*0.95)),10)-1</f>
        <v/>
      </c>
      <c r="AA131" s="12">
        <f>IF(IF(T131&lt;&gt;"",T131,O131)=0,"",TEXT((Z131-IF(T131&lt;&gt;"",T131,O131))/IF(T131&lt;&gt;"",T131,O131),"+0.0%;-0.0%"))</f>
        <v/>
      </c>
      <c r="AB131" s="10">
        <f>IF(Y131&gt;0.5,"✅ PROFITABLE — keep",IF(Y131&gt;0.2,"🟡 OK — optimize",IF(Y131&gt;0,"⚠️ THIN — raise or drop","❌ LOSING MONEY")))</f>
        <v/>
      </c>
    </row>
    <row r="132">
      <c r="A132" t="inlineStr">
        <is>
          <t>—</t>
        </is>
      </c>
      <c r="B132" t="n">
        <v>131</v>
      </c>
      <c r="C132" t="inlineStr">
        <is>
          <t>NT-POE-UBQ-001</t>
        </is>
      </c>
      <c r="D132" t="inlineStr">
        <is>
          <t>Ubiquiti USW-Lite-8-PoE</t>
        </is>
      </c>
      <c r="E132" t="inlineStr">
        <is>
          <t>Networking</t>
        </is>
      </c>
      <c r="F132" s="13" t="n">
        <v>849</v>
      </c>
      <c r="G132" s="4" t="inlineStr">
        <is>
          <t>🔗</t>
        </is>
      </c>
      <c r="H132" s="4" t="inlineStr">
        <is>
          <t>🔗</t>
        </is>
      </c>
      <c r="I132" s="4" t="inlineStr">
        <is>
          <t>🔗</t>
        </is>
      </c>
      <c r="J132" s="4" t="inlineStr">
        <is>
          <t>🔗</t>
        </is>
      </c>
      <c r="K132" s="4" t="inlineStr">
        <is>
          <t>🔗</t>
        </is>
      </c>
      <c r="L132" s="5" t="n">
        <v>143.35</v>
      </c>
      <c r="M132" s="5" t="n">
        <v>171.78</v>
      </c>
      <c r="N132" s="6" t="n">
        <v>857.47</v>
      </c>
      <c r="O132" s="6" t="n">
        <v>854.09</v>
      </c>
      <c r="P132" s="6" t="n">
        <v>946.15</v>
      </c>
      <c r="Q132" s="7" t="n"/>
      <c r="R132" s="7" t="n"/>
      <c r="S132" s="8" t="n"/>
      <c r="T132" s="8" t="n"/>
      <c r="U132" s="8" t="n"/>
      <c r="V132" s="9">
        <f>MIN(IF(Q132&lt;&gt;"",Q132*3.75,L132*3.75),IF(R132&lt;&gt;"",R132*3.75,M132*3.75),IF(S132&lt;&gt;"",S132,N132),IF(T132&lt;&gt;"",T132,O132),IF(U132&lt;&gt;"",U132,P132))</f>
        <v/>
      </c>
      <c r="W132" s="10">
        <f>INDEX({"AliExpress","eBay","Amazon.sa","Noon","Jarir"},MATCH(V132,{IF(Q132&lt;&gt;"",Q132*3.75,L132*3.75),IF(R132&lt;&gt;"",R132*3.75,M132*3.75),IF(S132&lt;&gt;"",S132,N132),IF(T132&lt;&gt;"",T132,O132),IF(U132&lt;&gt;"",U132,P132)},0))</f>
        <v/>
      </c>
      <c r="X132" s="9">
        <f>F132-V132</f>
        <v/>
      </c>
      <c r="Y132" s="11">
        <f>IF(V132=0,0,(F132-V132)/V132)</f>
        <v/>
      </c>
      <c r="Z132" s="9">
        <f>CEILING(MAX(V132*1.4,IF(IF(T132&lt;&gt;"",T132,O132)=0,V132*1.5,IF(T132&lt;&gt;"",T132,O132)*0.95)),10)-1</f>
        <v/>
      </c>
      <c r="AA132" s="12">
        <f>IF(IF(T132&lt;&gt;"",T132,O132)=0,"",TEXT((Z132-IF(T132&lt;&gt;"",T132,O132))/IF(T132&lt;&gt;"",T132,O132),"+0.0%;-0.0%"))</f>
        <v/>
      </c>
      <c r="AB132" s="10">
        <f>IF(Y132&gt;0.5,"✅ PROFITABLE — keep",IF(Y132&gt;0.2,"🟡 OK — optimize",IF(Y132&gt;0,"⚠️ THIN — raise or drop","❌ LOSING MONEY")))</f>
        <v/>
      </c>
    </row>
    <row r="133">
      <c r="A133" t="inlineStr">
        <is>
          <t>—</t>
        </is>
      </c>
      <c r="B133" t="n">
        <v>132</v>
      </c>
      <c r="C133" t="inlineStr">
        <is>
          <t>NT-CBL-GEN-001</t>
        </is>
      </c>
      <c r="D133" t="inlineStr">
        <is>
          <t>Cat6a Shielded Bulk Cable (305m)</t>
        </is>
      </c>
      <c r="E133" t="inlineStr">
        <is>
          <t>Networking</t>
        </is>
      </c>
      <c r="F133" s="13" t="n">
        <v>849</v>
      </c>
      <c r="G133" s="4" t="inlineStr">
        <is>
          <t>🔗</t>
        </is>
      </c>
      <c r="H133" s="4" t="inlineStr">
        <is>
          <t>🔗</t>
        </is>
      </c>
      <c r="I133" s="4" t="inlineStr">
        <is>
          <t>🔗</t>
        </is>
      </c>
      <c r="J133" s="4" t="inlineStr">
        <is>
          <t>🔗</t>
        </is>
      </c>
      <c r="K133" s="4" t="inlineStr">
        <is>
          <t>🔗</t>
        </is>
      </c>
      <c r="L133" s="5" t="n">
        <v>152.17</v>
      </c>
      <c r="M133" s="5" t="n">
        <v>172.65</v>
      </c>
      <c r="N133" s="6" t="n">
        <v>812.5</v>
      </c>
      <c r="O133" s="6" t="n">
        <v>789.27</v>
      </c>
      <c r="P133" s="6" t="n">
        <v>831.88</v>
      </c>
      <c r="Q133" s="7" t="n"/>
      <c r="R133" s="7" t="n"/>
      <c r="S133" s="8" t="n"/>
      <c r="T133" s="8" t="n"/>
      <c r="U133" s="8" t="n"/>
      <c r="V133" s="9">
        <f>MIN(IF(Q133&lt;&gt;"",Q133*3.75,L133*3.75),IF(R133&lt;&gt;"",R133*3.75,M133*3.75),IF(S133&lt;&gt;"",S133,N133),IF(T133&lt;&gt;"",T133,O133),IF(U133&lt;&gt;"",U133,P133))</f>
        <v/>
      </c>
      <c r="W133" s="10">
        <f>INDEX({"AliExpress","eBay","Amazon.sa","Noon","Jarir"},MATCH(V133,{IF(Q133&lt;&gt;"",Q133*3.75,L133*3.75),IF(R133&lt;&gt;"",R133*3.75,M133*3.75),IF(S133&lt;&gt;"",S133,N133),IF(T133&lt;&gt;"",T133,O133),IF(U133&lt;&gt;"",U133,P133)},0))</f>
        <v/>
      </c>
      <c r="X133" s="9">
        <f>F133-V133</f>
        <v/>
      </c>
      <c r="Y133" s="11">
        <f>IF(V133=0,0,(F133-V133)/V133)</f>
        <v/>
      </c>
      <c r="Z133" s="9">
        <f>CEILING(MAX(V133*1.4,IF(IF(T133&lt;&gt;"",T133,O133)=0,V133*1.5,IF(T133&lt;&gt;"",T133,O133)*0.95)),10)-1</f>
        <v/>
      </c>
      <c r="AA133" s="12">
        <f>IF(IF(T133&lt;&gt;"",T133,O133)=0,"",TEXT((Z133-IF(T133&lt;&gt;"",T133,O133))/IF(T133&lt;&gt;"",T133,O133),"+0.0%;-0.0%"))</f>
        <v/>
      </c>
      <c r="AB133" s="10">
        <f>IF(Y133&gt;0.5,"✅ PROFITABLE — keep",IF(Y133&gt;0.2,"🟡 OK — optimize",IF(Y133&gt;0,"⚠️ THIN — raise or drop","❌ LOSING MONEY")))</f>
        <v/>
      </c>
    </row>
    <row r="134">
      <c r="A134" t="inlineStr">
        <is>
          <t>—</t>
        </is>
      </c>
      <c r="B134" t="n">
        <v>133</v>
      </c>
      <c r="C134" t="inlineStr">
        <is>
          <t>NG-GAM-002</t>
        </is>
      </c>
      <c r="D134" t="inlineStr">
        <is>
          <t>Razer DeathAdder V3 HyperSpeed - Ultra-Light Wireless Gaming Mouse</t>
        </is>
      </c>
      <c r="E134" t="inlineStr">
        <is>
          <t>Gaming</t>
        </is>
      </c>
      <c r="F134" s="13" t="n">
        <v>849</v>
      </c>
      <c r="G134" s="4" t="inlineStr">
        <is>
          <t>🔗</t>
        </is>
      </c>
      <c r="H134" s="4" t="inlineStr">
        <is>
          <t>🔗</t>
        </is>
      </c>
      <c r="I134" s="4" t="inlineStr">
        <is>
          <t>🔗</t>
        </is>
      </c>
      <c r="J134" s="4" t="inlineStr">
        <is>
          <t>🔗</t>
        </is>
      </c>
      <c r="K134" s="4" t="inlineStr">
        <is>
          <t>🔗</t>
        </is>
      </c>
      <c r="L134" s="5" t="n">
        <v>177.59</v>
      </c>
      <c r="M134" s="5" t="n">
        <v>191.44</v>
      </c>
      <c r="N134" s="6" t="n">
        <v>865.1</v>
      </c>
      <c r="O134" s="6" t="n">
        <v>797.17</v>
      </c>
      <c r="P134" s="6" t="n">
        <v>916.88</v>
      </c>
      <c r="Q134" s="7" t="n"/>
      <c r="R134" s="7" t="n"/>
      <c r="S134" s="8" t="n"/>
      <c r="T134" s="8" t="n"/>
      <c r="U134" s="8" t="n"/>
      <c r="V134" s="9">
        <f>MIN(IF(Q134&lt;&gt;"",Q134*3.75,L134*3.75),IF(R134&lt;&gt;"",R134*3.75,M134*3.75),IF(S134&lt;&gt;"",S134,N134),IF(T134&lt;&gt;"",T134,O134),IF(U134&lt;&gt;"",U134,P134))</f>
        <v/>
      </c>
      <c r="W134" s="10">
        <f>INDEX({"AliExpress","eBay","Amazon.sa","Noon","Jarir"},MATCH(V134,{IF(Q134&lt;&gt;"",Q134*3.75,L134*3.75),IF(R134&lt;&gt;"",R134*3.75,M134*3.75),IF(S134&lt;&gt;"",S134,N134),IF(T134&lt;&gt;"",T134,O134),IF(U134&lt;&gt;"",U134,P134)},0))</f>
        <v/>
      </c>
      <c r="X134" s="9">
        <f>F134-V134</f>
        <v/>
      </c>
      <c r="Y134" s="11">
        <f>IF(V134=0,0,(F134-V134)/V134)</f>
        <v/>
      </c>
      <c r="Z134" s="9">
        <f>CEILING(MAX(V134*1.4,IF(IF(T134&lt;&gt;"",T134,O134)=0,V134*1.5,IF(T134&lt;&gt;"",T134,O134)*0.95)),10)-1</f>
        <v/>
      </c>
      <c r="AA134" s="12">
        <f>IF(IF(T134&lt;&gt;"",T134,O134)=0,"",TEXT((Z134-IF(T134&lt;&gt;"",T134,O134))/IF(T134&lt;&gt;"",T134,O134),"+0.0%;-0.0%"))</f>
        <v/>
      </c>
      <c r="AB134" s="10">
        <f>IF(Y134&gt;0.5,"✅ PROFITABLE — keep",IF(Y134&gt;0.2,"🟡 OK — optimize",IF(Y134&gt;0,"⚠️ THIN — raise or drop","❌ LOSING MONEY")))</f>
        <v/>
      </c>
    </row>
    <row r="135">
      <c r="A135" t="inlineStr">
        <is>
          <t>—</t>
        </is>
      </c>
      <c r="B135" t="n">
        <v>134</v>
      </c>
      <c r="C135" t="inlineStr">
        <is>
          <t>NG-NET-005</t>
        </is>
      </c>
      <c r="D135" t="inlineStr">
        <is>
          <t>Ubiquiti UniFi 6 Lite - WiFi 6 Access Point (AX1500)</t>
        </is>
      </c>
      <c r="E135" t="inlineStr">
        <is>
          <t>Networking</t>
        </is>
      </c>
      <c r="F135" s="13" t="n">
        <v>849</v>
      </c>
      <c r="G135" s="4" t="inlineStr">
        <is>
          <t>🔗</t>
        </is>
      </c>
      <c r="H135" s="4" t="inlineStr">
        <is>
          <t>🔗</t>
        </is>
      </c>
      <c r="I135" s="4" t="inlineStr">
        <is>
          <t>🔗</t>
        </is>
      </c>
      <c r="J135" s="4" t="inlineStr">
        <is>
          <t>🔗</t>
        </is>
      </c>
      <c r="K135" s="4" t="inlineStr">
        <is>
          <t>🔗</t>
        </is>
      </c>
      <c r="L135" s="5" t="n">
        <v>160.55</v>
      </c>
      <c r="M135" s="5" t="n">
        <v>200.23</v>
      </c>
      <c r="N135" s="6" t="n">
        <v>754.22</v>
      </c>
      <c r="O135" s="6" t="n">
        <v>860.9400000000001</v>
      </c>
      <c r="P135" s="6" t="n">
        <v>883.05</v>
      </c>
      <c r="Q135" s="7" t="n"/>
      <c r="R135" s="7" t="n"/>
      <c r="S135" s="8" t="n"/>
      <c r="T135" s="8" t="n"/>
      <c r="U135" s="8" t="n"/>
      <c r="V135" s="9">
        <f>MIN(IF(Q135&lt;&gt;"",Q135*3.75,L135*3.75),IF(R135&lt;&gt;"",R135*3.75,M135*3.75),IF(S135&lt;&gt;"",S135,N135),IF(T135&lt;&gt;"",T135,O135),IF(U135&lt;&gt;"",U135,P135))</f>
        <v/>
      </c>
      <c r="W135" s="10">
        <f>INDEX({"AliExpress","eBay","Amazon.sa","Noon","Jarir"},MATCH(V135,{IF(Q135&lt;&gt;"",Q135*3.75,L135*3.75),IF(R135&lt;&gt;"",R135*3.75,M135*3.75),IF(S135&lt;&gt;"",S135,N135),IF(T135&lt;&gt;"",T135,O135),IF(U135&lt;&gt;"",U135,P135)},0))</f>
        <v/>
      </c>
      <c r="X135" s="9">
        <f>F135-V135</f>
        <v/>
      </c>
      <c r="Y135" s="11">
        <f>IF(V135=0,0,(F135-V135)/V135)</f>
        <v/>
      </c>
      <c r="Z135" s="9">
        <f>CEILING(MAX(V135*1.4,IF(IF(T135&lt;&gt;"",T135,O135)=0,V135*1.5,IF(T135&lt;&gt;"",T135,O135)*0.95)),10)-1</f>
        <v/>
      </c>
      <c r="AA135" s="12">
        <f>IF(IF(T135&lt;&gt;"",T135,O135)=0,"",TEXT((Z135-IF(T135&lt;&gt;"",T135,O135))/IF(T135&lt;&gt;"",T135,O135),"+0.0%;-0.0%"))</f>
        <v/>
      </c>
      <c r="AB135" s="10">
        <f>IF(Y135&gt;0.5,"✅ PROFITABLE — keep",IF(Y135&gt;0.2,"🟡 OK — optimize",IF(Y135&gt;0,"⚠️ THIN — raise or drop","❌ LOSING MONEY")))</f>
        <v/>
      </c>
    </row>
    <row r="136">
      <c r="A136" t="inlineStr">
        <is>
          <t>—</t>
        </is>
      </c>
      <c r="B136" t="n">
        <v>135</v>
      </c>
      <c r="C136" t="inlineStr">
        <is>
          <t>NT-WAP-TPL-002</t>
        </is>
      </c>
      <c r="D136" t="inlineStr">
        <is>
          <t>TP-Link Omada EAP650</t>
        </is>
      </c>
      <c r="E136" t="inlineStr">
        <is>
          <t>Networking</t>
        </is>
      </c>
      <c r="F136" s="13" t="n">
        <v>799</v>
      </c>
      <c r="G136" s="4" t="inlineStr">
        <is>
          <t>🔗</t>
        </is>
      </c>
      <c r="H136" s="4" t="inlineStr">
        <is>
          <t>🔗</t>
        </is>
      </c>
      <c r="I136" s="4" t="inlineStr">
        <is>
          <t>🔗</t>
        </is>
      </c>
      <c r="J136" s="4" t="inlineStr">
        <is>
          <t>🔗</t>
        </is>
      </c>
      <c r="K136" s="4" t="inlineStr">
        <is>
          <t>🔗</t>
        </is>
      </c>
      <c r="L136" s="5" t="n">
        <v>144.82</v>
      </c>
      <c r="M136" s="5" t="n">
        <v>190.96</v>
      </c>
      <c r="N136" s="6" t="n">
        <v>813.63</v>
      </c>
      <c r="O136" s="6" t="n">
        <v>779</v>
      </c>
      <c r="P136" s="6" t="n">
        <v>858.29</v>
      </c>
      <c r="Q136" s="7" t="n"/>
      <c r="R136" s="7" t="n"/>
      <c r="S136" s="8" t="n"/>
      <c r="T136" s="8" t="n"/>
      <c r="U136" s="8" t="n"/>
      <c r="V136" s="9">
        <f>MIN(IF(Q136&lt;&gt;"",Q136*3.75,L136*3.75),IF(R136&lt;&gt;"",R136*3.75,M136*3.75),IF(S136&lt;&gt;"",S136,N136),IF(T136&lt;&gt;"",T136,O136),IF(U136&lt;&gt;"",U136,P136))</f>
        <v/>
      </c>
      <c r="W136" s="10">
        <f>INDEX({"AliExpress","eBay","Amazon.sa","Noon","Jarir"},MATCH(V136,{IF(Q136&lt;&gt;"",Q136*3.75,L136*3.75),IF(R136&lt;&gt;"",R136*3.75,M136*3.75),IF(S136&lt;&gt;"",S136,N136),IF(T136&lt;&gt;"",T136,O136),IF(U136&lt;&gt;"",U136,P136)},0))</f>
        <v/>
      </c>
      <c r="X136" s="9">
        <f>F136-V136</f>
        <v/>
      </c>
      <c r="Y136" s="11">
        <f>IF(V136=0,0,(F136-V136)/V136)</f>
        <v/>
      </c>
      <c r="Z136" s="9">
        <f>CEILING(MAX(V136*1.4,IF(IF(T136&lt;&gt;"",T136,O136)=0,V136*1.5,IF(T136&lt;&gt;"",T136,O136)*0.95)),10)-1</f>
        <v/>
      </c>
      <c r="AA136" s="12">
        <f>IF(IF(T136&lt;&gt;"",T136,O136)=0,"",TEXT((Z136-IF(T136&lt;&gt;"",T136,O136))/IF(T136&lt;&gt;"",T136,O136),"+0.0%;-0.0%"))</f>
        <v/>
      </c>
      <c r="AB136" s="10">
        <f>IF(Y136&gt;0.5,"✅ PROFITABLE — keep",IF(Y136&gt;0.2,"🟡 OK — optimize",IF(Y136&gt;0,"⚠️ THIN — raise or drop","❌ LOSING MONEY")))</f>
        <v/>
      </c>
    </row>
    <row r="137">
      <c r="A137" t="inlineStr">
        <is>
          <t>—</t>
        </is>
      </c>
      <c r="B137" t="n">
        <v>136</v>
      </c>
      <c r="C137" t="inlineStr">
        <is>
          <t>NG-GAM-007</t>
        </is>
      </c>
      <c r="D137" t="inlineStr">
        <is>
          <t>8BitDo Arcade Stick - Authentic Arcade Experience at Home</t>
        </is>
      </c>
      <c r="E137" t="inlineStr">
        <is>
          <t>Gaming</t>
        </is>
      </c>
      <c r="F137" s="13" t="n">
        <v>799</v>
      </c>
      <c r="G137" s="4" t="inlineStr">
        <is>
          <t>🔗</t>
        </is>
      </c>
      <c r="H137" s="4" t="inlineStr">
        <is>
          <t>🔗</t>
        </is>
      </c>
      <c r="I137" s="4" t="inlineStr">
        <is>
          <t>🔗</t>
        </is>
      </c>
      <c r="J137" s="4" t="inlineStr">
        <is>
          <t>🔗</t>
        </is>
      </c>
      <c r="K137" s="4" t="inlineStr">
        <is>
          <t>🔗</t>
        </is>
      </c>
      <c r="L137" s="5" t="n">
        <v>168.63</v>
      </c>
      <c r="M137" s="5" t="n">
        <v>194.11</v>
      </c>
      <c r="N137" s="6" t="n">
        <v>807.86</v>
      </c>
      <c r="O137" s="6" t="n">
        <v>761.64</v>
      </c>
      <c r="P137" s="6" t="n">
        <v>787.71</v>
      </c>
      <c r="Q137" s="7" t="n"/>
      <c r="R137" s="7" t="n"/>
      <c r="S137" s="8" t="n"/>
      <c r="T137" s="8" t="n"/>
      <c r="U137" s="8" t="n"/>
      <c r="V137" s="9">
        <f>MIN(IF(Q137&lt;&gt;"",Q137*3.75,L137*3.75),IF(R137&lt;&gt;"",R137*3.75,M137*3.75),IF(S137&lt;&gt;"",S137,N137),IF(T137&lt;&gt;"",T137,O137),IF(U137&lt;&gt;"",U137,P137))</f>
        <v/>
      </c>
      <c r="W137" s="10">
        <f>INDEX({"AliExpress","eBay","Amazon.sa","Noon","Jarir"},MATCH(V137,{IF(Q137&lt;&gt;"",Q137*3.75,L137*3.75),IF(R137&lt;&gt;"",R137*3.75,M137*3.75),IF(S137&lt;&gt;"",S137,N137),IF(T137&lt;&gt;"",T137,O137),IF(U137&lt;&gt;"",U137,P137)},0))</f>
        <v/>
      </c>
      <c r="X137" s="9">
        <f>F137-V137</f>
        <v/>
      </c>
      <c r="Y137" s="11">
        <f>IF(V137=0,0,(F137-V137)/V137)</f>
        <v/>
      </c>
      <c r="Z137" s="9">
        <f>CEILING(MAX(V137*1.4,IF(IF(T137&lt;&gt;"",T137,O137)=0,V137*1.5,IF(T137&lt;&gt;"",T137,O137)*0.95)),10)-1</f>
        <v/>
      </c>
      <c r="AA137" s="12">
        <f>IF(IF(T137&lt;&gt;"",T137,O137)=0,"",TEXT((Z137-IF(T137&lt;&gt;"",T137,O137))/IF(T137&lt;&gt;"",T137,O137),"+0.0%;-0.0%"))</f>
        <v/>
      </c>
      <c r="AB137" s="10">
        <f>IF(Y137&gt;0.5,"✅ PROFITABLE — keep",IF(Y137&gt;0.2,"🟡 OK — optimize",IF(Y137&gt;0,"⚠️ THIN — raise or drop","❌ LOSING MONEY")))</f>
        <v/>
      </c>
    </row>
    <row r="138">
      <c r="A138" t="inlineStr">
        <is>
          <t>—</t>
        </is>
      </c>
      <c r="B138" t="n">
        <v>137</v>
      </c>
      <c r="C138" t="inlineStr">
        <is>
          <t>NG-NET-001</t>
        </is>
      </c>
      <c r="D138" t="inlineStr">
        <is>
          <t>MikroTik hAP ax3 - WiFi 6 Router with RouterOS Power</t>
        </is>
      </c>
      <c r="E138" t="inlineStr">
        <is>
          <t>Networking</t>
        </is>
      </c>
      <c r="F138" s="13" t="n">
        <v>799</v>
      </c>
      <c r="G138" s="4" t="inlineStr">
        <is>
          <t>🔗</t>
        </is>
      </c>
      <c r="H138" s="4" t="inlineStr">
        <is>
          <t>🔗</t>
        </is>
      </c>
      <c r="I138" s="4" t="inlineStr">
        <is>
          <t>🔗</t>
        </is>
      </c>
      <c r="J138" s="4" t="inlineStr">
        <is>
          <t>🔗</t>
        </is>
      </c>
      <c r="K138" s="4" t="inlineStr">
        <is>
          <t>🔗</t>
        </is>
      </c>
      <c r="L138" s="5" t="n">
        <v>153.17</v>
      </c>
      <c r="M138" s="5" t="n">
        <v>165.49</v>
      </c>
      <c r="N138" s="6" t="n">
        <v>702.76</v>
      </c>
      <c r="O138" s="6" t="n">
        <v>745.88</v>
      </c>
      <c r="P138" s="6" t="n">
        <v>759.48</v>
      </c>
      <c r="Q138" s="7" t="n"/>
      <c r="R138" s="7" t="n"/>
      <c r="S138" s="8" t="n"/>
      <c r="T138" s="8" t="n"/>
      <c r="U138" s="8" t="n"/>
      <c r="V138" s="9">
        <f>MIN(IF(Q138&lt;&gt;"",Q138*3.75,L138*3.75),IF(R138&lt;&gt;"",R138*3.75,M138*3.75),IF(S138&lt;&gt;"",S138,N138),IF(T138&lt;&gt;"",T138,O138),IF(U138&lt;&gt;"",U138,P138))</f>
        <v/>
      </c>
      <c r="W138" s="10">
        <f>INDEX({"AliExpress","eBay","Amazon.sa","Noon","Jarir"},MATCH(V138,{IF(Q138&lt;&gt;"",Q138*3.75,L138*3.75),IF(R138&lt;&gt;"",R138*3.75,M138*3.75),IF(S138&lt;&gt;"",S138,N138),IF(T138&lt;&gt;"",T138,O138),IF(U138&lt;&gt;"",U138,P138)},0))</f>
        <v/>
      </c>
      <c r="X138" s="9">
        <f>F138-V138</f>
        <v/>
      </c>
      <c r="Y138" s="11">
        <f>IF(V138=0,0,(F138-V138)/V138)</f>
        <v/>
      </c>
      <c r="Z138" s="9">
        <f>CEILING(MAX(V138*1.4,IF(IF(T138&lt;&gt;"",T138,O138)=0,V138*1.5,IF(T138&lt;&gt;"",T138,O138)*0.95)),10)-1</f>
        <v/>
      </c>
      <c r="AA138" s="12">
        <f>IF(IF(T138&lt;&gt;"",T138,O138)=0,"",TEXT((Z138-IF(T138&lt;&gt;"",T138,O138))/IF(T138&lt;&gt;"",T138,O138),"+0.0%;-0.0%"))</f>
        <v/>
      </c>
      <c r="AB138" s="10">
        <f>IF(Y138&gt;0.5,"✅ PROFITABLE — keep",IF(Y138&gt;0.2,"🟡 OK — optimize",IF(Y138&gt;0,"⚠️ THIN — raise or drop","❌ LOSING MONEY")))</f>
        <v/>
      </c>
    </row>
    <row r="139">
      <c r="A139" t="inlineStr">
        <is>
          <t>—</t>
        </is>
      </c>
      <c r="B139" t="n">
        <v>138</v>
      </c>
      <c r="C139" t="inlineStr">
        <is>
          <t>GM-RGB-GOV-001</t>
        </is>
      </c>
      <c r="D139" t="inlineStr">
        <is>
          <t>Govee DreamView G1 Pro Gaming Light</t>
        </is>
      </c>
      <c r="E139" t="inlineStr">
        <is>
          <t>Gaming</t>
        </is>
      </c>
      <c r="F139" s="13" t="n">
        <v>749</v>
      </c>
      <c r="G139" s="4" t="inlineStr">
        <is>
          <t>🔗</t>
        </is>
      </c>
      <c r="H139" s="4" t="inlineStr">
        <is>
          <t>🔗</t>
        </is>
      </c>
      <c r="I139" s="4" t="inlineStr">
        <is>
          <t>🔗</t>
        </is>
      </c>
      <c r="J139" s="4" t="inlineStr">
        <is>
          <t>🔗</t>
        </is>
      </c>
      <c r="K139" s="4" t="inlineStr">
        <is>
          <t>🔗</t>
        </is>
      </c>
      <c r="L139" s="5" t="n">
        <v>153.31</v>
      </c>
      <c r="M139" s="5" t="n">
        <v>177.58</v>
      </c>
      <c r="N139" s="6" t="n">
        <v>673.74</v>
      </c>
      <c r="O139" s="6" t="n">
        <v>716.8200000000001</v>
      </c>
      <c r="P139" s="6" t="n">
        <v>801.5700000000001</v>
      </c>
      <c r="Q139" s="7" t="n"/>
      <c r="R139" s="7" t="n"/>
      <c r="S139" s="8" t="n"/>
      <c r="T139" s="8" t="n"/>
      <c r="U139" s="8" t="n"/>
      <c r="V139" s="9">
        <f>MIN(IF(Q139&lt;&gt;"",Q139*3.75,L139*3.75),IF(R139&lt;&gt;"",R139*3.75,M139*3.75),IF(S139&lt;&gt;"",S139,N139),IF(T139&lt;&gt;"",T139,O139),IF(U139&lt;&gt;"",U139,P139))</f>
        <v/>
      </c>
      <c r="W139" s="10">
        <f>INDEX({"AliExpress","eBay","Amazon.sa","Noon","Jarir"},MATCH(V139,{IF(Q139&lt;&gt;"",Q139*3.75,L139*3.75),IF(R139&lt;&gt;"",R139*3.75,M139*3.75),IF(S139&lt;&gt;"",S139,N139),IF(T139&lt;&gt;"",T139,O139),IF(U139&lt;&gt;"",U139,P139)},0))</f>
        <v/>
      </c>
      <c r="X139" s="9">
        <f>F139-V139</f>
        <v/>
      </c>
      <c r="Y139" s="11">
        <f>IF(V139=0,0,(F139-V139)/V139)</f>
        <v/>
      </c>
      <c r="Z139" s="9">
        <f>CEILING(MAX(V139*1.4,IF(IF(T139&lt;&gt;"",T139,O139)=0,V139*1.5,IF(T139&lt;&gt;"",T139,O139)*0.95)),10)-1</f>
        <v/>
      </c>
      <c r="AA139" s="12">
        <f>IF(IF(T139&lt;&gt;"",T139,O139)=0,"",TEXT((Z139-IF(T139&lt;&gt;"",T139,O139))/IF(T139&lt;&gt;"",T139,O139),"+0.0%;-0.0%"))</f>
        <v/>
      </c>
      <c r="AB139" s="10">
        <f>IF(Y139&gt;0.5,"✅ PROFITABLE — keep",IF(Y139&gt;0.2,"🟡 OK — optimize",IF(Y139&gt;0,"⚠️ THIN — raise or drop","❌ LOSING MONEY")))</f>
        <v/>
      </c>
    </row>
    <row r="140">
      <c r="A140" t="inlineStr">
        <is>
          <t>—</t>
        </is>
      </c>
      <c r="B140" t="n">
        <v>139</v>
      </c>
      <c r="C140" t="inlineStr">
        <is>
          <t>NG-SEC-003</t>
        </is>
      </c>
      <c r="D140" t="inlineStr">
        <is>
          <t>Hikvision DS-2CD2143G2-I - 4MP AcuSense Dome Camera</t>
        </is>
      </c>
      <c r="E140" t="inlineStr">
        <is>
          <t>Security &amp;amp; Surveillance</t>
        </is>
      </c>
      <c r="F140" s="13" t="n">
        <v>749</v>
      </c>
      <c r="G140" s="4" t="inlineStr">
        <is>
          <t>🔗</t>
        </is>
      </c>
      <c r="H140" s="4" t="inlineStr">
        <is>
          <t>🔗</t>
        </is>
      </c>
      <c r="I140" s="4" t="inlineStr">
        <is>
          <t>🔗</t>
        </is>
      </c>
      <c r="J140" s="4" t="inlineStr">
        <is>
          <t>🔗</t>
        </is>
      </c>
      <c r="K140" s="4" t="inlineStr">
        <is>
          <t>🔗</t>
        </is>
      </c>
      <c r="L140" s="5" t="n">
        <v>117.96</v>
      </c>
      <c r="M140" s="5" t="n">
        <v>141.97</v>
      </c>
      <c r="N140" s="6" t="n">
        <v>687.1900000000001</v>
      </c>
      <c r="O140" s="6" t="n">
        <v>795.8099999999999</v>
      </c>
      <c r="P140" s="6" t="n">
        <v>824.8</v>
      </c>
      <c r="Q140" s="7" t="n"/>
      <c r="R140" s="7" t="n"/>
      <c r="S140" s="8" t="n"/>
      <c r="T140" s="8" t="n"/>
      <c r="U140" s="8" t="n"/>
      <c r="V140" s="9">
        <f>MIN(IF(Q140&lt;&gt;"",Q140*3.75,L140*3.75),IF(R140&lt;&gt;"",R140*3.75,M140*3.75),IF(S140&lt;&gt;"",S140,N140),IF(T140&lt;&gt;"",T140,O140),IF(U140&lt;&gt;"",U140,P140))</f>
        <v/>
      </c>
      <c r="W140" s="10">
        <f>INDEX({"AliExpress","eBay","Amazon.sa","Noon","Jarir"},MATCH(V140,{IF(Q140&lt;&gt;"",Q140*3.75,L140*3.75),IF(R140&lt;&gt;"",R140*3.75,M140*3.75),IF(S140&lt;&gt;"",S140,N140),IF(T140&lt;&gt;"",T140,O140),IF(U140&lt;&gt;"",U140,P140)},0))</f>
        <v/>
      </c>
      <c r="X140" s="9">
        <f>F140-V140</f>
        <v/>
      </c>
      <c r="Y140" s="11">
        <f>IF(V140=0,0,(F140-V140)/V140)</f>
        <v/>
      </c>
      <c r="Z140" s="9">
        <f>CEILING(MAX(V140*1.4,IF(IF(T140&lt;&gt;"",T140,O140)=0,V140*1.5,IF(T140&lt;&gt;"",T140,O140)*0.95)),10)-1</f>
        <v/>
      </c>
      <c r="AA140" s="12">
        <f>IF(IF(T140&lt;&gt;"",T140,O140)=0,"",TEXT((Z140-IF(T140&lt;&gt;"",T140,O140))/IF(T140&lt;&gt;"",T140,O140),"+0.0%;-0.0%"))</f>
        <v/>
      </c>
      <c r="AB140" s="10">
        <f>IF(Y140&gt;0.5,"✅ PROFITABLE — keep",IF(Y140&gt;0.2,"🟡 OK — optimize",IF(Y140&gt;0,"⚠️ THIN — raise or drop","❌ LOSING MONEY")))</f>
        <v/>
      </c>
    </row>
    <row r="141">
      <c r="A141" t="inlineStr">
        <is>
          <t>—</t>
        </is>
      </c>
      <c r="B141" t="n">
        <v>140</v>
      </c>
      <c r="C141" t="inlineStr">
        <is>
          <t>SH-HUB-HASS-001</t>
        </is>
      </c>
      <c r="D141" t="inlineStr">
        <is>
          <t>Home Assistant Green</t>
        </is>
      </c>
      <c r="E141" t="inlineStr">
        <is>
          <t>Smart Home &amp;amp; IoT</t>
        </is>
      </c>
      <c r="F141" s="13" t="n">
        <v>699</v>
      </c>
      <c r="G141" s="4" t="inlineStr">
        <is>
          <t>🔗</t>
        </is>
      </c>
      <c r="H141" s="4" t="inlineStr">
        <is>
          <t>🔗</t>
        </is>
      </c>
      <c r="I141" s="4" t="inlineStr">
        <is>
          <t>🔗</t>
        </is>
      </c>
      <c r="J141" s="4" t="inlineStr">
        <is>
          <t>🔗</t>
        </is>
      </c>
      <c r="K141" s="4" t="inlineStr">
        <is>
          <t>🔗</t>
        </is>
      </c>
      <c r="L141" s="5" t="n">
        <v>88.54000000000001</v>
      </c>
      <c r="M141" s="5" t="n">
        <v>130.87</v>
      </c>
      <c r="N141" s="6" t="n">
        <v>652.46</v>
      </c>
      <c r="O141" s="6" t="n">
        <v>633.49</v>
      </c>
      <c r="P141" s="6" t="n">
        <v>717.9</v>
      </c>
      <c r="Q141" s="7" t="n"/>
      <c r="R141" s="7" t="n"/>
      <c r="S141" s="8" t="n"/>
      <c r="T141" s="8" t="n"/>
      <c r="U141" s="8" t="n"/>
      <c r="V141" s="9">
        <f>MIN(IF(Q141&lt;&gt;"",Q141*3.75,L141*3.75),IF(R141&lt;&gt;"",R141*3.75,M141*3.75),IF(S141&lt;&gt;"",S141,N141),IF(T141&lt;&gt;"",T141,O141),IF(U141&lt;&gt;"",U141,P141))</f>
        <v/>
      </c>
      <c r="W141" s="10">
        <f>INDEX({"AliExpress","eBay","Amazon.sa","Noon","Jarir"},MATCH(V141,{IF(Q141&lt;&gt;"",Q141*3.75,L141*3.75),IF(R141&lt;&gt;"",R141*3.75,M141*3.75),IF(S141&lt;&gt;"",S141,N141),IF(T141&lt;&gt;"",T141,O141),IF(U141&lt;&gt;"",U141,P141)},0))</f>
        <v/>
      </c>
      <c r="X141" s="9">
        <f>F141-V141</f>
        <v/>
      </c>
      <c r="Y141" s="11">
        <f>IF(V141=0,0,(F141-V141)/V141)</f>
        <v/>
      </c>
      <c r="Z141" s="9">
        <f>CEILING(MAX(V141*1.4,IF(IF(T141&lt;&gt;"",T141,O141)=0,V141*1.5,IF(T141&lt;&gt;"",T141,O141)*0.95)),10)-1</f>
        <v/>
      </c>
      <c r="AA141" s="12">
        <f>IF(IF(T141&lt;&gt;"",T141,O141)=0,"",TEXT((Z141-IF(T141&lt;&gt;"",T141,O141))/IF(T141&lt;&gt;"",T141,O141),"+0.0%;-0.0%"))</f>
        <v/>
      </c>
      <c r="AB141" s="10">
        <f>IF(Y141&gt;0.5,"✅ PROFITABLE — keep",IF(Y141&gt;0.2,"🟡 OK — optimize",IF(Y141&gt;0,"⚠️ THIN — raise or drop","❌ LOSING MONEY")))</f>
        <v/>
      </c>
    </row>
    <row r="142">
      <c r="A142" t="inlineStr">
        <is>
          <t>—</t>
        </is>
      </c>
      <c r="B142" t="n">
        <v>141</v>
      </c>
      <c r="C142" t="inlineStr">
        <is>
          <t>SH-DSP-GGLE-001</t>
        </is>
      </c>
      <c r="D142" t="inlineStr">
        <is>
          <t>Google Nest Hub (2nd Gen)</t>
        </is>
      </c>
      <c r="E142" t="inlineStr">
        <is>
          <t>Smart Home &amp;amp; IoT</t>
        </is>
      </c>
      <c r="F142" s="13" t="n">
        <v>699</v>
      </c>
      <c r="G142" s="4" t="inlineStr">
        <is>
          <t>🔗</t>
        </is>
      </c>
      <c r="H142" s="4" t="inlineStr">
        <is>
          <t>🔗</t>
        </is>
      </c>
      <c r="I142" s="4" t="inlineStr">
        <is>
          <t>🔗</t>
        </is>
      </c>
      <c r="J142" s="4" t="inlineStr">
        <is>
          <t>🔗</t>
        </is>
      </c>
      <c r="K142" s="4" t="inlineStr">
        <is>
          <t>🔗</t>
        </is>
      </c>
      <c r="L142" s="5" t="n">
        <v>89.38</v>
      </c>
      <c r="M142" s="5" t="n">
        <v>141.47</v>
      </c>
      <c r="N142" s="6" t="n">
        <v>633.75</v>
      </c>
      <c r="O142" s="6" t="n">
        <v>571.6799999999999</v>
      </c>
      <c r="P142" s="6" t="n">
        <v>646.4299999999999</v>
      </c>
      <c r="Q142" s="7" t="n"/>
      <c r="R142" s="7" t="n"/>
      <c r="S142" s="8" t="n"/>
      <c r="T142" s="8" t="n"/>
      <c r="U142" s="8" t="n"/>
      <c r="V142" s="9">
        <f>MIN(IF(Q142&lt;&gt;"",Q142*3.75,L142*3.75),IF(R142&lt;&gt;"",R142*3.75,M142*3.75),IF(S142&lt;&gt;"",S142,N142),IF(T142&lt;&gt;"",T142,O142),IF(U142&lt;&gt;"",U142,P142))</f>
        <v/>
      </c>
      <c r="W142" s="10">
        <f>INDEX({"AliExpress","eBay","Amazon.sa","Noon","Jarir"},MATCH(V142,{IF(Q142&lt;&gt;"",Q142*3.75,L142*3.75),IF(R142&lt;&gt;"",R142*3.75,M142*3.75),IF(S142&lt;&gt;"",S142,N142),IF(T142&lt;&gt;"",T142,O142),IF(U142&lt;&gt;"",U142,P142)},0))</f>
        <v/>
      </c>
      <c r="X142" s="9">
        <f>F142-V142</f>
        <v/>
      </c>
      <c r="Y142" s="11">
        <f>IF(V142=0,0,(F142-V142)/V142)</f>
        <v/>
      </c>
      <c r="Z142" s="9">
        <f>CEILING(MAX(V142*1.4,IF(IF(T142&lt;&gt;"",T142,O142)=0,V142*1.5,IF(T142&lt;&gt;"",T142,O142)*0.95)),10)-1</f>
        <v/>
      </c>
      <c r="AA142" s="12">
        <f>IF(IF(T142&lt;&gt;"",T142,O142)=0,"",TEXT((Z142-IF(T142&lt;&gt;"",T142,O142))/IF(T142&lt;&gt;"",T142,O142),"+0.0%;-0.0%"))</f>
        <v/>
      </c>
      <c r="AB142" s="10">
        <f>IF(Y142&gt;0.5,"✅ PROFITABLE — keep",IF(Y142&gt;0.2,"🟡 OK — optimize",IF(Y142&gt;0,"⚠️ THIN — raise or drop","❌ LOSING MONEY")))</f>
        <v/>
      </c>
    </row>
    <row r="143">
      <c r="A143" t="inlineStr">
        <is>
          <t>—</t>
        </is>
      </c>
      <c r="B143" t="n">
        <v>142</v>
      </c>
      <c r="C143" t="inlineStr">
        <is>
          <t>SH-SPK-GGLE-001</t>
        </is>
      </c>
      <c r="D143" t="inlineStr">
        <is>
          <t>Google Nest Audio</t>
        </is>
      </c>
      <c r="E143" t="inlineStr">
        <is>
          <t>Smart Home &amp;amp; IoT</t>
        </is>
      </c>
      <c r="F143" s="13" t="n">
        <v>699</v>
      </c>
      <c r="G143" s="4" t="inlineStr">
        <is>
          <t>🔗</t>
        </is>
      </c>
      <c r="H143" s="4" t="inlineStr">
        <is>
          <t>🔗</t>
        </is>
      </c>
      <c r="I143" s="4" t="inlineStr">
        <is>
          <t>🔗</t>
        </is>
      </c>
      <c r="J143" s="4" t="inlineStr">
        <is>
          <t>🔗</t>
        </is>
      </c>
      <c r="K143" s="4" t="inlineStr">
        <is>
          <t>🔗</t>
        </is>
      </c>
      <c r="L143" s="5" t="n">
        <v>76.70999999999999</v>
      </c>
      <c r="M143" s="5" t="n">
        <v>134.63</v>
      </c>
      <c r="N143" s="6" t="n">
        <v>588.77</v>
      </c>
      <c r="O143" s="6" t="n">
        <v>609.63</v>
      </c>
      <c r="P143" s="6" t="n">
        <v>638.59</v>
      </c>
      <c r="Q143" s="7" t="n"/>
      <c r="R143" s="7" t="n"/>
      <c r="S143" s="8" t="n"/>
      <c r="T143" s="8" t="n"/>
      <c r="U143" s="8" t="n"/>
      <c r="V143" s="9">
        <f>MIN(IF(Q143&lt;&gt;"",Q143*3.75,L143*3.75),IF(R143&lt;&gt;"",R143*3.75,M143*3.75),IF(S143&lt;&gt;"",S143,N143),IF(T143&lt;&gt;"",T143,O143),IF(U143&lt;&gt;"",U143,P143))</f>
        <v/>
      </c>
      <c r="W143" s="10">
        <f>INDEX({"AliExpress","eBay","Amazon.sa","Noon","Jarir"},MATCH(V143,{IF(Q143&lt;&gt;"",Q143*3.75,L143*3.75),IF(R143&lt;&gt;"",R143*3.75,M143*3.75),IF(S143&lt;&gt;"",S143,N143),IF(T143&lt;&gt;"",T143,O143),IF(U143&lt;&gt;"",U143,P143)},0))</f>
        <v/>
      </c>
      <c r="X143" s="9">
        <f>F143-V143</f>
        <v/>
      </c>
      <c r="Y143" s="11">
        <f>IF(V143=0,0,(F143-V143)/V143)</f>
        <v/>
      </c>
      <c r="Z143" s="9">
        <f>CEILING(MAX(V143*1.4,IF(IF(T143&lt;&gt;"",T143,O143)=0,V143*1.5,IF(T143&lt;&gt;"",T143,O143)*0.95)),10)-1</f>
        <v/>
      </c>
      <c r="AA143" s="12">
        <f>IF(IF(T143&lt;&gt;"",T143,O143)=0,"",TEXT((Z143-IF(T143&lt;&gt;"",T143,O143))/IF(T143&lt;&gt;"",T143,O143),"+0.0%;-0.0%"))</f>
        <v/>
      </c>
      <c r="AB143" s="10">
        <f>IF(Y143&gt;0.5,"✅ PROFITABLE — keep",IF(Y143&gt;0.2,"🟡 OK — optimize",IF(Y143&gt;0,"⚠️ THIN — raise or drop","❌ LOSING MONEY")))</f>
        <v/>
      </c>
    </row>
    <row r="144">
      <c r="A144" t="inlineStr">
        <is>
          <t>—</t>
        </is>
      </c>
      <c r="B144" t="n">
        <v>143</v>
      </c>
      <c r="C144" t="inlineStr">
        <is>
          <t>SH-SPK-APPL-001</t>
        </is>
      </c>
      <c r="D144" t="inlineStr">
        <is>
          <t>Apple HomePod Mini</t>
        </is>
      </c>
      <c r="E144" t="inlineStr">
        <is>
          <t>Smart Home &amp;amp; IoT</t>
        </is>
      </c>
      <c r="F144" s="13" t="n">
        <v>699</v>
      </c>
      <c r="G144" s="4" t="inlineStr">
        <is>
          <t>🔗</t>
        </is>
      </c>
      <c r="H144" s="4" t="inlineStr">
        <is>
          <t>🔗</t>
        </is>
      </c>
      <c r="I144" s="4" t="inlineStr">
        <is>
          <t>🔗</t>
        </is>
      </c>
      <c r="J144" s="4" t="inlineStr">
        <is>
          <t>🔗</t>
        </is>
      </c>
      <c r="K144" s="4" t="inlineStr">
        <is>
          <t>🔗</t>
        </is>
      </c>
      <c r="L144" s="5" t="n">
        <v>90.91</v>
      </c>
      <c r="M144" s="5" t="n">
        <v>132.52</v>
      </c>
      <c r="N144" s="6" t="n">
        <v>654.03</v>
      </c>
      <c r="O144" s="6" t="n">
        <v>646.66</v>
      </c>
      <c r="P144" s="6" t="n">
        <v>708.3099999999999</v>
      </c>
      <c r="Q144" s="7" t="n"/>
      <c r="R144" s="7" t="n"/>
      <c r="S144" s="8" t="n"/>
      <c r="T144" s="8" t="n"/>
      <c r="U144" s="8" t="n"/>
      <c r="V144" s="9">
        <f>MIN(IF(Q144&lt;&gt;"",Q144*3.75,L144*3.75),IF(R144&lt;&gt;"",R144*3.75,M144*3.75),IF(S144&lt;&gt;"",S144,N144),IF(T144&lt;&gt;"",T144,O144),IF(U144&lt;&gt;"",U144,P144))</f>
        <v/>
      </c>
      <c r="W144" s="10">
        <f>INDEX({"AliExpress","eBay","Amazon.sa","Noon","Jarir"},MATCH(V144,{IF(Q144&lt;&gt;"",Q144*3.75,L144*3.75),IF(R144&lt;&gt;"",R144*3.75,M144*3.75),IF(S144&lt;&gt;"",S144,N144),IF(T144&lt;&gt;"",T144,O144),IF(U144&lt;&gt;"",U144,P144)},0))</f>
        <v/>
      </c>
      <c r="X144" s="9">
        <f>F144-V144</f>
        <v/>
      </c>
      <c r="Y144" s="11">
        <f>IF(V144=0,0,(F144-V144)/V144)</f>
        <v/>
      </c>
      <c r="Z144" s="9">
        <f>CEILING(MAX(V144*1.4,IF(IF(T144&lt;&gt;"",T144,O144)=0,V144*1.5,IF(T144&lt;&gt;"",T144,O144)*0.95)),10)-1</f>
        <v/>
      </c>
      <c r="AA144" s="12">
        <f>IF(IF(T144&lt;&gt;"",T144,O144)=0,"",TEXT((Z144-IF(T144&lt;&gt;"",T144,O144))/IF(T144&lt;&gt;"",T144,O144),"+0.0%;-0.0%"))</f>
        <v/>
      </c>
      <c r="AB144" s="10">
        <f>IF(Y144&gt;0.5,"✅ PROFITABLE — keep",IF(Y144&gt;0.2,"🟡 OK — optimize",IF(Y144&gt;0,"⚠️ THIN — raise or drop","❌ LOSING MONEY")))</f>
        <v/>
      </c>
    </row>
    <row r="145">
      <c r="A145" t="inlineStr">
        <is>
          <t>—</t>
        </is>
      </c>
      <c r="B145" t="n">
        <v>144</v>
      </c>
      <c r="C145" t="inlineStr">
        <is>
          <t>SH-SPK-AMZN-001</t>
        </is>
      </c>
      <c r="D145" t="inlineStr">
        <is>
          <t>Amazon Echo (4th Gen)</t>
        </is>
      </c>
      <c r="E145" t="inlineStr">
        <is>
          <t>Smart Home &amp;amp; IoT</t>
        </is>
      </c>
      <c r="F145" s="13" t="n">
        <v>699</v>
      </c>
      <c r="G145" s="4" t="inlineStr">
        <is>
          <t>🔗</t>
        </is>
      </c>
      <c r="H145" s="4" t="inlineStr">
        <is>
          <t>🔗</t>
        </is>
      </c>
      <c r="I145" s="4" t="inlineStr">
        <is>
          <t>🔗</t>
        </is>
      </c>
      <c r="J145" s="4" t="inlineStr">
        <is>
          <t>🔗</t>
        </is>
      </c>
      <c r="K145" s="4" t="inlineStr">
        <is>
          <t>🔗</t>
        </is>
      </c>
      <c r="L145" s="5" t="n">
        <v>68.23999999999999</v>
      </c>
      <c r="M145" s="5" t="n">
        <v>104.23</v>
      </c>
      <c r="N145" s="6" t="n">
        <v>564.8</v>
      </c>
      <c r="O145" s="6" t="n">
        <v>615.53</v>
      </c>
      <c r="P145" s="6" t="n">
        <v>662.37</v>
      </c>
      <c r="Q145" s="7" t="n"/>
      <c r="R145" s="7" t="n"/>
      <c r="S145" s="8" t="n"/>
      <c r="T145" s="8" t="n"/>
      <c r="U145" s="8" t="n"/>
      <c r="V145" s="9">
        <f>MIN(IF(Q145&lt;&gt;"",Q145*3.75,L145*3.75),IF(R145&lt;&gt;"",R145*3.75,M145*3.75),IF(S145&lt;&gt;"",S145,N145),IF(T145&lt;&gt;"",T145,O145),IF(U145&lt;&gt;"",U145,P145))</f>
        <v/>
      </c>
      <c r="W145" s="10">
        <f>INDEX({"AliExpress","eBay","Amazon.sa","Noon","Jarir"},MATCH(V145,{IF(Q145&lt;&gt;"",Q145*3.75,L145*3.75),IF(R145&lt;&gt;"",R145*3.75,M145*3.75),IF(S145&lt;&gt;"",S145,N145),IF(T145&lt;&gt;"",T145,O145),IF(U145&lt;&gt;"",U145,P145)},0))</f>
        <v/>
      </c>
      <c r="X145" s="9">
        <f>F145-V145</f>
        <v/>
      </c>
      <c r="Y145" s="11">
        <f>IF(V145=0,0,(F145-V145)/V145)</f>
        <v/>
      </c>
      <c r="Z145" s="9">
        <f>CEILING(MAX(V145*1.4,IF(IF(T145&lt;&gt;"",T145,O145)=0,V145*1.5,IF(T145&lt;&gt;"",T145,O145)*0.95)),10)-1</f>
        <v/>
      </c>
      <c r="AA145" s="12">
        <f>IF(IF(T145&lt;&gt;"",T145,O145)=0,"",TEXT((Z145-IF(T145&lt;&gt;"",T145,O145))/IF(T145&lt;&gt;"",T145,O145),"+0.0%;-0.0%"))</f>
        <v/>
      </c>
      <c r="AB145" s="10">
        <f>IF(Y145&gt;0.5,"✅ PROFITABLE — keep",IF(Y145&gt;0.2,"🟡 OK — optimize",IF(Y145&gt;0,"⚠️ THIN — raise or drop","❌ LOSING MONEY")))</f>
        <v/>
      </c>
    </row>
    <row r="146">
      <c r="A146" t="inlineStr">
        <is>
          <t>—</t>
        </is>
      </c>
      <c r="B146" t="n">
        <v>145</v>
      </c>
      <c r="C146" t="inlineStr">
        <is>
          <t>NG-MKR-009</t>
        </is>
      </c>
      <c r="D146" t="inlineStr">
        <is>
          <t>ESP32-S3 DevKit 10-Pack - Wi-Fi + Bluetooth 5 Microcontroller for Smart Projects</t>
        </is>
      </c>
      <c r="E146" t="inlineStr">
        <is>
          <t>Hardware</t>
        </is>
      </c>
      <c r="F146" s="13" t="n">
        <v>699</v>
      </c>
      <c r="G146" s="4" t="inlineStr">
        <is>
          <t>🔗</t>
        </is>
      </c>
      <c r="H146" s="4" t="inlineStr">
        <is>
          <t>🔗</t>
        </is>
      </c>
      <c r="I146" s="4" t="inlineStr">
        <is>
          <t>🔗</t>
        </is>
      </c>
      <c r="J146" s="4" t="inlineStr">
        <is>
          <t>🔗</t>
        </is>
      </c>
      <c r="K146" s="4" t="inlineStr">
        <is>
          <t>🔗</t>
        </is>
      </c>
      <c r="L146" s="5" t="n">
        <v>155.06</v>
      </c>
      <c r="M146" s="5" t="n">
        <v>185.34</v>
      </c>
      <c r="N146" s="6" t="n">
        <v>714.46</v>
      </c>
      <c r="O146" s="6" t="n">
        <v>707.41</v>
      </c>
      <c r="P146" s="6" t="n">
        <v>777.03</v>
      </c>
      <c r="Q146" s="7" t="n"/>
      <c r="R146" s="7" t="n"/>
      <c r="S146" s="8" t="n"/>
      <c r="T146" s="8" t="n"/>
      <c r="U146" s="8" t="n"/>
      <c r="V146" s="9">
        <f>MIN(IF(Q146&lt;&gt;"",Q146*3.75,L146*3.75),IF(R146&lt;&gt;"",R146*3.75,M146*3.75),IF(S146&lt;&gt;"",S146,N146),IF(T146&lt;&gt;"",T146,O146),IF(U146&lt;&gt;"",U146,P146))</f>
        <v/>
      </c>
      <c r="W146" s="10">
        <f>INDEX({"AliExpress","eBay","Amazon.sa","Noon","Jarir"},MATCH(V146,{IF(Q146&lt;&gt;"",Q146*3.75,L146*3.75),IF(R146&lt;&gt;"",R146*3.75,M146*3.75),IF(S146&lt;&gt;"",S146,N146),IF(T146&lt;&gt;"",T146,O146),IF(U146&lt;&gt;"",U146,P146)},0))</f>
        <v/>
      </c>
      <c r="X146" s="9">
        <f>F146-V146</f>
        <v/>
      </c>
      <c r="Y146" s="11">
        <f>IF(V146=0,0,(F146-V146)/V146)</f>
        <v/>
      </c>
      <c r="Z146" s="9">
        <f>CEILING(MAX(V146*1.4,IF(IF(T146&lt;&gt;"",T146,O146)=0,V146*1.5,IF(T146&lt;&gt;"",T146,O146)*0.95)),10)-1</f>
        <v/>
      </c>
      <c r="AA146" s="12">
        <f>IF(IF(T146&lt;&gt;"",T146,O146)=0,"",TEXT((Z146-IF(T146&lt;&gt;"",T146,O146))/IF(T146&lt;&gt;"",T146,O146),"+0.0%;-0.0%"))</f>
        <v/>
      </c>
      <c r="AB146" s="10">
        <f>IF(Y146&gt;0.5,"✅ PROFITABLE — keep",IF(Y146&gt;0.2,"🟡 OK — optimize",IF(Y146&gt;0,"⚠️ THIN — raise or drop","❌ LOSING MONEY")))</f>
        <v/>
      </c>
    </row>
    <row r="147">
      <c r="A147" t="inlineStr">
        <is>
          <t>—</t>
        </is>
      </c>
      <c r="B147" t="n">
        <v>146</v>
      </c>
      <c r="C147" t="inlineStr">
        <is>
          <t>NG-SH-013</t>
        </is>
      </c>
      <c r="D147" t="inlineStr">
        <is>
          <t>Zemismart Zigbee Smart Tubular Motor (ZM25TQ) - Heavy-Duty Roller Blind Motor</t>
        </is>
      </c>
      <c r="E147" t="inlineStr">
        <is>
          <t>Smart Home &amp;amp; IoT</t>
        </is>
      </c>
      <c r="F147" s="13" t="n">
        <v>699</v>
      </c>
      <c r="G147" s="4" t="inlineStr">
        <is>
          <t>🔗</t>
        </is>
      </c>
      <c r="H147" s="4" t="inlineStr">
        <is>
          <t>🔗</t>
        </is>
      </c>
      <c r="I147" s="4" t="inlineStr">
        <is>
          <t>🔗</t>
        </is>
      </c>
      <c r="J147" s="4" t="inlineStr">
        <is>
          <t>🔗</t>
        </is>
      </c>
      <c r="K147" s="4" t="inlineStr">
        <is>
          <t>🔗</t>
        </is>
      </c>
      <c r="L147" s="5" t="n">
        <v>102.5</v>
      </c>
      <c r="M147" s="5" t="n">
        <v>131.34</v>
      </c>
      <c r="N147" s="6" t="n">
        <v>536.4</v>
      </c>
      <c r="O147" s="6" t="n">
        <v>566.23</v>
      </c>
      <c r="P147" s="6" t="n">
        <v>757.85</v>
      </c>
      <c r="Q147" s="7" t="n"/>
      <c r="R147" s="7" t="n"/>
      <c r="S147" s="8" t="n"/>
      <c r="T147" s="8" t="n"/>
      <c r="U147" s="8" t="n"/>
      <c r="V147" s="9">
        <f>MIN(IF(Q147&lt;&gt;"",Q147*3.75,L147*3.75),IF(R147&lt;&gt;"",R147*3.75,M147*3.75),IF(S147&lt;&gt;"",S147,N147),IF(T147&lt;&gt;"",T147,O147),IF(U147&lt;&gt;"",U147,P147))</f>
        <v/>
      </c>
      <c r="W147" s="10">
        <f>INDEX({"AliExpress","eBay","Amazon.sa","Noon","Jarir"},MATCH(V147,{IF(Q147&lt;&gt;"",Q147*3.75,L147*3.75),IF(R147&lt;&gt;"",R147*3.75,M147*3.75),IF(S147&lt;&gt;"",S147,N147),IF(T147&lt;&gt;"",T147,O147),IF(U147&lt;&gt;"",U147,P147)},0))</f>
        <v/>
      </c>
      <c r="X147" s="9">
        <f>F147-V147</f>
        <v/>
      </c>
      <c r="Y147" s="11">
        <f>IF(V147=0,0,(F147-V147)/V147)</f>
        <v/>
      </c>
      <c r="Z147" s="9">
        <f>CEILING(MAX(V147*1.4,IF(IF(T147&lt;&gt;"",T147,O147)=0,V147*1.5,IF(T147&lt;&gt;"",T147,O147)*0.95)),10)-1</f>
        <v/>
      </c>
      <c r="AA147" s="12">
        <f>IF(IF(T147&lt;&gt;"",T147,O147)=0,"",TEXT((Z147-IF(T147&lt;&gt;"",T147,O147))/IF(T147&lt;&gt;"",T147,O147),"+0.0%;-0.0%"))</f>
        <v/>
      </c>
      <c r="AB147" s="10">
        <f>IF(Y147&gt;0.5,"✅ PROFITABLE — keep",IF(Y147&gt;0.2,"🟡 OK — optimize",IF(Y147&gt;0,"⚠️ THIN — raise or drop","❌ LOSING MONEY")))</f>
        <v/>
      </c>
    </row>
    <row r="148">
      <c r="A148" t="inlineStr">
        <is>
          <t>—</t>
        </is>
      </c>
      <c r="B148" t="n">
        <v>147</v>
      </c>
      <c r="C148" t="inlineStr">
        <is>
          <t>SH-BLD-SWBT-001</t>
        </is>
      </c>
      <c r="D148" t="inlineStr">
        <is>
          <t>SwitchBot Curtain 3</t>
        </is>
      </c>
      <c r="E148" t="inlineStr">
        <is>
          <t>Smart Home &amp;amp; IoT</t>
        </is>
      </c>
      <c r="F148" s="13" t="n">
        <v>649</v>
      </c>
      <c r="G148" s="4" t="inlineStr">
        <is>
          <t>🔗</t>
        </is>
      </c>
      <c r="H148" s="4" t="inlineStr">
        <is>
          <t>🔗</t>
        </is>
      </c>
      <c r="I148" s="4" t="inlineStr">
        <is>
          <t>🔗</t>
        </is>
      </c>
      <c r="J148" s="4" t="inlineStr">
        <is>
          <t>🔗</t>
        </is>
      </c>
      <c r="K148" s="4" t="inlineStr">
        <is>
          <t>🔗</t>
        </is>
      </c>
      <c r="L148" s="5" t="n">
        <v>76.86</v>
      </c>
      <c r="M148" s="5" t="n">
        <v>121.12</v>
      </c>
      <c r="N148" s="6" t="n">
        <v>602.9299999999999</v>
      </c>
      <c r="O148" s="6" t="n">
        <v>548.65</v>
      </c>
      <c r="P148" s="6" t="n">
        <v>673.6900000000001</v>
      </c>
      <c r="Q148" s="7" t="n"/>
      <c r="R148" s="7" t="n"/>
      <c r="S148" s="8" t="n"/>
      <c r="T148" s="8" t="n"/>
      <c r="U148" s="8" t="n"/>
      <c r="V148" s="9">
        <f>MIN(IF(Q148&lt;&gt;"",Q148*3.75,L148*3.75),IF(R148&lt;&gt;"",R148*3.75,M148*3.75),IF(S148&lt;&gt;"",S148,N148),IF(T148&lt;&gt;"",T148,O148),IF(U148&lt;&gt;"",U148,P148))</f>
        <v/>
      </c>
      <c r="W148" s="10">
        <f>INDEX({"AliExpress","eBay","Amazon.sa","Noon","Jarir"},MATCH(V148,{IF(Q148&lt;&gt;"",Q148*3.75,L148*3.75),IF(R148&lt;&gt;"",R148*3.75,M148*3.75),IF(S148&lt;&gt;"",S148,N148),IF(T148&lt;&gt;"",T148,O148),IF(U148&lt;&gt;"",U148,P148)},0))</f>
        <v/>
      </c>
      <c r="X148" s="9">
        <f>F148-V148</f>
        <v/>
      </c>
      <c r="Y148" s="11">
        <f>IF(V148=0,0,(F148-V148)/V148)</f>
        <v/>
      </c>
      <c r="Z148" s="9">
        <f>CEILING(MAX(V148*1.4,IF(IF(T148&lt;&gt;"",T148,O148)=0,V148*1.5,IF(T148&lt;&gt;"",T148,O148)*0.95)),10)-1</f>
        <v/>
      </c>
      <c r="AA148" s="12">
        <f>IF(IF(T148&lt;&gt;"",T148,O148)=0,"",TEXT((Z148-IF(T148&lt;&gt;"",T148,O148))/IF(T148&lt;&gt;"",T148,O148),"+0.0%;-0.0%"))</f>
        <v/>
      </c>
      <c r="AB148" s="10">
        <f>IF(Y148&gt;0.5,"✅ PROFITABLE — keep",IF(Y148&gt;0.2,"🟡 OK — optimize",IF(Y148&gt;0,"⚠️ THIN — raise or drop","❌ LOSING MONEY")))</f>
        <v/>
      </c>
    </row>
    <row r="149">
      <c r="A149" t="inlineStr">
        <is>
          <t>—</t>
        </is>
      </c>
      <c r="B149" t="n">
        <v>148</v>
      </c>
      <c r="C149" t="inlineStr">
        <is>
          <t>NG-GAM-008</t>
        </is>
      </c>
      <c r="D149" t="inlineStr">
        <is>
          <t>Razer Basilisk V3 X HyperSpeed - Versatile Wireless Gaming Mouse</t>
        </is>
      </c>
      <c r="E149" t="inlineStr">
        <is>
          <t>Gaming</t>
        </is>
      </c>
      <c r="F149" s="13" t="n">
        <v>649</v>
      </c>
      <c r="G149" s="4" t="inlineStr">
        <is>
          <t>🔗</t>
        </is>
      </c>
      <c r="H149" s="4" t="inlineStr">
        <is>
          <t>🔗</t>
        </is>
      </c>
      <c r="I149" s="4" t="inlineStr">
        <is>
          <t>🔗</t>
        </is>
      </c>
      <c r="J149" s="4" t="inlineStr">
        <is>
          <t>🔗</t>
        </is>
      </c>
      <c r="K149" s="4" t="inlineStr">
        <is>
          <t>🔗</t>
        </is>
      </c>
      <c r="L149" s="5" t="n">
        <v>137.63</v>
      </c>
      <c r="M149" s="5" t="n">
        <v>151.22</v>
      </c>
      <c r="N149" s="6" t="n">
        <v>561.72</v>
      </c>
      <c r="O149" s="6" t="n">
        <v>633.21</v>
      </c>
      <c r="P149" s="6" t="n">
        <v>653.3200000000001</v>
      </c>
      <c r="Q149" s="7" t="n"/>
      <c r="R149" s="7" t="n"/>
      <c r="S149" s="8" t="n"/>
      <c r="T149" s="8" t="n"/>
      <c r="U149" s="8" t="n"/>
      <c r="V149" s="9">
        <f>MIN(IF(Q149&lt;&gt;"",Q149*3.75,L149*3.75),IF(R149&lt;&gt;"",R149*3.75,M149*3.75),IF(S149&lt;&gt;"",S149,N149),IF(T149&lt;&gt;"",T149,O149),IF(U149&lt;&gt;"",U149,P149))</f>
        <v/>
      </c>
      <c r="W149" s="10">
        <f>INDEX({"AliExpress","eBay","Amazon.sa","Noon","Jarir"},MATCH(V149,{IF(Q149&lt;&gt;"",Q149*3.75,L149*3.75),IF(R149&lt;&gt;"",R149*3.75,M149*3.75),IF(S149&lt;&gt;"",S149,N149),IF(T149&lt;&gt;"",T149,O149),IF(U149&lt;&gt;"",U149,P149)},0))</f>
        <v/>
      </c>
      <c r="X149" s="9">
        <f>F149-V149</f>
        <v/>
      </c>
      <c r="Y149" s="11">
        <f>IF(V149=0,0,(F149-V149)/V149)</f>
        <v/>
      </c>
      <c r="Z149" s="9">
        <f>CEILING(MAX(V149*1.4,IF(IF(T149&lt;&gt;"",T149,O149)=0,V149*1.5,IF(T149&lt;&gt;"",T149,O149)*0.95)),10)-1</f>
        <v/>
      </c>
      <c r="AA149" s="12">
        <f>IF(IF(T149&lt;&gt;"",T149,O149)=0,"",TEXT((Z149-IF(T149&lt;&gt;"",T149,O149))/IF(T149&lt;&gt;"",T149,O149),"+0.0%;-0.0%"))</f>
        <v/>
      </c>
      <c r="AB149" s="10">
        <f>IF(Y149&gt;0.5,"✅ PROFITABLE — keep",IF(Y149&gt;0.2,"🟡 OK — optimize",IF(Y149&gt;0,"⚠️ THIN — raise or drop","❌ LOSING MONEY")))</f>
        <v/>
      </c>
    </row>
    <row r="150">
      <c r="A150" t="inlineStr">
        <is>
          <t>—</t>
        </is>
      </c>
      <c r="B150" t="n">
        <v>149</v>
      </c>
      <c r="C150" t="inlineStr">
        <is>
          <t>NG-NET-008</t>
        </is>
      </c>
      <c r="D150" t="inlineStr">
        <is>
          <t>MikroTik hEX S (RB760iGS) - 5-Port Gigabit Router with SFP and USB</t>
        </is>
      </c>
      <c r="E150" t="inlineStr">
        <is>
          <t>Networking</t>
        </is>
      </c>
      <c r="F150" s="13" t="n">
        <v>649</v>
      </c>
      <c r="G150" s="4" t="inlineStr">
        <is>
          <t>🔗</t>
        </is>
      </c>
      <c r="H150" s="4" t="inlineStr">
        <is>
          <t>🔗</t>
        </is>
      </c>
      <c r="I150" s="4" t="inlineStr">
        <is>
          <t>🔗</t>
        </is>
      </c>
      <c r="J150" s="4" t="inlineStr">
        <is>
          <t>🔗</t>
        </is>
      </c>
      <c r="K150" s="4" t="inlineStr">
        <is>
          <t>🔗</t>
        </is>
      </c>
      <c r="L150" s="5" t="n">
        <v>124.71</v>
      </c>
      <c r="M150" s="5" t="n">
        <v>155.03</v>
      </c>
      <c r="N150" s="6" t="n">
        <v>588.04</v>
      </c>
      <c r="O150" s="6" t="n">
        <v>678.11</v>
      </c>
      <c r="P150" s="6" t="n">
        <v>653.96</v>
      </c>
      <c r="Q150" s="7" t="n"/>
      <c r="R150" s="7" t="n"/>
      <c r="S150" s="8" t="n"/>
      <c r="T150" s="8" t="n"/>
      <c r="U150" s="8" t="n"/>
      <c r="V150" s="9">
        <f>MIN(IF(Q150&lt;&gt;"",Q150*3.75,L150*3.75),IF(R150&lt;&gt;"",R150*3.75,M150*3.75),IF(S150&lt;&gt;"",S150,N150),IF(T150&lt;&gt;"",T150,O150),IF(U150&lt;&gt;"",U150,P150))</f>
        <v/>
      </c>
      <c r="W150" s="10">
        <f>INDEX({"AliExpress","eBay","Amazon.sa","Noon","Jarir"},MATCH(V150,{IF(Q150&lt;&gt;"",Q150*3.75,L150*3.75),IF(R150&lt;&gt;"",R150*3.75,M150*3.75),IF(S150&lt;&gt;"",S150,N150),IF(T150&lt;&gt;"",T150,O150),IF(U150&lt;&gt;"",U150,P150)},0))</f>
        <v/>
      </c>
      <c r="X150" s="9">
        <f>F150-V150</f>
        <v/>
      </c>
      <c r="Y150" s="11">
        <f>IF(V150=0,0,(F150-V150)/V150)</f>
        <v/>
      </c>
      <c r="Z150" s="9">
        <f>CEILING(MAX(V150*1.4,IF(IF(T150&lt;&gt;"",T150,O150)=0,V150*1.5,IF(T150&lt;&gt;"",T150,O150)*0.95)),10)-1</f>
        <v/>
      </c>
      <c r="AA150" s="12">
        <f>IF(IF(T150&lt;&gt;"",T150,O150)=0,"",TEXT((Z150-IF(T150&lt;&gt;"",T150,O150))/IF(T150&lt;&gt;"",T150,O150),"+0.0%;-0.0%"))</f>
        <v/>
      </c>
      <c r="AB150" s="10">
        <f>IF(Y150&gt;0.5,"✅ PROFITABLE — keep",IF(Y150&gt;0.2,"🟡 OK — optimize",IF(Y150&gt;0,"⚠️ THIN — raise or drop","❌ LOSING MONEY")))</f>
        <v/>
      </c>
    </row>
    <row r="151">
      <c r="A151" t="inlineStr">
        <is>
          <t>—</t>
        </is>
      </c>
      <c r="B151" t="n">
        <v>150</v>
      </c>
      <c r="C151" t="inlineStr">
        <is>
          <t>NT-KVM-TES-001</t>
        </is>
      </c>
      <c r="D151" t="inlineStr">
        <is>
          <t>TESmart HKS0401A1U 4-Port HDMI KVM</t>
        </is>
      </c>
      <c r="E151" t="inlineStr">
        <is>
          <t>Homelab</t>
        </is>
      </c>
      <c r="F151" s="13" t="n">
        <v>599</v>
      </c>
      <c r="G151" s="4" t="inlineStr">
        <is>
          <t>🔗</t>
        </is>
      </c>
      <c r="H151" s="4" t="inlineStr">
        <is>
          <t>🔗</t>
        </is>
      </c>
      <c r="I151" s="4" t="inlineStr">
        <is>
          <t>🔗</t>
        </is>
      </c>
      <c r="J151" s="4" t="inlineStr">
        <is>
          <t>🔗</t>
        </is>
      </c>
      <c r="K151" s="4" t="inlineStr">
        <is>
          <t>🔗</t>
        </is>
      </c>
      <c r="L151" s="5" t="n">
        <v>113.52</v>
      </c>
      <c r="M151" s="5" t="n">
        <v>125.92</v>
      </c>
      <c r="N151" s="6" t="n">
        <v>523.24</v>
      </c>
      <c r="O151" s="6" t="n">
        <v>587.0599999999999</v>
      </c>
      <c r="P151" s="6" t="n">
        <v>594.41</v>
      </c>
      <c r="Q151" s="7" t="n"/>
      <c r="R151" s="7" t="n"/>
      <c r="S151" s="8" t="n"/>
      <c r="T151" s="8" t="n"/>
      <c r="U151" s="8" t="n"/>
      <c r="V151" s="9">
        <f>MIN(IF(Q151&lt;&gt;"",Q151*3.75,L151*3.75),IF(R151&lt;&gt;"",R151*3.75,M151*3.75),IF(S151&lt;&gt;"",S151,N151),IF(T151&lt;&gt;"",T151,O151),IF(U151&lt;&gt;"",U151,P151))</f>
        <v/>
      </c>
      <c r="W151" s="10">
        <f>INDEX({"AliExpress","eBay","Amazon.sa","Noon","Jarir"},MATCH(V151,{IF(Q151&lt;&gt;"",Q151*3.75,L151*3.75),IF(R151&lt;&gt;"",R151*3.75,M151*3.75),IF(S151&lt;&gt;"",S151,N151),IF(T151&lt;&gt;"",T151,O151),IF(U151&lt;&gt;"",U151,P151)},0))</f>
        <v/>
      </c>
      <c r="X151" s="9">
        <f>F151-V151</f>
        <v/>
      </c>
      <c r="Y151" s="11">
        <f>IF(V151=0,0,(F151-V151)/V151)</f>
        <v/>
      </c>
      <c r="Z151" s="9">
        <f>CEILING(MAX(V151*1.4,IF(IF(T151&lt;&gt;"",T151,O151)=0,V151*1.5,IF(T151&lt;&gt;"",T151,O151)*0.95)),10)-1</f>
        <v/>
      </c>
      <c r="AA151" s="12">
        <f>IF(IF(T151&lt;&gt;"",T151,O151)=0,"",TEXT((Z151-IF(T151&lt;&gt;"",T151,O151))/IF(T151&lt;&gt;"",T151,O151),"+0.0%;-0.0%"))</f>
        <v/>
      </c>
      <c r="AB151" s="10">
        <f>IF(Y151&gt;0.5,"✅ PROFITABLE — keep",IF(Y151&gt;0.2,"🟡 OK — optimize",IF(Y151&gt;0,"⚠️ THIN — raise or drop","❌ LOSING MONEY")))</f>
        <v/>
      </c>
    </row>
    <row r="152">
      <c r="A152" t="inlineStr">
        <is>
          <t>—</t>
        </is>
      </c>
      <c r="B152" t="n">
        <v>151</v>
      </c>
      <c r="C152" t="inlineStr">
        <is>
          <t>NT-WAP-TPL-001</t>
        </is>
      </c>
      <c r="D152" t="inlineStr">
        <is>
          <t>TP-Link Omada EAP610</t>
        </is>
      </c>
      <c r="E152" t="inlineStr">
        <is>
          <t>Networking</t>
        </is>
      </c>
      <c r="F152" s="13" t="n">
        <v>599</v>
      </c>
      <c r="G152" s="4" t="inlineStr">
        <is>
          <t>🔗</t>
        </is>
      </c>
      <c r="H152" s="4" t="inlineStr">
        <is>
          <t>🔗</t>
        </is>
      </c>
      <c r="I152" s="4" t="inlineStr">
        <is>
          <t>🔗</t>
        </is>
      </c>
      <c r="J152" s="4" t="inlineStr">
        <is>
          <t>🔗</t>
        </is>
      </c>
      <c r="K152" s="4" t="inlineStr">
        <is>
          <t>🔗</t>
        </is>
      </c>
      <c r="L152" s="5" t="n">
        <v>105.14</v>
      </c>
      <c r="M152" s="5" t="n">
        <v>146.14</v>
      </c>
      <c r="N152" s="6" t="n">
        <v>550.3099999999999</v>
      </c>
      <c r="O152" s="6" t="n">
        <v>606.5599999999999</v>
      </c>
      <c r="P152" s="6" t="n">
        <v>687.4299999999999</v>
      </c>
      <c r="Q152" s="7" t="n"/>
      <c r="R152" s="7" t="n"/>
      <c r="S152" s="8" t="n"/>
      <c r="T152" s="8" t="n"/>
      <c r="U152" s="8" t="n"/>
      <c r="V152" s="9">
        <f>MIN(IF(Q152&lt;&gt;"",Q152*3.75,L152*3.75),IF(R152&lt;&gt;"",R152*3.75,M152*3.75),IF(S152&lt;&gt;"",S152,N152),IF(T152&lt;&gt;"",T152,O152),IF(U152&lt;&gt;"",U152,P152))</f>
        <v/>
      </c>
      <c r="W152" s="10">
        <f>INDEX({"AliExpress","eBay","Amazon.sa","Noon","Jarir"},MATCH(V152,{IF(Q152&lt;&gt;"",Q152*3.75,L152*3.75),IF(R152&lt;&gt;"",R152*3.75,M152*3.75),IF(S152&lt;&gt;"",S152,N152),IF(T152&lt;&gt;"",T152,O152),IF(U152&lt;&gt;"",U152,P152)},0))</f>
        <v/>
      </c>
      <c r="X152" s="9">
        <f>F152-V152</f>
        <v/>
      </c>
      <c r="Y152" s="11">
        <f>IF(V152=0,0,(F152-V152)/V152)</f>
        <v/>
      </c>
      <c r="Z152" s="9">
        <f>CEILING(MAX(V152*1.4,IF(IF(T152&lt;&gt;"",T152,O152)=0,V152*1.5,IF(T152&lt;&gt;"",T152,O152)*0.95)),10)-1</f>
        <v/>
      </c>
      <c r="AA152" s="12">
        <f>IF(IF(T152&lt;&gt;"",T152,O152)=0,"",TEXT((Z152-IF(T152&lt;&gt;"",T152,O152))/IF(T152&lt;&gt;"",T152,O152),"+0.0%;-0.0%"))</f>
        <v/>
      </c>
      <c r="AB152" s="10">
        <f>IF(Y152&gt;0.5,"✅ PROFITABLE — keep",IF(Y152&gt;0.2,"🟡 OK — optimize",IF(Y152&gt;0,"⚠️ THIN — raise or drop","❌ LOSING MONEY")))</f>
        <v/>
      </c>
    </row>
    <row r="153">
      <c r="A153" t="inlineStr">
        <is>
          <t>—</t>
        </is>
      </c>
      <c r="B153" t="n">
        <v>152</v>
      </c>
      <c r="C153" t="inlineStr">
        <is>
          <t>NG-3DP-006</t>
        </is>
      </c>
      <c r="D153" t="inlineStr">
        <is>
          <t>BIQU H2 V2S Direct Drive Extruder - Lightweight Upgrade for Your 3D Printer</t>
        </is>
      </c>
      <c r="E153" t="inlineStr">
        <is>
          <t>3D Printing &amp;amp; CNC</t>
        </is>
      </c>
      <c r="F153" s="13" t="n">
        <v>599</v>
      </c>
      <c r="G153" s="4" t="inlineStr">
        <is>
          <t>🔗</t>
        </is>
      </c>
      <c r="H153" s="4" t="inlineStr">
        <is>
          <t>🔗</t>
        </is>
      </c>
      <c r="I153" s="4" t="inlineStr">
        <is>
          <t>🔗</t>
        </is>
      </c>
      <c r="J153" s="4" t="inlineStr">
        <is>
          <t>🔗</t>
        </is>
      </c>
      <c r="K153" s="4" t="inlineStr">
        <is>
          <t>🔗</t>
        </is>
      </c>
      <c r="L153" s="5" t="n">
        <v>108.86</v>
      </c>
      <c r="M153" s="5" t="n">
        <v>121.16</v>
      </c>
      <c r="N153" s="6" t="n">
        <v>535.74</v>
      </c>
      <c r="O153" s="6" t="n">
        <v>573.55</v>
      </c>
      <c r="P153" s="6" t="n">
        <v>630.36</v>
      </c>
      <c r="Q153" s="7" t="n"/>
      <c r="R153" s="7" t="n"/>
      <c r="S153" s="8" t="n"/>
      <c r="T153" s="8" t="n"/>
      <c r="U153" s="8" t="n"/>
      <c r="V153" s="9">
        <f>MIN(IF(Q153&lt;&gt;"",Q153*3.75,L153*3.75),IF(R153&lt;&gt;"",R153*3.75,M153*3.75),IF(S153&lt;&gt;"",S153,N153),IF(T153&lt;&gt;"",T153,O153),IF(U153&lt;&gt;"",U153,P153))</f>
        <v/>
      </c>
      <c r="W153" s="10">
        <f>INDEX({"AliExpress","eBay","Amazon.sa","Noon","Jarir"},MATCH(V153,{IF(Q153&lt;&gt;"",Q153*3.75,L153*3.75),IF(R153&lt;&gt;"",R153*3.75,M153*3.75),IF(S153&lt;&gt;"",S153,N153),IF(T153&lt;&gt;"",T153,O153),IF(U153&lt;&gt;"",U153,P153)},0))</f>
        <v/>
      </c>
      <c r="X153" s="9">
        <f>F153-V153</f>
        <v/>
      </c>
      <c r="Y153" s="11">
        <f>IF(V153=0,0,(F153-V153)/V153)</f>
        <v/>
      </c>
      <c r="Z153" s="9">
        <f>CEILING(MAX(V153*1.4,IF(IF(T153&lt;&gt;"",T153,O153)=0,V153*1.5,IF(T153&lt;&gt;"",T153,O153)*0.95)),10)-1</f>
        <v/>
      </c>
      <c r="AA153" s="12">
        <f>IF(IF(T153&lt;&gt;"",T153,O153)=0,"",TEXT((Z153-IF(T153&lt;&gt;"",T153,O153))/IF(T153&lt;&gt;"",T153,O153),"+0.0%;-0.0%"))</f>
        <v/>
      </c>
      <c r="AB153" s="10">
        <f>IF(Y153&gt;0.5,"✅ PROFITABLE — keep",IF(Y153&gt;0.2,"🟡 OK — optimize",IF(Y153&gt;0,"⚠️ THIN — raise or drop","❌ LOSING MONEY")))</f>
        <v/>
      </c>
    </row>
    <row r="154">
      <c r="A154" t="inlineStr">
        <is>
          <t>—</t>
        </is>
      </c>
      <c r="B154" t="n">
        <v>153</v>
      </c>
      <c r="C154" t="inlineStr">
        <is>
          <t>NG-ACC-007</t>
        </is>
      </c>
      <c r="D154" t="inlineStr">
        <is>
          <t>Anker PowerConf S330 USB Speakerphone - Smart Noise-Canceling Conference Speaker</t>
        </is>
      </c>
      <c r="E154" t="inlineStr">
        <is>
          <t>Accessories &amp;amp; Lifestyle</t>
        </is>
      </c>
      <c r="F154" s="13" t="n">
        <v>599</v>
      </c>
      <c r="G154" s="4" t="inlineStr">
        <is>
          <t>🔗</t>
        </is>
      </c>
      <c r="H154" s="4" t="inlineStr">
        <is>
          <t>🔗</t>
        </is>
      </c>
      <c r="I154" s="4" t="inlineStr">
        <is>
          <t>🔗</t>
        </is>
      </c>
      <c r="J154" s="4" t="inlineStr">
        <is>
          <t>🔗</t>
        </is>
      </c>
      <c r="K154" s="4" t="inlineStr">
        <is>
          <t>🔗</t>
        </is>
      </c>
      <c r="L154" s="5" t="n">
        <v>49.29</v>
      </c>
      <c r="M154" s="5" t="n">
        <v>72.89</v>
      </c>
      <c r="N154" s="6" t="n">
        <v>466.02</v>
      </c>
      <c r="O154" s="6" t="n">
        <v>485.83</v>
      </c>
      <c r="P154" s="6" t="n">
        <v>607.84</v>
      </c>
      <c r="Q154" s="7" t="n"/>
      <c r="R154" s="7" t="n"/>
      <c r="S154" s="8" t="n"/>
      <c r="T154" s="8" t="n"/>
      <c r="U154" s="8" t="n"/>
      <c r="V154" s="9">
        <f>MIN(IF(Q154&lt;&gt;"",Q154*3.75,L154*3.75),IF(R154&lt;&gt;"",R154*3.75,M154*3.75),IF(S154&lt;&gt;"",S154,N154),IF(T154&lt;&gt;"",T154,O154),IF(U154&lt;&gt;"",U154,P154))</f>
        <v/>
      </c>
      <c r="W154" s="10">
        <f>INDEX({"AliExpress","eBay","Amazon.sa","Noon","Jarir"},MATCH(V154,{IF(Q154&lt;&gt;"",Q154*3.75,L154*3.75),IF(R154&lt;&gt;"",R154*3.75,M154*3.75),IF(S154&lt;&gt;"",S154,N154),IF(T154&lt;&gt;"",T154,O154),IF(U154&lt;&gt;"",U154,P154)},0))</f>
        <v/>
      </c>
      <c r="X154" s="9">
        <f>F154-V154</f>
        <v/>
      </c>
      <c r="Y154" s="11">
        <f>IF(V154=0,0,(F154-V154)/V154)</f>
        <v/>
      </c>
      <c r="Z154" s="9">
        <f>CEILING(MAX(V154*1.4,IF(IF(T154&lt;&gt;"",T154,O154)=0,V154*1.5,IF(T154&lt;&gt;"",T154,O154)*0.95)),10)-1</f>
        <v/>
      </c>
      <c r="AA154" s="12">
        <f>IF(IF(T154&lt;&gt;"",T154,O154)=0,"",TEXT((Z154-IF(T154&lt;&gt;"",T154,O154))/IF(T154&lt;&gt;"",T154,O154),"+0.0%;-0.0%"))</f>
        <v/>
      </c>
      <c r="AB154" s="10">
        <f>IF(Y154&gt;0.5,"✅ PROFITABLE — keep",IF(Y154&gt;0.2,"🟡 OK — optimize",IF(Y154&gt;0,"⚠️ THIN — raise or drop","❌ LOSING MONEY")))</f>
        <v/>
      </c>
    </row>
    <row r="155">
      <c r="A155" t="inlineStr">
        <is>
          <t>—</t>
        </is>
      </c>
      <c r="B155" t="n">
        <v>154</v>
      </c>
      <c r="C155" t="inlineStr">
        <is>
          <t>NG-SH-012</t>
        </is>
      </c>
      <c r="D155" t="inlineStr">
        <is>
          <t>Aqara Roller Shade Driver E1 (RSD-M01) - Smart Roller Blind Motor with HomeKit</t>
        </is>
      </c>
      <c r="E155" t="inlineStr">
        <is>
          <t>Smart Home &amp;amp; IoT</t>
        </is>
      </c>
      <c r="F155" s="13" t="n">
        <v>599</v>
      </c>
      <c r="G155" s="4" t="inlineStr">
        <is>
          <t>🔗</t>
        </is>
      </c>
      <c r="H155" s="4" t="inlineStr">
        <is>
          <t>🔗</t>
        </is>
      </c>
      <c r="I155" s="4" t="inlineStr">
        <is>
          <t>🔗</t>
        </is>
      </c>
      <c r="J155" s="4" t="inlineStr">
        <is>
          <t>🔗</t>
        </is>
      </c>
      <c r="K155" s="4" t="inlineStr">
        <is>
          <t>🔗</t>
        </is>
      </c>
      <c r="L155" s="5" t="n">
        <v>85.54000000000001</v>
      </c>
      <c r="M155" s="5" t="n">
        <v>103.95</v>
      </c>
      <c r="N155" s="6" t="n">
        <v>523.86</v>
      </c>
      <c r="O155" s="6" t="n">
        <v>497.38</v>
      </c>
      <c r="P155" s="6" t="n">
        <v>684.51</v>
      </c>
      <c r="Q155" s="7" t="n"/>
      <c r="R155" s="7" t="n"/>
      <c r="S155" s="8" t="n"/>
      <c r="T155" s="8" t="n"/>
      <c r="U155" s="8" t="n"/>
      <c r="V155" s="9">
        <f>MIN(IF(Q155&lt;&gt;"",Q155*3.75,L155*3.75),IF(R155&lt;&gt;"",R155*3.75,M155*3.75),IF(S155&lt;&gt;"",S155,N155),IF(T155&lt;&gt;"",T155,O155),IF(U155&lt;&gt;"",U155,P155))</f>
        <v/>
      </c>
      <c r="W155" s="10">
        <f>INDEX({"AliExpress","eBay","Amazon.sa","Noon","Jarir"},MATCH(V155,{IF(Q155&lt;&gt;"",Q155*3.75,L155*3.75),IF(R155&lt;&gt;"",R155*3.75,M155*3.75),IF(S155&lt;&gt;"",S155,N155),IF(T155&lt;&gt;"",T155,O155),IF(U155&lt;&gt;"",U155,P155)},0))</f>
        <v/>
      </c>
      <c r="X155" s="9">
        <f>F155-V155</f>
        <v/>
      </c>
      <c r="Y155" s="11">
        <f>IF(V155=0,0,(F155-V155)/V155)</f>
        <v/>
      </c>
      <c r="Z155" s="9">
        <f>CEILING(MAX(V155*1.4,IF(IF(T155&lt;&gt;"",T155,O155)=0,V155*1.5,IF(T155&lt;&gt;"",T155,O155)*0.95)),10)-1</f>
        <v/>
      </c>
      <c r="AA155" s="12">
        <f>IF(IF(T155&lt;&gt;"",T155,O155)=0,"",TEXT((Z155-IF(T155&lt;&gt;"",T155,O155))/IF(T155&lt;&gt;"",T155,O155),"+0.0%;-0.0%"))</f>
        <v/>
      </c>
      <c r="AB155" s="10">
        <f>IF(Y155&gt;0.5,"✅ PROFITABLE — keep",IF(Y155&gt;0.2,"🟡 OK — optimize",IF(Y155&gt;0,"⚠️ THIN — raise or drop","❌ LOSING MONEY")))</f>
        <v/>
      </c>
    </row>
    <row r="156">
      <c r="A156" t="inlineStr">
        <is>
          <t>—</t>
        </is>
      </c>
      <c r="B156" t="n">
        <v>155</v>
      </c>
      <c r="C156" t="inlineStr">
        <is>
          <t>GM-RGB-COR-001</t>
        </is>
      </c>
      <c r="D156" t="inlineStr">
        <is>
          <t>Corsair iCUE LC100 Lighting Panels</t>
        </is>
      </c>
      <c r="E156" t="inlineStr">
        <is>
          <t>Gaming</t>
        </is>
      </c>
      <c r="F156" s="13" t="n">
        <v>549</v>
      </c>
      <c r="G156" s="4" t="inlineStr">
        <is>
          <t>🔗</t>
        </is>
      </c>
      <c r="H156" s="4" t="inlineStr">
        <is>
          <t>🔗</t>
        </is>
      </c>
      <c r="I156" s="4" t="inlineStr">
        <is>
          <t>🔗</t>
        </is>
      </c>
      <c r="J156" s="4" t="inlineStr">
        <is>
          <t>🔗</t>
        </is>
      </c>
      <c r="K156" s="4" t="inlineStr">
        <is>
          <t>🔗</t>
        </is>
      </c>
      <c r="L156" s="5" t="n">
        <v>115.85</v>
      </c>
      <c r="M156" s="5" t="n">
        <v>122.38</v>
      </c>
      <c r="N156" s="6" t="n">
        <v>481.43</v>
      </c>
      <c r="O156" s="6" t="n">
        <v>553.47</v>
      </c>
      <c r="P156" s="6" t="n">
        <v>573.09</v>
      </c>
      <c r="Q156" s="7" t="n"/>
      <c r="R156" s="7" t="n"/>
      <c r="S156" s="8" t="n"/>
      <c r="T156" s="8" t="n"/>
      <c r="U156" s="8" t="n"/>
      <c r="V156" s="9">
        <f>MIN(IF(Q156&lt;&gt;"",Q156*3.75,L156*3.75),IF(R156&lt;&gt;"",R156*3.75,M156*3.75),IF(S156&lt;&gt;"",S156,N156),IF(T156&lt;&gt;"",T156,O156),IF(U156&lt;&gt;"",U156,P156))</f>
        <v/>
      </c>
      <c r="W156" s="10">
        <f>INDEX({"AliExpress","eBay","Amazon.sa","Noon","Jarir"},MATCH(V156,{IF(Q156&lt;&gt;"",Q156*3.75,L156*3.75),IF(R156&lt;&gt;"",R156*3.75,M156*3.75),IF(S156&lt;&gt;"",S156,N156),IF(T156&lt;&gt;"",T156,O156),IF(U156&lt;&gt;"",U156,P156)},0))</f>
        <v/>
      </c>
      <c r="X156" s="9">
        <f>F156-V156</f>
        <v/>
      </c>
      <c r="Y156" s="11">
        <f>IF(V156=0,0,(F156-V156)/V156)</f>
        <v/>
      </c>
      <c r="Z156" s="9">
        <f>CEILING(MAX(V156*1.4,IF(IF(T156&lt;&gt;"",T156,O156)=0,V156*1.5,IF(T156&lt;&gt;"",T156,O156)*0.95)),10)-1</f>
        <v/>
      </c>
      <c r="AA156" s="12">
        <f>IF(IF(T156&lt;&gt;"",T156,O156)=0,"",TEXT((Z156-IF(T156&lt;&gt;"",T156,O156))/IF(T156&lt;&gt;"",T156,O156),"+0.0%;-0.0%"))</f>
        <v/>
      </c>
      <c r="AB156" s="10">
        <f>IF(Y156&gt;0.5,"✅ PROFITABLE — keep",IF(Y156&gt;0.2,"🟡 OK — optimize",IF(Y156&gt;0,"⚠️ THIN — raise or drop","❌ LOSING MONEY")))</f>
        <v/>
      </c>
    </row>
    <row r="157">
      <c r="A157" t="inlineStr">
        <is>
          <t>—</t>
        </is>
      </c>
      <c r="B157" t="n">
        <v>156</v>
      </c>
      <c r="C157" t="inlineStr">
        <is>
          <t>NG-SEC-001</t>
        </is>
      </c>
      <c r="D157" t="inlineStr">
        <is>
          <t>Reolink RLC-810A - 4K PoE AI Security Camera</t>
        </is>
      </c>
      <c r="E157" t="inlineStr">
        <is>
          <t>Security &amp;amp; Surveillance</t>
        </is>
      </c>
      <c r="F157" s="13" t="n">
        <v>549</v>
      </c>
      <c r="G157" s="4" t="inlineStr">
        <is>
          <t>🔗</t>
        </is>
      </c>
      <c r="H157" s="4" t="inlineStr">
        <is>
          <t>🔗</t>
        </is>
      </c>
      <c r="I157" s="4" t="inlineStr">
        <is>
          <t>🔗</t>
        </is>
      </c>
      <c r="J157" s="4" t="inlineStr">
        <is>
          <t>🔗</t>
        </is>
      </c>
      <c r="K157" s="4" t="inlineStr">
        <is>
          <t>🔗</t>
        </is>
      </c>
      <c r="L157" s="5" t="n">
        <v>68.61</v>
      </c>
      <c r="M157" s="5" t="n">
        <v>119.82</v>
      </c>
      <c r="N157" s="6" t="n">
        <v>528.46</v>
      </c>
      <c r="O157" s="6" t="n">
        <v>524.92</v>
      </c>
      <c r="P157" s="6" t="n">
        <v>519.91</v>
      </c>
      <c r="Q157" s="7" t="n"/>
      <c r="R157" s="7" t="n"/>
      <c r="S157" s="8" t="n"/>
      <c r="T157" s="8" t="n"/>
      <c r="U157" s="8" t="n"/>
      <c r="V157" s="9">
        <f>MIN(IF(Q157&lt;&gt;"",Q157*3.75,L157*3.75),IF(R157&lt;&gt;"",R157*3.75,M157*3.75),IF(S157&lt;&gt;"",S157,N157),IF(T157&lt;&gt;"",T157,O157),IF(U157&lt;&gt;"",U157,P157))</f>
        <v/>
      </c>
      <c r="W157" s="10">
        <f>INDEX({"AliExpress","eBay","Amazon.sa","Noon","Jarir"},MATCH(V157,{IF(Q157&lt;&gt;"",Q157*3.75,L157*3.75),IF(R157&lt;&gt;"",R157*3.75,M157*3.75),IF(S157&lt;&gt;"",S157,N157),IF(T157&lt;&gt;"",T157,O157),IF(U157&lt;&gt;"",U157,P157)},0))</f>
        <v/>
      </c>
      <c r="X157" s="9">
        <f>F157-V157</f>
        <v/>
      </c>
      <c r="Y157" s="11">
        <f>IF(V157=0,0,(F157-V157)/V157)</f>
        <v/>
      </c>
      <c r="Z157" s="9">
        <f>CEILING(MAX(V157*1.4,IF(IF(T157&lt;&gt;"",T157,O157)=0,V157*1.5,IF(T157&lt;&gt;"",T157,O157)*0.95)),10)-1</f>
        <v/>
      </c>
      <c r="AA157" s="12">
        <f>IF(IF(T157&lt;&gt;"",T157,O157)=0,"",TEXT((Z157-IF(T157&lt;&gt;"",T157,O157))/IF(T157&lt;&gt;"",T157,O157),"+0.0%;-0.0%"))</f>
        <v/>
      </c>
      <c r="AB157" s="10">
        <f>IF(Y157&gt;0.5,"✅ PROFITABLE — keep",IF(Y157&gt;0.2,"🟡 OK — optimize",IF(Y157&gt;0,"⚠️ THIN — raise or drop","❌ LOSING MONEY")))</f>
        <v/>
      </c>
    </row>
    <row r="158">
      <c r="A158" t="inlineStr">
        <is>
          <t>—</t>
        </is>
      </c>
      <c r="B158" t="n">
        <v>157</v>
      </c>
      <c r="C158" t="inlineStr">
        <is>
          <t>NG-MKR-006</t>
        </is>
      </c>
      <c r="D158" t="inlineStr">
        <is>
          <t>Arduino Mega 2560 Rev3 - The Ultimate Microcontroller Board for Advanced Projects</t>
        </is>
      </c>
      <c r="E158" t="inlineStr">
        <is>
          <t>Hardware</t>
        </is>
      </c>
      <c r="F158" s="13" t="n">
        <v>549</v>
      </c>
      <c r="G158" s="4" t="inlineStr">
        <is>
          <t>🔗</t>
        </is>
      </c>
      <c r="H158" s="4" t="inlineStr">
        <is>
          <t>🔗</t>
        </is>
      </c>
      <c r="I158" s="4" t="inlineStr">
        <is>
          <t>🔗</t>
        </is>
      </c>
      <c r="J158" s="4" t="inlineStr">
        <is>
          <t>🔗</t>
        </is>
      </c>
      <c r="K158" s="4" t="inlineStr">
        <is>
          <t>🔗</t>
        </is>
      </c>
      <c r="L158" s="5" t="n">
        <v>135.89</v>
      </c>
      <c r="M158" s="5" t="n">
        <v>135.38</v>
      </c>
      <c r="N158" s="6" t="n">
        <v>550</v>
      </c>
      <c r="O158" s="6" t="n">
        <v>549.78</v>
      </c>
      <c r="P158" s="6" t="n">
        <v>547.0700000000001</v>
      </c>
      <c r="Q158" s="7" t="n"/>
      <c r="R158" s="7" t="n"/>
      <c r="S158" s="8" t="n"/>
      <c r="T158" s="8" t="n"/>
      <c r="U158" s="8" t="n"/>
      <c r="V158" s="9">
        <f>MIN(IF(Q158&lt;&gt;"",Q158*3.75,L158*3.75),IF(R158&lt;&gt;"",R158*3.75,M158*3.75),IF(S158&lt;&gt;"",S158,N158),IF(T158&lt;&gt;"",T158,O158),IF(U158&lt;&gt;"",U158,P158))</f>
        <v/>
      </c>
      <c r="W158" s="10">
        <f>INDEX({"AliExpress","eBay","Amazon.sa","Noon","Jarir"},MATCH(V158,{IF(Q158&lt;&gt;"",Q158*3.75,L158*3.75),IF(R158&lt;&gt;"",R158*3.75,M158*3.75),IF(S158&lt;&gt;"",S158,N158),IF(T158&lt;&gt;"",T158,O158),IF(U158&lt;&gt;"",U158,P158)},0))</f>
        <v/>
      </c>
      <c r="X158" s="9">
        <f>F158-V158</f>
        <v/>
      </c>
      <c r="Y158" s="11">
        <f>IF(V158=0,0,(F158-V158)/V158)</f>
        <v/>
      </c>
      <c r="Z158" s="9">
        <f>CEILING(MAX(V158*1.4,IF(IF(T158&lt;&gt;"",T158,O158)=0,V158*1.5,IF(T158&lt;&gt;"",T158,O158)*0.95)),10)-1</f>
        <v/>
      </c>
      <c r="AA158" s="12">
        <f>IF(IF(T158&lt;&gt;"",T158,O158)=0,"",TEXT((Z158-IF(T158&lt;&gt;"",T158,O158))/IF(T158&lt;&gt;"",T158,O158),"+0.0%;-0.0%"))</f>
        <v/>
      </c>
      <c r="AB158" s="10">
        <f>IF(Y158&gt;0.5,"✅ PROFITABLE — keep",IF(Y158&gt;0.2,"🟡 OK — optimize",IF(Y158&gt;0,"⚠️ THIN — raise or drop","❌ LOSING MONEY")))</f>
        <v/>
      </c>
    </row>
    <row r="159">
      <c r="A159" t="inlineStr">
        <is>
          <t>—</t>
        </is>
      </c>
      <c r="B159" t="n">
        <v>158</v>
      </c>
      <c r="C159" t="inlineStr">
        <is>
          <t>NG-NET-007</t>
        </is>
      </c>
      <c r="D159" t="inlineStr">
        <is>
          <t>Ubiquiti EdgeRouter X - Advanced Gigabit Router in a Pocket-Sized Form</t>
        </is>
      </c>
      <c r="E159" t="inlineStr">
        <is>
          <t>Networking</t>
        </is>
      </c>
      <c r="F159" s="13" t="n">
        <v>549</v>
      </c>
      <c r="G159" s="4" t="inlineStr">
        <is>
          <t>🔗</t>
        </is>
      </c>
      <c r="H159" s="4" t="inlineStr">
        <is>
          <t>🔗</t>
        </is>
      </c>
      <c r="I159" s="4" t="inlineStr">
        <is>
          <t>🔗</t>
        </is>
      </c>
      <c r="J159" s="4" t="inlineStr">
        <is>
          <t>🔗</t>
        </is>
      </c>
      <c r="K159" s="4" t="inlineStr">
        <is>
          <t>🔗</t>
        </is>
      </c>
      <c r="L159" s="5" t="n">
        <v>109.84</v>
      </c>
      <c r="M159" s="5" t="n">
        <v>134.2</v>
      </c>
      <c r="N159" s="6" t="n">
        <v>489.4</v>
      </c>
      <c r="O159" s="6" t="n">
        <v>559.5599999999999</v>
      </c>
      <c r="P159" s="6" t="n">
        <v>563.67</v>
      </c>
      <c r="Q159" s="7" t="n"/>
      <c r="R159" s="7" t="n"/>
      <c r="S159" s="8" t="n"/>
      <c r="T159" s="8" t="n"/>
      <c r="U159" s="8" t="n"/>
      <c r="V159" s="9">
        <f>MIN(IF(Q159&lt;&gt;"",Q159*3.75,L159*3.75),IF(R159&lt;&gt;"",R159*3.75,M159*3.75),IF(S159&lt;&gt;"",S159,N159),IF(T159&lt;&gt;"",T159,O159),IF(U159&lt;&gt;"",U159,P159))</f>
        <v/>
      </c>
      <c r="W159" s="10">
        <f>INDEX({"AliExpress","eBay","Amazon.sa","Noon","Jarir"},MATCH(V159,{IF(Q159&lt;&gt;"",Q159*3.75,L159*3.75),IF(R159&lt;&gt;"",R159*3.75,M159*3.75),IF(S159&lt;&gt;"",S159,N159),IF(T159&lt;&gt;"",T159,O159),IF(U159&lt;&gt;"",U159,P159)},0))</f>
        <v/>
      </c>
      <c r="X159" s="9">
        <f>F159-V159</f>
        <v/>
      </c>
      <c r="Y159" s="11">
        <f>IF(V159=0,0,(F159-V159)/V159)</f>
        <v/>
      </c>
      <c r="Z159" s="9">
        <f>CEILING(MAX(V159*1.4,IF(IF(T159&lt;&gt;"",T159,O159)=0,V159*1.5,IF(T159&lt;&gt;"",T159,O159)*0.95)),10)-1</f>
        <v/>
      </c>
      <c r="AA159" s="12">
        <f>IF(IF(T159&lt;&gt;"",T159,O159)=0,"",TEXT((Z159-IF(T159&lt;&gt;"",T159,O159))/IF(T159&lt;&gt;"",T159,O159),"+0.0%;-0.0%"))</f>
        <v/>
      </c>
      <c r="AB159" s="10">
        <f>IF(Y159&gt;0.5,"✅ PROFITABLE — keep",IF(Y159&gt;0.2,"🟡 OK — optimize",IF(Y159&gt;0,"⚠️ THIN — raise or drop","❌ LOSING MONEY")))</f>
        <v/>
      </c>
    </row>
    <row r="160">
      <c r="A160" t="inlineStr">
        <is>
          <t>—</t>
        </is>
      </c>
      <c r="B160" t="n">
        <v>159</v>
      </c>
      <c r="C160" t="inlineStr">
        <is>
          <t>NG-SH-007</t>
        </is>
      </c>
      <c r="D160" t="inlineStr">
        <is>
          <t>SwitchBot Curtain 3 (W2400000) - Turn Any Curtain Smart in Minutes</t>
        </is>
      </c>
      <c r="E160" t="inlineStr">
        <is>
          <t>Smart Home &amp;amp; IoT</t>
        </is>
      </c>
      <c r="F160" s="13" t="n">
        <v>549</v>
      </c>
      <c r="G160" s="4" t="inlineStr">
        <is>
          <t>🔗</t>
        </is>
      </c>
      <c r="H160" s="4" t="inlineStr">
        <is>
          <t>🔗</t>
        </is>
      </c>
      <c r="I160" s="4" t="inlineStr">
        <is>
          <t>🔗</t>
        </is>
      </c>
      <c r="J160" s="4" t="inlineStr">
        <is>
          <t>🔗</t>
        </is>
      </c>
      <c r="K160" s="4" t="inlineStr">
        <is>
          <t>🔗</t>
        </is>
      </c>
      <c r="L160" s="5" t="n">
        <v>78.23</v>
      </c>
      <c r="M160" s="5" t="n">
        <v>97.63</v>
      </c>
      <c r="N160" s="6" t="n">
        <v>504.99</v>
      </c>
      <c r="O160" s="6" t="n">
        <v>557.79</v>
      </c>
      <c r="P160" s="6" t="n">
        <v>524.0700000000001</v>
      </c>
      <c r="Q160" s="7" t="n"/>
      <c r="R160" s="7" t="n"/>
      <c r="S160" s="8" t="n"/>
      <c r="T160" s="8" t="n"/>
      <c r="U160" s="8" t="n"/>
      <c r="V160" s="9">
        <f>MIN(IF(Q160&lt;&gt;"",Q160*3.75,L160*3.75),IF(R160&lt;&gt;"",R160*3.75,M160*3.75),IF(S160&lt;&gt;"",S160,N160),IF(T160&lt;&gt;"",T160,O160),IF(U160&lt;&gt;"",U160,P160))</f>
        <v/>
      </c>
      <c r="W160" s="10">
        <f>INDEX({"AliExpress","eBay","Amazon.sa","Noon","Jarir"},MATCH(V160,{IF(Q160&lt;&gt;"",Q160*3.75,L160*3.75),IF(R160&lt;&gt;"",R160*3.75,M160*3.75),IF(S160&lt;&gt;"",S160,N160),IF(T160&lt;&gt;"",T160,O160),IF(U160&lt;&gt;"",U160,P160)},0))</f>
        <v/>
      </c>
      <c r="X160" s="9">
        <f>F160-V160</f>
        <v/>
      </c>
      <c r="Y160" s="11">
        <f>IF(V160=0,0,(F160-V160)/V160)</f>
        <v/>
      </c>
      <c r="Z160" s="9">
        <f>CEILING(MAX(V160*1.4,IF(IF(T160&lt;&gt;"",T160,O160)=0,V160*1.5,IF(T160&lt;&gt;"",T160,O160)*0.95)),10)-1</f>
        <v/>
      </c>
      <c r="AA160" s="12">
        <f>IF(IF(T160&lt;&gt;"",T160,O160)=0,"",TEXT((Z160-IF(T160&lt;&gt;"",T160,O160))/IF(T160&lt;&gt;"",T160,O160),"+0.0%;-0.0%"))</f>
        <v/>
      </c>
      <c r="AB160" s="10">
        <f>IF(Y160&gt;0.5,"✅ PROFITABLE — keep",IF(Y160&gt;0.2,"🟡 OK — optimize",IF(Y160&gt;0,"⚠️ THIN — raise or drop","❌ LOSING MONEY")))</f>
        <v/>
      </c>
    </row>
    <row r="161">
      <c r="A161" t="inlineStr">
        <is>
          <t>—</t>
        </is>
      </c>
      <c r="B161" t="n">
        <v>160</v>
      </c>
      <c r="C161" t="inlineStr">
        <is>
          <t>NG-SH-006</t>
        </is>
      </c>
      <c r="D161" t="inlineStr">
        <is>
          <t>Aqara Hub M2 (HM2-G01) - Multi-Protocol Smart Home Gateway</t>
        </is>
      </c>
      <c r="E161" t="inlineStr">
        <is>
          <t>Smart Home &amp;amp; IoT</t>
        </is>
      </c>
      <c r="F161" s="13" t="n">
        <v>499</v>
      </c>
      <c r="G161" s="4" t="inlineStr">
        <is>
          <t>🔗</t>
        </is>
      </c>
      <c r="H161" s="4" t="inlineStr">
        <is>
          <t>🔗</t>
        </is>
      </c>
      <c r="I161" s="4" t="inlineStr">
        <is>
          <t>🔗</t>
        </is>
      </c>
      <c r="J161" s="4" t="inlineStr">
        <is>
          <t>🔗</t>
        </is>
      </c>
      <c r="K161" s="4" t="inlineStr">
        <is>
          <t>🔗</t>
        </is>
      </c>
      <c r="L161" s="5" t="n">
        <v>67.59999999999999</v>
      </c>
      <c r="M161" s="5" t="n">
        <v>85.89</v>
      </c>
      <c r="N161" s="6" t="n">
        <v>465.85</v>
      </c>
      <c r="O161" s="6" t="n">
        <v>462.54</v>
      </c>
      <c r="P161" s="6" t="n">
        <v>549.67</v>
      </c>
      <c r="Q161" s="7" t="n"/>
      <c r="R161" s="7" t="n"/>
      <c r="S161" s="8" t="n"/>
      <c r="T161" s="8" t="n"/>
      <c r="U161" s="8" t="n"/>
      <c r="V161" s="9">
        <f>MIN(IF(Q161&lt;&gt;"",Q161*3.75,L161*3.75),IF(R161&lt;&gt;"",R161*3.75,M161*3.75),IF(S161&lt;&gt;"",S161,N161),IF(T161&lt;&gt;"",T161,O161),IF(U161&lt;&gt;"",U161,P161))</f>
        <v/>
      </c>
      <c r="W161" s="10">
        <f>INDEX({"AliExpress","eBay","Amazon.sa","Noon","Jarir"},MATCH(V161,{IF(Q161&lt;&gt;"",Q161*3.75,L161*3.75),IF(R161&lt;&gt;"",R161*3.75,M161*3.75),IF(S161&lt;&gt;"",S161,N161),IF(T161&lt;&gt;"",T161,O161),IF(U161&lt;&gt;"",U161,P161)},0))</f>
        <v/>
      </c>
      <c r="X161" s="9">
        <f>F161-V161</f>
        <v/>
      </c>
      <c r="Y161" s="11">
        <f>IF(V161=0,0,(F161-V161)/V161)</f>
        <v/>
      </c>
      <c r="Z161" s="9">
        <f>CEILING(MAX(V161*1.4,IF(IF(T161&lt;&gt;"",T161,O161)=0,V161*1.5,IF(T161&lt;&gt;"",T161,O161)*0.95)),10)-1</f>
        <v/>
      </c>
      <c r="AA161" s="12">
        <f>IF(IF(T161&lt;&gt;"",T161,O161)=0,"",TEXT((Z161-IF(T161&lt;&gt;"",T161,O161))/IF(T161&lt;&gt;"",T161,O161),"+0.0%;-0.0%"))</f>
        <v/>
      </c>
      <c r="AB161" s="10">
        <f>IF(Y161&gt;0.5,"✅ PROFITABLE — keep",IF(Y161&gt;0.2,"🟡 OK — optimize",IF(Y161&gt;0,"⚠️ THIN — raise or drop","❌ LOSING MONEY")))</f>
        <v/>
      </c>
    </row>
    <row r="162">
      <c r="A162" t="inlineStr">
        <is>
          <t>—</t>
        </is>
      </c>
      <c r="B162" t="n">
        <v>161</v>
      </c>
      <c r="C162" t="inlineStr">
        <is>
          <t>NG-ACC-001</t>
        </is>
      </c>
      <c r="D162" t="inlineStr">
        <is>
          <t>Baseus Blade 100W Power Bank - Ultra-Slim Laptop Portable Charger</t>
        </is>
      </c>
      <c r="E162" t="inlineStr">
        <is>
          <t>Accessories &amp;amp; Lifestyle</t>
        </is>
      </c>
      <c r="F162" s="13" t="n">
        <v>499</v>
      </c>
      <c r="G162" s="4" t="inlineStr">
        <is>
          <t>🔗</t>
        </is>
      </c>
      <c r="H162" s="4" t="inlineStr">
        <is>
          <t>🔗</t>
        </is>
      </c>
      <c r="I162" s="4" t="inlineStr">
        <is>
          <t>🔗</t>
        </is>
      </c>
      <c r="J162" s="4" t="inlineStr">
        <is>
          <t>🔗</t>
        </is>
      </c>
      <c r="K162" s="4" t="inlineStr">
        <is>
          <t>🔗</t>
        </is>
      </c>
      <c r="L162" s="5" t="n">
        <v>30.35</v>
      </c>
      <c r="M162" s="5" t="n">
        <v>49.85</v>
      </c>
      <c r="N162" s="6" t="n">
        <v>362.31</v>
      </c>
      <c r="O162" s="6" t="n">
        <v>523.79</v>
      </c>
      <c r="P162" s="6" t="n">
        <v>497.45</v>
      </c>
      <c r="Q162" s="7" t="n"/>
      <c r="R162" s="7" t="n"/>
      <c r="S162" s="8" t="n"/>
      <c r="T162" s="8" t="n"/>
      <c r="U162" s="8" t="n"/>
      <c r="V162" s="9">
        <f>MIN(IF(Q162&lt;&gt;"",Q162*3.75,L162*3.75),IF(R162&lt;&gt;"",R162*3.75,M162*3.75),IF(S162&lt;&gt;"",S162,N162),IF(T162&lt;&gt;"",T162,O162),IF(U162&lt;&gt;"",U162,P162))</f>
        <v/>
      </c>
      <c r="W162" s="10">
        <f>INDEX({"AliExpress","eBay","Amazon.sa","Noon","Jarir"},MATCH(V162,{IF(Q162&lt;&gt;"",Q162*3.75,L162*3.75),IF(R162&lt;&gt;"",R162*3.75,M162*3.75),IF(S162&lt;&gt;"",S162,N162),IF(T162&lt;&gt;"",T162,O162),IF(U162&lt;&gt;"",U162,P162)},0))</f>
        <v/>
      </c>
      <c r="X162" s="9">
        <f>F162-V162</f>
        <v/>
      </c>
      <c r="Y162" s="11">
        <f>IF(V162=0,0,(F162-V162)/V162)</f>
        <v/>
      </c>
      <c r="Z162" s="9">
        <f>CEILING(MAX(V162*1.4,IF(IF(T162&lt;&gt;"",T162,O162)=0,V162*1.5,IF(T162&lt;&gt;"",T162,O162)*0.95)),10)-1</f>
        <v/>
      </c>
      <c r="AA162" s="12">
        <f>IF(IF(T162&lt;&gt;"",T162,O162)=0,"",TEXT((Z162-IF(T162&lt;&gt;"",T162,O162))/IF(T162&lt;&gt;"",T162,O162),"+0.0%;-0.0%"))</f>
        <v/>
      </c>
      <c r="AB162" s="10">
        <f>IF(Y162&gt;0.5,"✅ PROFITABLE — keep",IF(Y162&gt;0.2,"🟡 OK — optimize",IF(Y162&gt;0,"⚠️ THIN — raise or drop","❌ LOSING MONEY")))</f>
        <v/>
      </c>
    </row>
    <row r="163">
      <c r="A163" t="inlineStr">
        <is>
          <t>—</t>
        </is>
      </c>
      <c r="B163" t="n">
        <v>162</v>
      </c>
      <c r="C163" t="inlineStr">
        <is>
          <t>SH-SWB-SWBT-003</t>
        </is>
      </c>
      <c r="D163" t="inlineStr">
        <is>
          <t>SwitchBot Blind Tilt</t>
        </is>
      </c>
      <c r="E163" t="inlineStr">
        <is>
          <t>Smart Home &amp;amp; IoT</t>
        </is>
      </c>
      <c r="F163" s="13" t="n">
        <v>479</v>
      </c>
      <c r="G163" s="4" t="inlineStr">
        <is>
          <t>🔗</t>
        </is>
      </c>
      <c r="H163" s="4" t="inlineStr">
        <is>
          <t>🔗</t>
        </is>
      </c>
      <c r="I163" s="4" t="inlineStr">
        <is>
          <t>🔗</t>
        </is>
      </c>
      <c r="J163" s="4" t="inlineStr">
        <is>
          <t>🔗</t>
        </is>
      </c>
      <c r="K163" s="4" t="inlineStr">
        <is>
          <t>🔗</t>
        </is>
      </c>
      <c r="L163" s="5" t="n">
        <v>48.5</v>
      </c>
      <c r="M163" s="5" t="n">
        <v>86.08</v>
      </c>
      <c r="N163" s="6" t="n">
        <v>376.63</v>
      </c>
      <c r="O163" s="6" t="n">
        <v>449.29</v>
      </c>
      <c r="P163" s="6" t="n">
        <v>491.8</v>
      </c>
      <c r="Q163" s="7" t="n"/>
      <c r="R163" s="7" t="n"/>
      <c r="S163" s="8" t="n"/>
      <c r="T163" s="8" t="n"/>
      <c r="U163" s="8" t="n"/>
      <c r="V163" s="9">
        <f>MIN(IF(Q163&lt;&gt;"",Q163*3.75,L163*3.75),IF(R163&lt;&gt;"",R163*3.75,M163*3.75),IF(S163&lt;&gt;"",S163,N163),IF(T163&lt;&gt;"",T163,O163),IF(U163&lt;&gt;"",U163,P163))</f>
        <v/>
      </c>
      <c r="W163" s="10">
        <f>INDEX({"AliExpress","eBay","Amazon.sa","Noon","Jarir"},MATCH(V163,{IF(Q163&lt;&gt;"",Q163*3.75,L163*3.75),IF(R163&lt;&gt;"",R163*3.75,M163*3.75),IF(S163&lt;&gt;"",S163,N163),IF(T163&lt;&gt;"",T163,O163),IF(U163&lt;&gt;"",U163,P163)},0))</f>
        <v/>
      </c>
      <c r="X163" s="9">
        <f>F163-V163</f>
        <v/>
      </c>
      <c r="Y163" s="11">
        <f>IF(V163=0,0,(F163-V163)/V163)</f>
        <v/>
      </c>
      <c r="Z163" s="9">
        <f>CEILING(MAX(V163*1.4,IF(IF(T163&lt;&gt;"",T163,O163)=0,V163*1.5,IF(T163&lt;&gt;"",T163,O163)*0.95)),10)-1</f>
        <v/>
      </c>
      <c r="AA163" s="12">
        <f>IF(IF(T163&lt;&gt;"",T163,O163)=0,"",TEXT((Z163-IF(T163&lt;&gt;"",T163,O163))/IF(T163&lt;&gt;"",T163,O163),"+0.0%;-0.0%"))</f>
        <v/>
      </c>
      <c r="AB163" s="10">
        <f>IF(Y163&gt;0.5,"✅ PROFITABLE — keep",IF(Y163&gt;0.2,"🟡 OK — optimize",IF(Y163&gt;0,"⚠️ THIN — raise or drop","❌ LOSING MONEY")))</f>
        <v/>
      </c>
    </row>
    <row r="164">
      <c r="A164" t="inlineStr">
        <is>
          <t>—</t>
        </is>
      </c>
      <c r="B164" t="n">
        <v>163</v>
      </c>
      <c r="C164" t="inlineStr">
        <is>
          <t>SH-SWB-SWBT-001</t>
        </is>
      </c>
      <c r="D164" t="inlineStr">
        <is>
          <t>SwitchBot Hub 2 (Matter Enabled)</t>
        </is>
      </c>
      <c r="E164" t="inlineStr">
        <is>
          <t>Smart Home &amp;amp; IoT</t>
        </is>
      </c>
      <c r="F164" s="13" t="n">
        <v>479</v>
      </c>
      <c r="G164" s="4" t="inlineStr">
        <is>
          <t>🔗</t>
        </is>
      </c>
      <c r="H164" s="4" t="inlineStr">
        <is>
          <t>🔗</t>
        </is>
      </c>
      <c r="I164" s="4" t="inlineStr">
        <is>
          <t>🔗</t>
        </is>
      </c>
      <c r="J164" s="4" t="inlineStr">
        <is>
          <t>🔗</t>
        </is>
      </c>
      <c r="K164" s="4" t="inlineStr">
        <is>
          <t>🔗</t>
        </is>
      </c>
      <c r="L164" s="5" t="n">
        <v>56.34</v>
      </c>
      <c r="M164" s="5" t="n">
        <v>79.70999999999999</v>
      </c>
      <c r="N164" s="6" t="n">
        <v>357.89</v>
      </c>
      <c r="O164" s="6" t="n">
        <v>466.73</v>
      </c>
      <c r="P164" s="6" t="n">
        <v>495.47</v>
      </c>
      <c r="Q164" s="7" t="n"/>
      <c r="R164" s="7" t="n"/>
      <c r="S164" s="8" t="n"/>
      <c r="T164" s="8" t="n"/>
      <c r="U164" s="8" t="n"/>
      <c r="V164" s="9">
        <f>MIN(IF(Q164&lt;&gt;"",Q164*3.75,L164*3.75),IF(R164&lt;&gt;"",R164*3.75,M164*3.75),IF(S164&lt;&gt;"",S164,N164),IF(T164&lt;&gt;"",T164,O164),IF(U164&lt;&gt;"",U164,P164))</f>
        <v/>
      </c>
      <c r="W164" s="10">
        <f>INDEX({"AliExpress","eBay","Amazon.sa","Noon","Jarir"},MATCH(V164,{IF(Q164&lt;&gt;"",Q164*3.75,L164*3.75),IF(R164&lt;&gt;"",R164*3.75,M164*3.75),IF(S164&lt;&gt;"",S164,N164),IF(T164&lt;&gt;"",T164,O164),IF(U164&lt;&gt;"",U164,P164)},0))</f>
        <v/>
      </c>
      <c r="X164" s="9">
        <f>F164-V164</f>
        <v/>
      </c>
      <c r="Y164" s="11">
        <f>IF(V164=0,0,(F164-V164)/V164)</f>
        <v/>
      </c>
      <c r="Z164" s="9">
        <f>CEILING(MAX(V164*1.4,IF(IF(T164&lt;&gt;"",T164,O164)=0,V164*1.5,IF(T164&lt;&gt;"",T164,O164)*0.95)),10)-1</f>
        <v/>
      </c>
      <c r="AA164" s="12">
        <f>IF(IF(T164&lt;&gt;"",T164,O164)=0,"",TEXT((Z164-IF(T164&lt;&gt;"",T164,O164))/IF(T164&lt;&gt;"",T164,O164),"+0.0%;-0.0%"))</f>
        <v/>
      </c>
      <c r="AB164" s="10">
        <f>IF(Y164&gt;0.5,"✅ PROFITABLE — keep",IF(Y164&gt;0.2,"🟡 OK — optimize",IF(Y164&gt;0,"⚠️ THIN — raise or drop","❌ LOSING MONEY")))</f>
        <v/>
      </c>
    </row>
    <row r="165">
      <c r="A165" t="inlineStr">
        <is>
          <t>—</t>
        </is>
      </c>
      <c r="B165" t="n">
        <v>164</v>
      </c>
      <c r="C165" t="inlineStr">
        <is>
          <t>SH-CAM-RING-001</t>
        </is>
      </c>
      <c r="D165" t="inlineStr">
        <is>
          <t>Ring Indoor Cam (2nd Gen)</t>
        </is>
      </c>
      <c r="E165" t="inlineStr">
        <is>
          <t>Smart Home &amp;amp; IoT</t>
        </is>
      </c>
      <c r="F165" s="13" t="n">
        <v>479</v>
      </c>
      <c r="G165" s="4" t="inlineStr">
        <is>
          <t>🔗</t>
        </is>
      </c>
      <c r="H165" s="4" t="inlineStr">
        <is>
          <t>🔗</t>
        </is>
      </c>
      <c r="I165" s="4" t="inlineStr">
        <is>
          <t>🔗</t>
        </is>
      </c>
      <c r="J165" s="4" t="inlineStr">
        <is>
          <t>🔗</t>
        </is>
      </c>
      <c r="K165" s="4" t="inlineStr">
        <is>
          <t>🔗</t>
        </is>
      </c>
      <c r="L165" s="5" t="n">
        <v>50.67</v>
      </c>
      <c r="M165" s="5" t="n">
        <v>93.04000000000001</v>
      </c>
      <c r="N165" s="6" t="n">
        <v>340.53</v>
      </c>
      <c r="O165" s="6" t="n">
        <v>472.38</v>
      </c>
      <c r="P165" s="6" t="n">
        <v>512.73</v>
      </c>
      <c r="Q165" s="7" t="n"/>
      <c r="R165" s="7" t="n"/>
      <c r="S165" s="8" t="n"/>
      <c r="T165" s="8" t="n"/>
      <c r="U165" s="8" t="n"/>
      <c r="V165" s="9">
        <f>MIN(IF(Q165&lt;&gt;"",Q165*3.75,L165*3.75),IF(R165&lt;&gt;"",R165*3.75,M165*3.75),IF(S165&lt;&gt;"",S165,N165),IF(T165&lt;&gt;"",T165,O165),IF(U165&lt;&gt;"",U165,P165))</f>
        <v/>
      </c>
      <c r="W165" s="10">
        <f>INDEX({"AliExpress","eBay","Amazon.sa","Noon","Jarir"},MATCH(V165,{IF(Q165&lt;&gt;"",Q165*3.75,L165*3.75),IF(R165&lt;&gt;"",R165*3.75,M165*3.75),IF(S165&lt;&gt;"",S165,N165),IF(T165&lt;&gt;"",T165,O165),IF(U165&lt;&gt;"",U165,P165)},0))</f>
        <v/>
      </c>
      <c r="X165" s="9">
        <f>F165-V165</f>
        <v/>
      </c>
      <c r="Y165" s="11">
        <f>IF(V165=0,0,(F165-V165)/V165)</f>
        <v/>
      </c>
      <c r="Z165" s="9">
        <f>CEILING(MAX(V165*1.4,IF(IF(T165&lt;&gt;"",T165,O165)=0,V165*1.5,IF(T165&lt;&gt;"",T165,O165)*0.95)),10)-1</f>
        <v/>
      </c>
      <c r="AA165" s="12">
        <f>IF(IF(T165&lt;&gt;"",T165,O165)=0,"",TEXT((Z165-IF(T165&lt;&gt;"",T165,O165))/IF(T165&lt;&gt;"",T165,O165),"+0.0%;-0.0%"))</f>
        <v/>
      </c>
      <c r="AB165" s="10">
        <f>IF(Y165&gt;0.5,"✅ PROFITABLE — keep",IF(Y165&gt;0.2,"🟡 OK — optimize",IF(Y165&gt;0,"⚠️ THIN — raise or drop","❌ LOSING MONEY")))</f>
        <v/>
      </c>
    </row>
    <row r="166">
      <c r="A166" t="inlineStr">
        <is>
          <t>—</t>
        </is>
      </c>
      <c r="B166" t="n">
        <v>165</v>
      </c>
      <c r="C166" t="inlineStr">
        <is>
          <t>GM-PGA-JSA-001</t>
        </is>
      </c>
      <c r="D166" t="inlineStr">
        <is>
          <t>JSAUX 6-in-1 Dock (Steam Deck/ROG Ally)</t>
        </is>
      </c>
      <c r="E166" t="inlineStr">
        <is>
          <t>Gaming</t>
        </is>
      </c>
      <c r="F166" s="13" t="n">
        <v>459</v>
      </c>
      <c r="G166" s="4" t="inlineStr">
        <is>
          <t>🔗</t>
        </is>
      </c>
      <c r="H166" s="4" t="inlineStr">
        <is>
          <t>🔗</t>
        </is>
      </c>
      <c r="I166" s="4" t="inlineStr">
        <is>
          <t>🔗</t>
        </is>
      </c>
      <c r="J166" s="4" t="inlineStr">
        <is>
          <t>🔗</t>
        </is>
      </c>
      <c r="K166" s="4" t="inlineStr">
        <is>
          <t>🔗</t>
        </is>
      </c>
      <c r="L166" s="5" t="n">
        <v>100.58</v>
      </c>
      <c r="M166" s="5" t="n">
        <v>105.01</v>
      </c>
      <c r="N166" s="6" t="n">
        <v>441.94</v>
      </c>
      <c r="O166" s="6" t="n">
        <v>482.56</v>
      </c>
      <c r="P166" s="6" t="n">
        <v>512.58</v>
      </c>
      <c r="Q166" s="7" t="n"/>
      <c r="R166" s="7" t="n"/>
      <c r="S166" s="8" t="n"/>
      <c r="T166" s="8" t="n"/>
      <c r="U166" s="8" t="n"/>
      <c r="V166" s="9">
        <f>MIN(IF(Q166&lt;&gt;"",Q166*3.75,L166*3.75),IF(R166&lt;&gt;"",R166*3.75,M166*3.75),IF(S166&lt;&gt;"",S166,N166),IF(T166&lt;&gt;"",T166,O166),IF(U166&lt;&gt;"",U166,P166))</f>
        <v/>
      </c>
      <c r="W166" s="10">
        <f>INDEX({"AliExpress","eBay","Amazon.sa","Noon","Jarir"},MATCH(V166,{IF(Q166&lt;&gt;"",Q166*3.75,L166*3.75),IF(R166&lt;&gt;"",R166*3.75,M166*3.75),IF(S166&lt;&gt;"",S166,N166),IF(T166&lt;&gt;"",T166,O166),IF(U166&lt;&gt;"",U166,P166)},0))</f>
        <v/>
      </c>
      <c r="X166" s="9">
        <f>F166-V166</f>
        <v/>
      </c>
      <c r="Y166" s="11">
        <f>IF(V166=0,0,(F166-V166)/V166)</f>
        <v/>
      </c>
      <c r="Z166" s="9">
        <f>CEILING(MAX(V166*1.4,IF(IF(T166&lt;&gt;"",T166,O166)=0,V166*1.5,IF(T166&lt;&gt;"",T166,O166)*0.95)),10)-1</f>
        <v/>
      </c>
      <c r="AA166" s="12">
        <f>IF(IF(T166&lt;&gt;"",T166,O166)=0,"",TEXT((Z166-IF(T166&lt;&gt;"",T166,O166))/IF(T166&lt;&gt;"",T166,O166),"+0.0%;-0.0%"))</f>
        <v/>
      </c>
      <c r="AB166" s="10">
        <f>IF(Y166&gt;0.5,"✅ PROFITABLE — keep",IF(Y166&gt;0.2,"🟡 OK — optimize",IF(Y166&gt;0,"⚠️ THIN — raise or drop","❌ LOSING MONEY")))</f>
        <v/>
      </c>
    </row>
    <row r="167">
      <c r="A167" t="inlineStr">
        <is>
          <t>—</t>
        </is>
      </c>
      <c r="B167" t="n">
        <v>166</v>
      </c>
      <c r="C167" t="inlineStr">
        <is>
          <t>NG-ACC-009</t>
        </is>
      </c>
      <c r="D167" t="inlineStr">
        <is>
          <t>Ugreen Nexode 100W GaN Charger - 4-Port Gallium Nitride Fast Charger</t>
        </is>
      </c>
      <c r="E167" t="inlineStr">
        <is>
          <t>Accessories &amp;amp; Lifestyle</t>
        </is>
      </c>
      <c r="F167" s="13" t="n">
        <v>439</v>
      </c>
      <c r="G167" s="4" t="inlineStr">
        <is>
          <t>🔗</t>
        </is>
      </c>
      <c r="H167" s="4" t="inlineStr">
        <is>
          <t>🔗</t>
        </is>
      </c>
      <c r="I167" s="4" t="inlineStr">
        <is>
          <t>🔗</t>
        </is>
      </c>
      <c r="J167" s="4" t="inlineStr">
        <is>
          <t>🔗</t>
        </is>
      </c>
      <c r="K167" s="4" t="inlineStr">
        <is>
          <t>🔗</t>
        </is>
      </c>
      <c r="L167" s="5" t="n">
        <v>30.93</v>
      </c>
      <c r="M167" s="5" t="n">
        <v>36.2</v>
      </c>
      <c r="N167" s="6" t="n">
        <v>307.6</v>
      </c>
      <c r="O167" s="6" t="n">
        <v>406.98</v>
      </c>
      <c r="P167" s="6" t="n">
        <v>487.69</v>
      </c>
      <c r="Q167" s="7" t="n"/>
      <c r="R167" s="7" t="n"/>
      <c r="S167" s="8" t="n"/>
      <c r="T167" s="8" t="n"/>
      <c r="U167" s="8" t="n"/>
      <c r="V167" s="9">
        <f>MIN(IF(Q167&lt;&gt;"",Q167*3.75,L167*3.75),IF(R167&lt;&gt;"",R167*3.75,M167*3.75),IF(S167&lt;&gt;"",S167,N167),IF(T167&lt;&gt;"",T167,O167),IF(U167&lt;&gt;"",U167,P167))</f>
        <v/>
      </c>
      <c r="W167" s="10">
        <f>INDEX({"AliExpress","eBay","Amazon.sa","Noon","Jarir"},MATCH(V167,{IF(Q167&lt;&gt;"",Q167*3.75,L167*3.75),IF(R167&lt;&gt;"",R167*3.75,M167*3.75),IF(S167&lt;&gt;"",S167,N167),IF(T167&lt;&gt;"",T167,O167),IF(U167&lt;&gt;"",U167,P167)},0))</f>
        <v/>
      </c>
      <c r="X167" s="9">
        <f>F167-V167</f>
        <v/>
      </c>
      <c r="Y167" s="11">
        <f>IF(V167=0,0,(F167-V167)/V167)</f>
        <v/>
      </c>
      <c r="Z167" s="9">
        <f>CEILING(MAX(V167*1.4,IF(IF(T167&lt;&gt;"",T167,O167)=0,V167*1.5,IF(T167&lt;&gt;"",T167,O167)*0.95)),10)-1</f>
        <v/>
      </c>
      <c r="AA167" s="12">
        <f>IF(IF(T167&lt;&gt;"",T167,O167)=0,"",TEXT((Z167-IF(T167&lt;&gt;"",T167,O167))/IF(T167&lt;&gt;"",T167,O167),"+0.0%;-0.0%"))</f>
        <v/>
      </c>
      <c r="AB167" s="10">
        <f>IF(Y167&gt;0.5,"✅ PROFITABLE — keep",IF(Y167&gt;0.2,"🟡 OK — optimize",IF(Y167&gt;0,"⚠️ THIN — raise or drop","❌ LOSING MONEY")))</f>
        <v/>
      </c>
    </row>
    <row r="168">
      <c r="A168" t="inlineStr">
        <is>
          <t>—</t>
        </is>
      </c>
      <c r="B168" t="n">
        <v>167</v>
      </c>
      <c r="C168" t="inlineStr">
        <is>
          <t>NG-CBL-003</t>
        </is>
      </c>
      <c r="D168" t="inlineStr">
        <is>
          <t>Cable Matters Thunderbolt 4 Cable (2m) - 40Gbps with 100W Charging</t>
        </is>
      </c>
      <c r="E168" t="inlineStr">
        <is>
          <t>Cables &amp;amp; Adapters</t>
        </is>
      </c>
      <c r="F168" s="13" t="n">
        <v>419</v>
      </c>
      <c r="G168" s="4" t="inlineStr">
        <is>
          <t>🔗</t>
        </is>
      </c>
      <c r="H168" s="4" t="inlineStr">
        <is>
          <t>🔗</t>
        </is>
      </c>
      <c r="I168" s="4" t="inlineStr">
        <is>
          <t>🔗</t>
        </is>
      </c>
      <c r="J168" s="4" t="inlineStr">
        <is>
          <t>🔗</t>
        </is>
      </c>
      <c r="K168" s="4" t="inlineStr">
        <is>
          <t>🔗</t>
        </is>
      </c>
      <c r="L168" s="5" t="n">
        <v>36.72</v>
      </c>
      <c r="M168" s="5" t="n">
        <v>45.82</v>
      </c>
      <c r="N168" s="6" t="n">
        <v>296.56</v>
      </c>
      <c r="O168" s="6" t="n">
        <v>371.69</v>
      </c>
      <c r="P168" s="6" t="n">
        <v>446.96</v>
      </c>
      <c r="Q168" s="7" t="n"/>
      <c r="R168" s="7" t="n"/>
      <c r="S168" s="8" t="n"/>
      <c r="T168" s="8" t="n"/>
      <c r="U168" s="8" t="n"/>
      <c r="V168" s="9">
        <f>MIN(IF(Q168&lt;&gt;"",Q168*3.75,L168*3.75),IF(R168&lt;&gt;"",R168*3.75,M168*3.75),IF(S168&lt;&gt;"",S168,N168),IF(T168&lt;&gt;"",T168,O168),IF(U168&lt;&gt;"",U168,P168))</f>
        <v/>
      </c>
      <c r="W168" s="10">
        <f>INDEX({"AliExpress","eBay","Amazon.sa","Noon","Jarir"},MATCH(V168,{IF(Q168&lt;&gt;"",Q168*3.75,L168*3.75),IF(R168&lt;&gt;"",R168*3.75,M168*3.75),IF(S168&lt;&gt;"",S168,N168),IF(T168&lt;&gt;"",T168,O168),IF(U168&lt;&gt;"",U168,P168)},0))</f>
        <v/>
      </c>
      <c r="X168" s="9">
        <f>F168-V168</f>
        <v/>
      </c>
      <c r="Y168" s="11">
        <f>IF(V168=0,0,(F168-V168)/V168)</f>
        <v/>
      </c>
      <c r="Z168" s="9">
        <f>CEILING(MAX(V168*1.4,IF(IF(T168&lt;&gt;"",T168,O168)=0,V168*1.5,IF(T168&lt;&gt;"",T168,O168)*0.95)),10)-1</f>
        <v/>
      </c>
      <c r="AA168" s="12">
        <f>IF(IF(T168&lt;&gt;"",T168,O168)=0,"",TEXT((Z168-IF(T168&lt;&gt;"",T168,O168))/IF(T168&lt;&gt;"",T168,O168),"+0.0%;-0.0%"))</f>
        <v/>
      </c>
      <c r="AB168" s="10">
        <f>IF(Y168&gt;0.5,"✅ PROFITABLE — keep",IF(Y168&gt;0.2,"🟡 OK — optimize",IF(Y168&gt;0,"⚠️ THIN — raise or drop","❌ LOSING MONEY")))</f>
        <v/>
      </c>
    </row>
    <row r="169">
      <c r="A169" t="inlineStr">
        <is>
          <t>—</t>
        </is>
      </c>
      <c r="B169" t="n">
        <v>168</v>
      </c>
      <c r="C169" t="inlineStr">
        <is>
          <t>NG-ACC-003</t>
        </is>
      </c>
      <c r="D169" t="inlineStr">
        <is>
          <t>Mark Ryden Anti-theft Laptop Backpack - Maximum Protection for Your Tech</t>
        </is>
      </c>
      <c r="E169" t="inlineStr">
        <is>
          <t>Accessories &amp;amp; Lifestyle</t>
        </is>
      </c>
      <c r="F169" s="13" t="n">
        <v>409</v>
      </c>
      <c r="G169" s="4" t="inlineStr">
        <is>
          <t>🔗</t>
        </is>
      </c>
      <c r="H169" s="4" t="inlineStr">
        <is>
          <t>🔗</t>
        </is>
      </c>
      <c r="I169" s="4" t="inlineStr">
        <is>
          <t>🔗</t>
        </is>
      </c>
      <c r="J169" s="4" t="inlineStr">
        <is>
          <t>🔗</t>
        </is>
      </c>
      <c r="K169" s="4" t="inlineStr">
        <is>
          <t>🔗</t>
        </is>
      </c>
      <c r="L169" s="5" t="n">
        <v>27.23</v>
      </c>
      <c r="M169" s="5" t="n">
        <v>50.57</v>
      </c>
      <c r="N169" s="6" t="n">
        <v>243.89</v>
      </c>
      <c r="O169" s="6" t="n">
        <v>364.36</v>
      </c>
      <c r="P169" s="6" t="n">
        <v>466.57</v>
      </c>
      <c r="Q169" s="7" t="n"/>
      <c r="R169" s="7" t="n"/>
      <c r="S169" s="8" t="n"/>
      <c r="T169" s="8" t="n"/>
      <c r="U169" s="8" t="n"/>
      <c r="V169" s="9">
        <f>MIN(IF(Q169&lt;&gt;"",Q169*3.75,L169*3.75),IF(R169&lt;&gt;"",R169*3.75,M169*3.75),IF(S169&lt;&gt;"",S169,N169),IF(T169&lt;&gt;"",T169,O169),IF(U169&lt;&gt;"",U169,P169))</f>
        <v/>
      </c>
      <c r="W169" s="10">
        <f>INDEX({"AliExpress","eBay","Amazon.sa","Noon","Jarir"},MATCH(V169,{IF(Q169&lt;&gt;"",Q169*3.75,L169*3.75),IF(R169&lt;&gt;"",R169*3.75,M169*3.75),IF(S169&lt;&gt;"",S169,N169),IF(T169&lt;&gt;"",T169,O169),IF(U169&lt;&gt;"",U169,P169)},0))</f>
        <v/>
      </c>
      <c r="X169" s="9">
        <f>F169-V169</f>
        <v/>
      </c>
      <c r="Y169" s="11">
        <f>IF(V169=0,0,(F169-V169)/V169)</f>
        <v/>
      </c>
      <c r="Z169" s="9">
        <f>CEILING(MAX(V169*1.4,IF(IF(T169&lt;&gt;"",T169,O169)=0,V169*1.5,IF(T169&lt;&gt;"",T169,O169)*0.95)),10)-1</f>
        <v/>
      </c>
      <c r="AA169" s="12">
        <f>IF(IF(T169&lt;&gt;"",T169,O169)=0,"",TEXT((Z169-IF(T169&lt;&gt;"",T169,O169))/IF(T169&lt;&gt;"",T169,O169),"+0.0%;-0.0%"))</f>
        <v/>
      </c>
      <c r="AB169" s="10">
        <f>IF(Y169&gt;0.5,"✅ PROFITABLE — keep",IF(Y169&gt;0.2,"🟡 OK — optimize",IF(Y169&gt;0,"⚠️ THIN — raise or drop","❌ LOSING MONEY")))</f>
        <v/>
      </c>
    </row>
    <row r="170">
      <c r="A170" t="inlineStr">
        <is>
          <t>—</t>
        </is>
      </c>
      <c r="B170" t="n">
        <v>169</v>
      </c>
      <c r="C170" t="inlineStr">
        <is>
          <t>SH-LGT-GOVE-001</t>
        </is>
      </c>
      <c r="D170" t="inlineStr">
        <is>
          <t>Govee RGBIC LED Strip M1 (5m)</t>
        </is>
      </c>
      <c r="E170" t="inlineStr">
        <is>
          <t>Smart Home &amp;amp; IoT</t>
        </is>
      </c>
      <c r="F170" s="13" t="n">
        <v>399</v>
      </c>
      <c r="G170" s="4" t="inlineStr">
        <is>
          <t>🔗</t>
        </is>
      </c>
      <c r="H170" s="4" t="inlineStr">
        <is>
          <t>🔗</t>
        </is>
      </c>
      <c r="I170" s="4" t="inlineStr">
        <is>
          <t>🔗</t>
        </is>
      </c>
      <c r="J170" s="4" t="inlineStr">
        <is>
          <t>🔗</t>
        </is>
      </c>
      <c r="K170" s="4" t="inlineStr">
        <is>
          <t>🔗</t>
        </is>
      </c>
      <c r="L170" s="5" t="n">
        <v>44.45</v>
      </c>
      <c r="M170" s="5" t="n">
        <v>75.47</v>
      </c>
      <c r="N170" s="6" t="n">
        <v>344.12</v>
      </c>
      <c r="O170" s="6" t="n">
        <v>404.16</v>
      </c>
      <c r="P170" s="6" t="n">
        <v>442.94</v>
      </c>
      <c r="Q170" s="7" t="n"/>
      <c r="R170" s="7" t="n"/>
      <c r="S170" s="8" t="n"/>
      <c r="T170" s="8" t="n"/>
      <c r="U170" s="8" t="n"/>
      <c r="V170" s="9">
        <f>MIN(IF(Q170&lt;&gt;"",Q170*3.75,L170*3.75),IF(R170&lt;&gt;"",R170*3.75,M170*3.75),IF(S170&lt;&gt;"",S170,N170),IF(T170&lt;&gt;"",T170,O170),IF(U170&lt;&gt;"",U170,P170))</f>
        <v/>
      </c>
      <c r="W170" s="10">
        <f>INDEX({"AliExpress","eBay","Amazon.sa","Noon","Jarir"},MATCH(V170,{IF(Q170&lt;&gt;"",Q170*3.75,L170*3.75),IF(R170&lt;&gt;"",R170*3.75,M170*3.75),IF(S170&lt;&gt;"",S170,N170),IF(T170&lt;&gt;"",T170,O170),IF(U170&lt;&gt;"",U170,P170)},0))</f>
        <v/>
      </c>
      <c r="X170" s="9">
        <f>F170-V170</f>
        <v/>
      </c>
      <c r="Y170" s="11">
        <f>IF(V170=0,0,(F170-V170)/V170)</f>
        <v/>
      </c>
      <c r="Z170" s="9">
        <f>CEILING(MAX(V170*1.4,IF(IF(T170&lt;&gt;"",T170,O170)=0,V170*1.5,IF(T170&lt;&gt;"",T170,O170)*0.95)),10)-1</f>
        <v/>
      </c>
      <c r="AA170" s="12">
        <f>IF(IF(T170&lt;&gt;"",T170,O170)=0,"",TEXT((Z170-IF(T170&lt;&gt;"",T170,O170))/IF(T170&lt;&gt;"",T170,O170),"+0.0%;-0.0%"))</f>
        <v/>
      </c>
      <c r="AB170" s="10">
        <f>IF(Y170&gt;0.5,"✅ PROFITABLE — keep",IF(Y170&gt;0.2,"🟡 OK — optimize",IF(Y170&gt;0,"⚠️ THIN — raise or drop","❌ LOSING MONEY")))</f>
        <v/>
      </c>
    </row>
    <row r="171">
      <c r="A171" t="inlineStr">
        <is>
          <t>—</t>
        </is>
      </c>
      <c r="B171" t="n">
        <v>170</v>
      </c>
      <c r="C171" t="inlineStr">
        <is>
          <t>SH-SPK-AMZN-002</t>
        </is>
      </c>
      <c r="D171" t="inlineStr">
        <is>
          <t>Amazon Echo Dot (5th Gen)</t>
        </is>
      </c>
      <c r="E171" t="inlineStr">
        <is>
          <t>Smart Home &amp;amp; IoT</t>
        </is>
      </c>
      <c r="F171" s="13" t="n">
        <v>399</v>
      </c>
      <c r="G171" s="4" t="inlineStr">
        <is>
          <t>🔗</t>
        </is>
      </c>
      <c r="H171" s="4" t="inlineStr">
        <is>
          <t>🔗</t>
        </is>
      </c>
      <c r="I171" s="4" t="inlineStr">
        <is>
          <t>🔗</t>
        </is>
      </c>
      <c r="J171" s="4" t="inlineStr">
        <is>
          <t>🔗</t>
        </is>
      </c>
      <c r="K171" s="4" t="inlineStr">
        <is>
          <t>🔗</t>
        </is>
      </c>
      <c r="L171" s="5" t="n">
        <v>55.53</v>
      </c>
      <c r="M171" s="5" t="n">
        <v>67.81999999999999</v>
      </c>
      <c r="N171" s="6" t="n">
        <v>310.89</v>
      </c>
      <c r="O171" s="6" t="n">
        <v>390.89</v>
      </c>
      <c r="P171" s="6" t="n">
        <v>432.93</v>
      </c>
      <c r="Q171" s="7" t="n"/>
      <c r="R171" s="7" t="n"/>
      <c r="S171" s="8" t="n"/>
      <c r="T171" s="8" t="n"/>
      <c r="U171" s="8" t="n"/>
      <c r="V171" s="9">
        <f>MIN(IF(Q171&lt;&gt;"",Q171*3.75,L171*3.75),IF(R171&lt;&gt;"",R171*3.75,M171*3.75),IF(S171&lt;&gt;"",S171,N171),IF(T171&lt;&gt;"",T171,O171),IF(U171&lt;&gt;"",U171,P171))</f>
        <v/>
      </c>
      <c r="W171" s="10">
        <f>INDEX({"AliExpress","eBay","Amazon.sa","Noon","Jarir"},MATCH(V171,{IF(Q171&lt;&gt;"",Q171*3.75,L171*3.75),IF(R171&lt;&gt;"",R171*3.75,M171*3.75),IF(S171&lt;&gt;"",S171,N171),IF(T171&lt;&gt;"",T171,O171),IF(U171&lt;&gt;"",U171,P171)},0))</f>
        <v/>
      </c>
      <c r="X171" s="9">
        <f>F171-V171</f>
        <v/>
      </c>
      <c r="Y171" s="11">
        <f>IF(V171=0,0,(F171-V171)/V171)</f>
        <v/>
      </c>
      <c r="Z171" s="9">
        <f>CEILING(MAX(V171*1.4,IF(IF(T171&lt;&gt;"",T171,O171)=0,V171*1.5,IF(T171&lt;&gt;"",T171,O171)*0.95)),10)-1</f>
        <v/>
      </c>
      <c r="AA171" s="12">
        <f>IF(IF(T171&lt;&gt;"",T171,O171)=0,"",TEXT((Z171-IF(T171&lt;&gt;"",T171,O171))/IF(T171&lt;&gt;"",T171,O171),"+0.0%;-0.0%"))</f>
        <v/>
      </c>
      <c r="AB171" s="10">
        <f>IF(Y171&gt;0.5,"✅ PROFITABLE — keep",IF(Y171&gt;0.2,"🟡 OK — optimize",IF(Y171&gt;0,"⚠️ THIN — raise or drop","❌ LOSING MONEY")))</f>
        <v/>
      </c>
    </row>
    <row r="172">
      <c r="A172" t="inlineStr">
        <is>
          <t>—</t>
        </is>
      </c>
      <c r="B172" t="n">
        <v>171</v>
      </c>
      <c r="C172" t="inlineStr">
        <is>
          <t>NG-SH-010</t>
        </is>
      </c>
      <c r="D172" t="inlineStr">
        <is>
          <t>Eve Energy Smart Plug (Matter/Thread) - Next-Gen Smart Plug with Power Monitoring</t>
        </is>
      </c>
      <c r="E172" t="inlineStr">
        <is>
          <t>Smart Home &amp;amp; IoT</t>
        </is>
      </c>
      <c r="F172" s="13" t="n">
        <v>399</v>
      </c>
      <c r="G172" s="4" t="inlineStr">
        <is>
          <t>🔗</t>
        </is>
      </c>
      <c r="H172" s="4" t="inlineStr">
        <is>
          <t>🔗</t>
        </is>
      </c>
      <c r="I172" s="4" t="inlineStr">
        <is>
          <t>🔗</t>
        </is>
      </c>
      <c r="J172" s="4" t="inlineStr">
        <is>
          <t>🔗</t>
        </is>
      </c>
      <c r="K172" s="4" t="inlineStr">
        <is>
          <t>🔗</t>
        </is>
      </c>
      <c r="L172" s="5" t="n">
        <v>55.81</v>
      </c>
      <c r="M172" s="5" t="n">
        <v>59.4</v>
      </c>
      <c r="N172" s="6" t="n">
        <v>286.12</v>
      </c>
      <c r="O172" s="6" t="n">
        <v>382.16</v>
      </c>
      <c r="P172" s="6" t="n">
        <v>450.33</v>
      </c>
      <c r="Q172" s="7" t="n"/>
      <c r="R172" s="7" t="n"/>
      <c r="S172" s="8" t="n"/>
      <c r="T172" s="8" t="n"/>
      <c r="U172" s="8" t="n"/>
      <c r="V172" s="9">
        <f>MIN(IF(Q172&lt;&gt;"",Q172*3.75,L172*3.75),IF(R172&lt;&gt;"",R172*3.75,M172*3.75),IF(S172&lt;&gt;"",S172,N172),IF(T172&lt;&gt;"",T172,O172),IF(U172&lt;&gt;"",U172,P172))</f>
        <v/>
      </c>
      <c r="W172" s="10">
        <f>INDEX({"AliExpress","eBay","Amazon.sa","Noon","Jarir"},MATCH(V172,{IF(Q172&lt;&gt;"",Q172*3.75,L172*3.75),IF(R172&lt;&gt;"",R172*3.75,M172*3.75),IF(S172&lt;&gt;"",S172,N172),IF(T172&lt;&gt;"",T172,O172),IF(U172&lt;&gt;"",U172,P172)},0))</f>
        <v/>
      </c>
      <c r="X172" s="9">
        <f>F172-V172</f>
        <v/>
      </c>
      <c r="Y172" s="11">
        <f>IF(V172=0,0,(F172-V172)/V172)</f>
        <v/>
      </c>
      <c r="Z172" s="9">
        <f>CEILING(MAX(V172*1.4,IF(IF(T172&lt;&gt;"",T172,O172)=0,V172*1.5,IF(T172&lt;&gt;"",T172,O172)*0.95)),10)-1</f>
        <v/>
      </c>
      <c r="AA172" s="12">
        <f>IF(IF(T172&lt;&gt;"",T172,O172)=0,"",TEXT((Z172-IF(T172&lt;&gt;"",T172,O172))/IF(T172&lt;&gt;"",T172,O172),"+0.0%;-0.0%"))</f>
        <v/>
      </c>
      <c r="AB172" s="10">
        <f>IF(Y172&gt;0.5,"✅ PROFITABLE — keep",IF(Y172&gt;0.2,"🟡 OK — optimize",IF(Y172&gt;0,"⚠️ THIN — raise or drop","❌ LOSING MONEY")))</f>
        <v/>
      </c>
    </row>
    <row r="173">
      <c r="A173" t="inlineStr">
        <is>
          <t>—</t>
        </is>
      </c>
      <c r="B173" t="n">
        <v>172</v>
      </c>
      <c r="C173" t="inlineStr">
        <is>
          <t>GC-APL-100</t>
        </is>
      </c>
      <c r="D173" t="inlineStr">
        <is>
          <t>Apple Gift Card $100 | بطاقة آبل</t>
        </is>
      </c>
      <c r="E173" t="inlineStr">
        <is>
          <t>Gift Cards &amp;amp; Software Keys</t>
        </is>
      </c>
      <c r="F173" s="13" t="n">
        <v>389</v>
      </c>
      <c r="G173" s="4" t="inlineStr">
        <is>
          <t>🔗</t>
        </is>
      </c>
      <c r="H173" s="4" t="inlineStr">
        <is>
          <t>🔗</t>
        </is>
      </c>
      <c r="I173" s="4" t="inlineStr">
        <is>
          <t>🔗</t>
        </is>
      </c>
      <c r="J173" s="4" t="inlineStr">
        <is>
          <t>🔗</t>
        </is>
      </c>
      <c r="K173" s="4" t="inlineStr">
        <is>
          <t>🔗</t>
        </is>
      </c>
      <c r="L173" s="5" t="n">
        <v>99.56</v>
      </c>
      <c r="M173" s="5" t="n">
        <v>105.5</v>
      </c>
      <c r="N173" s="6" t="n">
        <v>404.85</v>
      </c>
      <c r="O173" s="6" t="n">
        <v>402.91</v>
      </c>
      <c r="P173" s="6" t="n">
        <v>450.36</v>
      </c>
      <c r="Q173" s="7" t="n"/>
      <c r="R173" s="7" t="n"/>
      <c r="S173" s="8" t="n"/>
      <c r="T173" s="8" t="n"/>
      <c r="U173" s="8" t="n"/>
      <c r="V173" s="9">
        <f>MIN(IF(Q173&lt;&gt;"",Q173*3.75,L173*3.75),IF(R173&lt;&gt;"",R173*3.75,M173*3.75),IF(S173&lt;&gt;"",S173,N173),IF(T173&lt;&gt;"",T173,O173),IF(U173&lt;&gt;"",U173,P173))</f>
        <v/>
      </c>
      <c r="W173" s="10">
        <f>INDEX({"AliExpress","eBay","Amazon.sa","Noon","Jarir"},MATCH(V173,{IF(Q173&lt;&gt;"",Q173*3.75,L173*3.75),IF(R173&lt;&gt;"",R173*3.75,M173*3.75),IF(S173&lt;&gt;"",S173,N173),IF(T173&lt;&gt;"",T173,O173),IF(U173&lt;&gt;"",U173,P173)},0))</f>
        <v/>
      </c>
      <c r="X173" s="9">
        <f>F173-V173</f>
        <v/>
      </c>
      <c r="Y173" s="11">
        <f>IF(V173=0,0,(F173-V173)/V173)</f>
        <v/>
      </c>
      <c r="Z173" s="9">
        <f>CEILING(MAX(V173*1.4,IF(IF(T173&lt;&gt;"",T173,O173)=0,V173*1.5,IF(T173&lt;&gt;"",T173,O173)*0.95)),10)-1</f>
        <v/>
      </c>
      <c r="AA173" s="12">
        <f>IF(IF(T173&lt;&gt;"",T173,O173)=0,"",TEXT((Z173-IF(T173&lt;&gt;"",T173,O173))/IF(T173&lt;&gt;"",T173,O173),"+0.0%;-0.0%"))</f>
        <v/>
      </c>
      <c r="AB173" s="10">
        <f>IF(Y173&gt;0.5,"✅ PROFITABLE — keep",IF(Y173&gt;0.2,"🟡 OK — optimize",IF(Y173&gt;0,"⚠️ THIN — raise or drop","❌ LOSING MONEY")))</f>
        <v/>
      </c>
    </row>
    <row r="174">
      <c r="A174" t="inlineStr">
        <is>
          <t>—</t>
        </is>
      </c>
      <c r="B174" t="n">
        <v>173</v>
      </c>
      <c r="C174" t="inlineStr">
        <is>
          <t>GC-NFX-100</t>
        </is>
      </c>
      <c r="D174" t="inlineStr">
        <is>
          <t>Netflix Gift Card $100 | بطاقة نتفلكس</t>
        </is>
      </c>
      <c r="E174" t="inlineStr">
        <is>
          <t>Gift Cards &amp;amp; Software Keys</t>
        </is>
      </c>
      <c r="F174" s="13" t="n">
        <v>389</v>
      </c>
      <c r="G174" s="4" t="inlineStr">
        <is>
          <t>🔗</t>
        </is>
      </c>
      <c r="H174" s="4" t="inlineStr">
        <is>
          <t>🔗</t>
        </is>
      </c>
      <c r="I174" s="4" t="inlineStr">
        <is>
          <t>🔗</t>
        </is>
      </c>
      <c r="J174" s="4" t="inlineStr">
        <is>
          <t>🔗</t>
        </is>
      </c>
      <c r="K174" s="4" t="inlineStr">
        <is>
          <t>🔗</t>
        </is>
      </c>
      <c r="L174" s="5" t="n">
        <v>98.53</v>
      </c>
      <c r="M174" s="5" t="n">
        <v>101.42</v>
      </c>
      <c r="N174" s="6" t="n">
        <v>419.02</v>
      </c>
      <c r="O174" s="6" t="n">
        <v>453.01</v>
      </c>
      <c r="P174" s="6" t="n">
        <v>411.49</v>
      </c>
      <c r="Q174" s="7" t="n"/>
      <c r="R174" s="7" t="n"/>
      <c r="S174" s="8" t="n"/>
      <c r="T174" s="8" t="n"/>
      <c r="U174" s="8" t="n"/>
      <c r="V174" s="9">
        <f>MIN(IF(Q174&lt;&gt;"",Q174*3.75,L174*3.75),IF(R174&lt;&gt;"",R174*3.75,M174*3.75),IF(S174&lt;&gt;"",S174,N174),IF(T174&lt;&gt;"",T174,O174),IF(U174&lt;&gt;"",U174,P174))</f>
        <v/>
      </c>
      <c r="W174" s="10">
        <f>INDEX({"AliExpress","eBay","Amazon.sa","Noon","Jarir"},MATCH(V174,{IF(Q174&lt;&gt;"",Q174*3.75,L174*3.75),IF(R174&lt;&gt;"",R174*3.75,M174*3.75),IF(S174&lt;&gt;"",S174,N174),IF(T174&lt;&gt;"",T174,O174),IF(U174&lt;&gt;"",U174,P174)},0))</f>
        <v/>
      </c>
      <c r="X174" s="9">
        <f>F174-V174</f>
        <v/>
      </c>
      <c r="Y174" s="11">
        <f>IF(V174=0,0,(F174-V174)/V174)</f>
        <v/>
      </c>
      <c r="Z174" s="9">
        <f>CEILING(MAX(V174*1.4,IF(IF(T174&lt;&gt;"",T174,O174)=0,V174*1.5,IF(T174&lt;&gt;"",T174,O174)*0.95)),10)-1</f>
        <v/>
      </c>
      <c r="AA174" s="12">
        <f>IF(IF(T174&lt;&gt;"",T174,O174)=0,"",TEXT((Z174-IF(T174&lt;&gt;"",T174,O174))/IF(T174&lt;&gt;"",T174,O174),"+0.0%;-0.0%"))</f>
        <v/>
      </c>
      <c r="AB174" s="10">
        <f>IF(Y174&gt;0.5,"✅ PROFITABLE — keep",IF(Y174&gt;0.2,"🟡 OK — optimize",IF(Y174&gt;0,"⚠️ THIN — raise or drop","❌ LOSING MONEY")))</f>
        <v/>
      </c>
    </row>
    <row r="175">
      <c r="A175" t="inlineStr">
        <is>
          <t>—</t>
        </is>
      </c>
      <c r="B175" t="n">
        <v>174</v>
      </c>
      <c r="C175" t="inlineStr">
        <is>
          <t>NG-SH-014</t>
        </is>
      </c>
      <c r="D175" t="inlineStr">
        <is>
          <t>MOES Zigbee Smart Thermostat (BHT-002-GCLZB) - Programmable HVAC Control</t>
        </is>
      </c>
      <c r="E175" t="inlineStr">
        <is>
          <t>Smart Home &amp;amp; IoT</t>
        </is>
      </c>
      <c r="F175" s="13" t="n">
        <v>379</v>
      </c>
      <c r="G175" s="4" t="inlineStr">
        <is>
          <t>🔗</t>
        </is>
      </c>
      <c r="H175" s="4" t="inlineStr">
        <is>
          <t>🔗</t>
        </is>
      </c>
      <c r="I175" s="4" t="inlineStr">
        <is>
          <t>🔗</t>
        </is>
      </c>
      <c r="J175" s="4" t="inlineStr">
        <is>
          <t>🔗</t>
        </is>
      </c>
      <c r="K175" s="4" t="inlineStr">
        <is>
          <t>🔗</t>
        </is>
      </c>
      <c r="L175" s="5" t="n">
        <v>51.47</v>
      </c>
      <c r="M175" s="5" t="n">
        <v>62.41</v>
      </c>
      <c r="N175" s="6" t="n">
        <v>300.82</v>
      </c>
      <c r="O175" s="6" t="n">
        <v>316.99</v>
      </c>
      <c r="P175" s="6" t="n">
        <v>387.87</v>
      </c>
      <c r="Q175" s="7" t="n"/>
      <c r="R175" s="7" t="n"/>
      <c r="S175" s="8" t="n"/>
      <c r="T175" s="8" t="n"/>
      <c r="U175" s="8" t="n"/>
      <c r="V175" s="9">
        <f>MIN(IF(Q175&lt;&gt;"",Q175*3.75,L175*3.75),IF(R175&lt;&gt;"",R175*3.75,M175*3.75),IF(S175&lt;&gt;"",S175,N175),IF(T175&lt;&gt;"",T175,O175),IF(U175&lt;&gt;"",U175,P175))</f>
        <v/>
      </c>
      <c r="W175" s="10">
        <f>INDEX({"AliExpress","eBay","Amazon.sa","Noon","Jarir"},MATCH(V175,{IF(Q175&lt;&gt;"",Q175*3.75,L175*3.75),IF(R175&lt;&gt;"",R175*3.75,M175*3.75),IF(S175&lt;&gt;"",S175,N175),IF(T175&lt;&gt;"",T175,O175),IF(U175&lt;&gt;"",U175,P175)},0))</f>
        <v/>
      </c>
      <c r="X175" s="9">
        <f>F175-V175</f>
        <v/>
      </c>
      <c r="Y175" s="11">
        <f>IF(V175=0,0,(F175-V175)/V175)</f>
        <v/>
      </c>
      <c r="Z175" s="9">
        <f>CEILING(MAX(V175*1.4,IF(IF(T175&lt;&gt;"",T175,O175)=0,V175*1.5,IF(T175&lt;&gt;"",T175,O175)*0.95)),10)-1</f>
        <v/>
      </c>
      <c r="AA175" s="12">
        <f>IF(IF(T175&lt;&gt;"",T175,O175)=0,"",TEXT((Z175-IF(T175&lt;&gt;"",T175,O175))/IF(T175&lt;&gt;"",T175,O175),"+0.0%;-0.0%"))</f>
        <v/>
      </c>
      <c r="AB175" s="10">
        <f>IF(Y175&gt;0.5,"✅ PROFITABLE — keep",IF(Y175&gt;0.2,"🟡 OK — optimize",IF(Y175&gt;0,"⚠️ THIN — raise or drop","❌ LOSING MONEY")))</f>
        <v/>
      </c>
    </row>
    <row r="176">
      <c r="A176" t="inlineStr">
        <is>
          <t>—</t>
        </is>
      </c>
      <c r="B176" t="n">
        <v>175</v>
      </c>
      <c r="C176" t="inlineStr">
        <is>
          <t>NG-ACC-002</t>
        </is>
      </c>
      <c r="D176" t="inlineStr">
        <is>
          <t>Anker 735 GaN 65W Charger - Compact 3-Port Fast Charger</t>
        </is>
      </c>
      <c r="E176" t="inlineStr">
        <is>
          <t>Accessories &amp;amp; Lifestyle</t>
        </is>
      </c>
      <c r="F176" s="13" t="n">
        <v>379</v>
      </c>
      <c r="G176" s="4" t="inlineStr">
        <is>
          <t>🔗</t>
        </is>
      </c>
      <c r="H176" s="4" t="inlineStr">
        <is>
          <t>🔗</t>
        </is>
      </c>
      <c r="I176" s="4" t="inlineStr">
        <is>
          <t>🔗</t>
        </is>
      </c>
      <c r="J176" s="4" t="inlineStr">
        <is>
          <t>🔗</t>
        </is>
      </c>
      <c r="K176" s="4" t="inlineStr">
        <is>
          <t>🔗</t>
        </is>
      </c>
      <c r="L176" s="5" t="n">
        <v>27.91</v>
      </c>
      <c r="M176" s="5" t="n">
        <v>50.34</v>
      </c>
      <c r="N176" s="6" t="n">
        <v>227.78</v>
      </c>
      <c r="O176" s="6" t="n">
        <v>293.23</v>
      </c>
      <c r="P176" s="6" t="n">
        <v>421.16</v>
      </c>
      <c r="Q176" s="7" t="n"/>
      <c r="R176" s="7" t="n"/>
      <c r="S176" s="8" t="n"/>
      <c r="T176" s="8" t="n"/>
      <c r="U176" s="8" t="n"/>
      <c r="V176" s="9">
        <f>MIN(IF(Q176&lt;&gt;"",Q176*3.75,L176*3.75),IF(R176&lt;&gt;"",R176*3.75,M176*3.75),IF(S176&lt;&gt;"",S176,N176),IF(T176&lt;&gt;"",T176,O176),IF(U176&lt;&gt;"",U176,P176))</f>
        <v/>
      </c>
      <c r="W176" s="10">
        <f>INDEX({"AliExpress","eBay","Amazon.sa","Noon","Jarir"},MATCH(V176,{IF(Q176&lt;&gt;"",Q176*3.75,L176*3.75),IF(R176&lt;&gt;"",R176*3.75,M176*3.75),IF(S176&lt;&gt;"",S176,N176),IF(T176&lt;&gt;"",T176,O176),IF(U176&lt;&gt;"",U176,P176)},0))</f>
        <v/>
      </c>
      <c r="X176" s="9">
        <f>F176-V176</f>
        <v/>
      </c>
      <c r="Y176" s="11">
        <f>IF(V176=0,0,(F176-V176)/V176)</f>
        <v/>
      </c>
      <c r="Z176" s="9">
        <f>CEILING(MAX(V176*1.4,IF(IF(T176&lt;&gt;"",T176,O176)=0,V176*1.5,IF(T176&lt;&gt;"",T176,O176)*0.95)),10)-1</f>
        <v/>
      </c>
      <c r="AA176" s="12">
        <f>IF(IF(T176&lt;&gt;"",T176,O176)=0,"",TEXT((Z176-IF(T176&lt;&gt;"",T176,O176))/IF(T176&lt;&gt;"",T176,O176),"+0.0%;-0.0%"))</f>
        <v/>
      </c>
      <c r="AB176" s="10">
        <f>IF(Y176&gt;0.5,"✅ PROFITABLE — keep",IF(Y176&gt;0.2,"🟡 OK — optimize",IF(Y176&gt;0,"⚠️ THIN — raise or drop","❌ LOSING MONEY")))</f>
        <v/>
      </c>
    </row>
    <row r="177">
      <c r="A177" t="inlineStr">
        <is>
          <t>—</t>
        </is>
      </c>
      <c r="B177" t="n">
        <v>176</v>
      </c>
      <c r="C177" t="inlineStr">
        <is>
          <t>NG-CBL-008</t>
        </is>
      </c>
      <c r="D177" t="inlineStr">
        <is>
          <t>HDMI 2.1 8K Fiber Optic Cable (10m) - Zero Signal Loss</t>
        </is>
      </c>
      <c r="E177" t="inlineStr">
        <is>
          <t>Cables &amp;amp; Adapters</t>
        </is>
      </c>
      <c r="F177" s="13" t="n">
        <v>359</v>
      </c>
      <c r="G177" s="4" t="inlineStr">
        <is>
          <t>🔗</t>
        </is>
      </c>
      <c r="H177" s="4" t="inlineStr">
        <is>
          <t>🔗</t>
        </is>
      </c>
      <c r="I177" s="4" t="inlineStr">
        <is>
          <t>🔗</t>
        </is>
      </c>
      <c r="J177" s="4" t="inlineStr">
        <is>
          <t>🔗</t>
        </is>
      </c>
      <c r="K177" s="4" t="inlineStr">
        <is>
          <t>🔗</t>
        </is>
      </c>
      <c r="L177" s="5" t="n">
        <v>27.32</v>
      </c>
      <c r="M177" s="5" t="n">
        <v>34.48</v>
      </c>
      <c r="N177" s="6" t="n">
        <v>295.76</v>
      </c>
      <c r="O177" s="6" t="n">
        <v>284.66</v>
      </c>
      <c r="P177" s="6" t="n">
        <v>354.82</v>
      </c>
      <c r="Q177" s="7" t="n"/>
      <c r="R177" s="7" t="n"/>
      <c r="S177" s="8" t="n"/>
      <c r="T177" s="8" t="n"/>
      <c r="U177" s="8" t="n"/>
      <c r="V177" s="9">
        <f>MIN(IF(Q177&lt;&gt;"",Q177*3.75,L177*3.75),IF(R177&lt;&gt;"",R177*3.75,M177*3.75),IF(S177&lt;&gt;"",S177,N177),IF(T177&lt;&gt;"",T177,O177),IF(U177&lt;&gt;"",U177,P177))</f>
        <v/>
      </c>
      <c r="W177" s="10">
        <f>INDEX({"AliExpress","eBay","Amazon.sa","Noon","Jarir"},MATCH(V177,{IF(Q177&lt;&gt;"",Q177*3.75,L177*3.75),IF(R177&lt;&gt;"",R177*3.75,M177*3.75),IF(S177&lt;&gt;"",S177,N177),IF(T177&lt;&gt;"",T177,O177),IF(U177&lt;&gt;"",U177,P177)},0))</f>
        <v/>
      </c>
      <c r="X177" s="9">
        <f>F177-V177</f>
        <v/>
      </c>
      <c r="Y177" s="11">
        <f>IF(V177=0,0,(F177-V177)/V177)</f>
        <v/>
      </c>
      <c r="Z177" s="9">
        <f>CEILING(MAX(V177*1.4,IF(IF(T177&lt;&gt;"",T177,O177)=0,V177*1.5,IF(T177&lt;&gt;"",T177,O177)*0.95)),10)-1</f>
        <v/>
      </c>
      <c r="AA177" s="12">
        <f>IF(IF(T177&lt;&gt;"",T177,O177)=0,"",TEXT((Z177-IF(T177&lt;&gt;"",T177,O177))/IF(T177&lt;&gt;"",T177,O177),"+0.0%;-0.0%"))</f>
        <v/>
      </c>
      <c r="AB177" s="10">
        <f>IF(Y177&gt;0.5,"✅ PROFITABLE — keep",IF(Y177&gt;0.2,"🟡 OK — optimize",IF(Y177&gt;0,"⚠️ THIN — raise or drop","❌ LOSING MONEY")))</f>
        <v/>
      </c>
    </row>
    <row r="178">
      <c r="A178" t="inlineStr">
        <is>
          <t>—</t>
        </is>
      </c>
      <c r="B178" t="n">
        <v>177</v>
      </c>
      <c r="C178" t="inlineStr">
        <is>
          <t>NG-SH-003</t>
        </is>
      </c>
      <c r="D178" t="inlineStr">
        <is>
          <t>Broadlink RM4 Pro - Universal Smart Remote for IR &amp;amp; RF Devices</t>
        </is>
      </c>
      <c r="E178" t="inlineStr">
        <is>
          <t>Smart Home &amp;amp; IoT</t>
        </is>
      </c>
      <c r="F178" s="13" t="n">
        <v>359</v>
      </c>
      <c r="G178" s="4" t="inlineStr">
        <is>
          <t>🔗</t>
        </is>
      </c>
      <c r="H178" s="4" t="inlineStr">
        <is>
          <t>🔗</t>
        </is>
      </c>
      <c r="I178" s="4" t="inlineStr">
        <is>
          <t>🔗</t>
        </is>
      </c>
      <c r="J178" s="4" t="inlineStr">
        <is>
          <t>🔗</t>
        </is>
      </c>
      <c r="K178" s="4" t="inlineStr">
        <is>
          <t>🔗</t>
        </is>
      </c>
      <c r="L178" s="5" t="n">
        <v>38.37</v>
      </c>
      <c r="M178" s="5" t="n">
        <v>58.27</v>
      </c>
      <c r="N178" s="6" t="n">
        <v>252.14</v>
      </c>
      <c r="O178" s="6" t="n">
        <v>359.42</v>
      </c>
      <c r="P178" s="6" t="n">
        <v>403.27</v>
      </c>
      <c r="Q178" s="7" t="n"/>
      <c r="R178" s="7" t="n"/>
      <c r="S178" s="8" t="n"/>
      <c r="T178" s="8" t="n"/>
      <c r="U178" s="8" t="n"/>
      <c r="V178" s="9">
        <f>MIN(IF(Q178&lt;&gt;"",Q178*3.75,L178*3.75),IF(R178&lt;&gt;"",R178*3.75,M178*3.75),IF(S178&lt;&gt;"",S178,N178),IF(T178&lt;&gt;"",T178,O178),IF(U178&lt;&gt;"",U178,P178))</f>
        <v/>
      </c>
      <c r="W178" s="10">
        <f>INDEX({"AliExpress","eBay","Amazon.sa","Noon","Jarir"},MATCH(V178,{IF(Q178&lt;&gt;"",Q178*3.75,L178*3.75),IF(R178&lt;&gt;"",R178*3.75,M178*3.75),IF(S178&lt;&gt;"",S178,N178),IF(T178&lt;&gt;"",T178,O178),IF(U178&lt;&gt;"",U178,P178)},0))</f>
        <v/>
      </c>
      <c r="X178" s="9">
        <f>F178-V178</f>
        <v/>
      </c>
      <c r="Y178" s="11">
        <f>IF(V178=0,0,(F178-V178)/V178)</f>
        <v/>
      </c>
      <c r="Z178" s="9">
        <f>CEILING(MAX(V178*1.4,IF(IF(T178&lt;&gt;"",T178,O178)=0,V178*1.5,IF(T178&lt;&gt;"",T178,O178)*0.95)),10)-1</f>
        <v/>
      </c>
      <c r="AA178" s="12">
        <f>IF(IF(T178&lt;&gt;"",T178,O178)=0,"",TEXT((Z178-IF(T178&lt;&gt;"",T178,O178))/IF(T178&lt;&gt;"",T178,O178),"+0.0%;-0.0%"))</f>
        <v/>
      </c>
      <c r="AB178" s="10">
        <f>IF(Y178&gt;0.5,"✅ PROFITABLE — keep",IF(Y178&gt;0.2,"🟡 OK — optimize",IF(Y178&gt;0,"⚠️ THIN — raise or drop","❌ LOSING MONEY")))</f>
        <v/>
      </c>
    </row>
    <row r="179">
      <c r="A179" t="inlineStr">
        <is>
          <t>—</t>
        </is>
      </c>
      <c r="B179" t="n">
        <v>178</v>
      </c>
      <c r="C179" t="inlineStr">
        <is>
          <t>GC-SW-OFF24</t>
        </is>
      </c>
      <c r="D179" t="inlineStr">
        <is>
          <t>Microsoft Office 2024 Pro Plus | أوفيس 2024 برو</t>
        </is>
      </c>
      <c r="E179" t="inlineStr">
        <is>
          <t>Gift Cards &amp;amp; Software Keys</t>
        </is>
      </c>
      <c r="F179" s="13" t="n">
        <v>349</v>
      </c>
      <c r="G179" s="4" t="inlineStr">
        <is>
          <t>🔗</t>
        </is>
      </c>
      <c r="H179" s="4" t="inlineStr">
        <is>
          <t>🔗</t>
        </is>
      </c>
      <c r="I179" s="4" t="inlineStr">
        <is>
          <t>🔗</t>
        </is>
      </c>
      <c r="J179" s="4" t="inlineStr">
        <is>
          <t>🔗</t>
        </is>
      </c>
      <c r="K179" s="4" t="inlineStr">
        <is>
          <t>🔗</t>
        </is>
      </c>
      <c r="L179" s="5" t="n">
        <v>86.94</v>
      </c>
      <c r="M179" s="5" t="n">
        <v>87.53</v>
      </c>
      <c r="N179" s="6" t="n">
        <v>363.6</v>
      </c>
      <c r="O179" s="6" t="n">
        <v>375.28</v>
      </c>
      <c r="P179" s="6" t="n">
        <v>401.31</v>
      </c>
      <c r="Q179" s="7" t="n"/>
      <c r="R179" s="7" t="n"/>
      <c r="S179" s="8" t="n"/>
      <c r="T179" s="8" t="n"/>
      <c r="U179" s="8" t="n"/>
      <c r="V179" s="9">
        <f>MIN(IF(Q179&lt;&gt;"",Q179*3.75,L179*3.75),IF(R179&lt;&gt;"",R179*3.75,M179*3.75),IF(S179&lt;&gt;"",S179,N179),IF(T179&lt;&gt;"",T179,O179),IF(U179&lt;&gt;"",U179,P179))</f>
        <v/>
      </c>
      <c r="W179" s="10">
        <f>INDEX({"AliExpress","eBay","Amazon.sa","Noon","Jarir"},MATCH(V179,{IF(Q179&lt;&gt;"",Q179*3.75,L179*3.75),IF(R179&lt;&gt;"",R179*3.75,M179*3.75),IF(S179&lt;&gt;"",S179,N179),IF(T179&lt;&gt;"",T179,O179),IF(U179&lt;&gt;"",U179,P179)},0))</f>
        <v/>
      </c>
      <c r="X179" s="9">
        <f>F179-V179</f>
        <v/>
      </c>
      <c r="Y179" s="11">
        <f>IF(V179=0,0,(F179-V179)/V179)</f>
        <v/>
      </c>
      <c r="Z179" s="9">
        <f>CEILING(MAX(V179*1.4,IF(IF(T179&lt;&gt;"",T179,O179)=0,V179*1.5,IF(T179&lt;&gt;"",T179,O179)*0.95)),10)-1</f>
        <v/>
      </c>
      <c r="AA179" s="12">
        <f>IF(IF(T179&lt;&gt;"",T179,O179)=0,"",TEXT((Z179-IF(T179&lt;&gt;"",T179,O179))/IF(T179&lt;&gt;"",T179,O179),"+0.0%;-0.0%"))</f>
        <v/>
      </c>
      <c r="AB179" s="10">
        <f>IF(Y179&gt;0.5,"✅ PROFITABLE — keep",IF(Y179&gt;0.2,"🟡 OK — optimize",IF(Y179&gt;0,"⚠️ THIN — raise or drop","❌ LOSING MONEY")))</f>
        <v/>
      </c>
    </row>
    <row r="180">
      <c r="A180" t="inlineStr">
        <is>
          <t>—</t>
        </is>
      </c>
      <c r="B180" t="n">
        <v>179</v>
      </c>
      <c r="C180" t="inlineStr">
        <is>
          <t>NG-CBL-002</t>
        </is>
      </c>
      <c r="D180" t="inlineStr">
        <is>
          <t>Anker USB-C Hub 7-in-1 - Multi-Port Adapter for Laptops</t>
        </is>
      </c>
      <c r="E180" t="inlineStr">
        <is>
          <t>Cables &amp;amp; Adapters</t>
        </is>
      </c>
      <c r="F180" s="13" t="n">
        <v>349</v>
      </c>
      <c r="G180" s="4" t="inlineStr">
        <is>
          <t>🔗</t>
        </is>
      </c>
      <c r="H180" s="4" t="inlineStr">
        <is>
          <t>🔗</t>
        </is>
      </c>
      <c r="I180" s="4" t="inlineStr">
        <is>
          <t>🔗</t>
        </is>
      </c>
      <c r="J180" s="4" t="inlineStr">
        <is>
          <t>🔗</t>
        </is>
      </c>
      <c r="K180" s="4" t="inlineStr">
        <is>
          <t>🔗</t>
        </is>
      </c>
      <c r="L180" s="5" t="n">
        <v>26.86</v>
      </c>
      <c r="M180" s="5" t="n">
        <v>37.79</v>
      </c>
      <c r="N180" s="6" t="n">
        <v>218.14</v>
      </c>
      <c r="O180" s="6" t="n">
        <v>350.25</v>
      </c>
      <c r="P180" s="6" t="n">
        <v>317.51</v>
      </c>
      <c r="Q180" s="7" t="n"/>
      <c r="R180" s="7" t="n"/>
      <c r="S180" s="8" t="n"/>
      <c r="T180" s="8" t="n"/>
      <c r="U180" s="8" t="n"/>
      <c r="V180" s="9">
        <f>MIN(IF(Q180&lt;&gt;"",Q180*3.75,L180*3.75),IF(R180&lt;&gt;"",R180*3.75,M180*3.75),IF(S180&lt;&gt;"",S180,N180),IF(T180&lt;&gt;"",T180,O180),IF(U180&lt;&gt;"",U180,P180))</f>
        <v/>
      </c>
      <c r="W180" s="10">
        <f>INDEX({"AliExpress","eBay","Amazon.sa","Noon","Jarir"},MATCH(V180,{IF(Q180&lt;&gt;"",Q180*3.75,L180*3.75),IF(R180&lt;&gt;"",R180*3.75,M180*3.75),IF(S180&lt;&gt;"",S180,N180),IF(T180&lt;&gt;"",T180,O180),IF(U180&lt;&gt;"",U180,P180)},0))</f>
        <v/>
      </c>
      <c r="X180" s="9">
        <f>F180-V180</f>
        <v/>
      </c>
      <c r="Y180" s="11">
        <f>IF(V180=0,0,(F180-V180)/V180)</f>
        <v/>
      </c>
      <c r="Z180" s="9">
        <f>CEILING(MAX(V180*1.4,IF(IF(T180&lt;&gt;"",T180,O180)=0,V180*1.5,IF(T180&lt;&gt;"",T180,O180)*0.95)),10)-1</f>
        <v/>
      </c>
      <c r="AA180" s="12">
        <f>IF(IF(T180&lt;&gt;"",T180,O180)=0,"",TEXT((Z180-IF(T180&lt;&gt;"",T180,O180))/IF(T180&lt;&gt;"",T180,O180),"+0.0%;-0.0%"))</f>
        <v/>
      </c>
      <c r="AB180" s="10">
        <f>IF(Y180&gt;0.5,"✅ PROFITABLE — keep",IF(Y180&gt;0.2,"🟡 OK — optimize",IF(Y180&gt;0,"⚠️ THIN — raise or drop","❌ LOSING MONEY")))</f>
        <v/>
      </c>
    </row>
    <row r="181">
      <c r="A181" t="inlineStr">
        <is>
          <t>—</t>
        </is>
      </c>
      <c r="B181" t="n">
        <v>180</v>
      </c>
      <c r="C181" t="inlineStr">
        <is>
          <t>NG-GAM-001</t>
        </is>
      </c>
      <c r="D181" t="inlineStr">
        <is>
          <t>8BitDo Ultimate C Bluetooth Controller - Multi-Platform Gaming</t>
        </is>
      </c>
      <c r="E181" t="inlineStr">
        <is>
          <t>Gaming</t>
        </is>
      </c>
      <c r="F181" s="13" t="n">
        <v>309</v>
      </c>
      <c r="G181" s="4" t="inlineStr">
        <is>
          <t>🔗</t>
        </is>
      </c>
      <c r="H181" s="4" t="inlineStr">
        <is>
          <t>🔗</t>
        </is>
      </c>
      <c r="I181" s="4" t="inlineStr">
        <is>
          <t>🔗</t>
        </is>
      </c>
      <c r="J181" s="4" t="inlineStr">
        <is>
          <t>🔗</t>
        </is>
      </c>
      <c r="K181" s="4" t="inlineStr">
        <is>
          <t>🔗</t>
        </is>
      </c>
      <c r="L181" s="5" t="n">
        <v>62.43</v>
      </c>
      <c r="M181" s="5" t="n">
        <v>71.89</v>
      </c>
      <c r="N181" s="6" t="n">
        <v>275.11</v>
      </c>
      <c r="O181" s="6" t="n">
        <v>312.56</v>
      </c>
      <c r="P181" s="6" t="n">
        <v>323.74</v>
      </c>
      <c r="Q181" s="7" t="n"/>
      <c r="R181" s="7" t="n"/>
      <c r="S181" s="8" t="n"/>
      <c r="T181" s="8" t="n"/>
      <c r="U181" s="8" t="n"/>
      <c r="V181" s="9">
        <f>MIN(IF(Q181&lt;&gt;"",Q181*3.75,L181*3.75),IF(R181&lt;&gt;"",R181*3.75,M181*3.75),IF(S181&lt;&gt;"",S181,N181),IF(T181&lt;&gt;"",T181,O181),IF(U181&lt;&gt;"",U181,P181))</f>
        <v/>
      </c>
      <c r="W181" s="10">
        <f>INDEX({"AliExpress","eBay","Amazon.sa","Noon","Jarir"},MATCH(V181,{IF(Q181&lt;&gt;"",Q181*3.75,L181*3.75),IF(R181&lt;&gt;"",R181*3.75,M181*3.75),IF(S181&lt;&gt;"",S181,N181),IF(T181&lt;&gt;"",T181,O181),IF(U181&lt;&gt;"",U181,P181)},0))</f>
        <v/>
      </c>
      <c r="X181" s="9">
        <f>F181-V181</f>
        <v/>
      </c>
      <c r="Y181" s="11">
        <f>IF(V181=0,0,(F181-V181)/V181)</f>
        <v/>
      </c>
      <c r="Z181" s="9">
        <f>CEILING(MAX(V181*1.4,IF(IF(T181&lt;&gt;"",T181,O181)=0,V181*1.5,IF(T181&lt;&gt;"",T181,O181)*0.95)),10)-1</f>
        <v/>
      </c>
      <c r="AA181" s="12">
        <f>IF(IF(T181&lt;&gt;"",T181,O181)=0,"",TEXT((Z181-IF(T181&lt;&gt;"",T181,O181))/IF(T181&lt;&gt;"",T181,O181),"+0.0%;-0.0%"))</f>
        <v/>
      </c>
      <c r="AB181" s="10">
        <f>IF(Y181&gt;0.5,"✅ PROFITABLE — keep",IF(Y181&gt;0.2,"🟡 OK — optimize",IF(Y181&gt;0,"⚠️ THIN — raise or drop","❌ LOSING MONEY")))</f>
        <v/>
      </c>
    </row>
    <row r="182">
      <c r="A182" t="inlineStr">
        <is>
          <t>—</t>
        </is>
      </c>
      <c r="B182" t="n">
        <v>181</v>
      </c>
      <c r="C182" t="inlineStr">
        <is>
          <t>NT-POE-TPL-001</t>
        </is>
      </c>
      <c r="D182" t="inlineStr">
        <is>
          <t>TP-Link TL-SG1005P 5-Port PoE</t>
        </is>
      </c>
      <c r="E182" t="inlineStr">
        <is>
          <t>Networking</t>
        </is>
      </c>
      <c r="F182" s="13" t="n">
        <v>299</v>
      </c>
      <c r="G182" s="4" t="inlineStr">
        <is>
          <t>🔗</t>
        </is>
      </c>
      <c r="H182" s="4" t="inlineStr">
        <is>
          <t>🔗</t>
        </is>
      </c>
      <c r="I182" s="4" t="inlineStr">
        <is>
          <t>🔗</t>
        </is>
      </c>
      <c r="J182" s="4" t="inlineStr">
        <is>
          <t>🔗</t>
        </is>
      </c>
      <c r="K182" s="4" t="inlineStr">
        <is>
          <t>🔗</t>
        </is>
      </c>
      <c r="L182" s="5" t="n">
        <v>62.09</v>
      </c>
      <c r="M182" s="5" t="n">
        <v>63.8</v>
      </c>
      <c r="N182" s="6" t="n">
        <v>303.86</v>
      </c>
      <c r="O182" s="6" t="n">
        <v>310.51</v>
      </c>
      <c r="P182" s="6" t="n">
        <v>300.46</v>
      </c>
      <c r="Q182" s="7" t="n"/>
      <c r="R182" s="7" t="n"/>
      <c r="S182" s="8" t="n"/>
      <c r="T182" s="8" t="n"/>
      <c r="U182" s="8" t="n"/>
      <c r="V182" s="9">
        <f>MIN(IF(Q182&lt;&gt;"",Q182*3.75,L182*3.75),IF(R182&lt;&gt;"",R182*3.75,M182*3.75),IF(S182&lt;&gt;"",S182,N182),IF(T182&lt;&gt;"",T182,O182),IF(U182&lt;&gt;"",U182,P182))</f>
        <v/>
      </c>
      <c r="W182" s="10">
        <f>INDEX({"AliExpress","eBay","Amazon.sa","Noon","Jarir"},MATCH(V182,{IF(Q182&lt;&gt;"",Q182*3.75,L182*3.75),IF(R182&lt;&gt;"",R182*3.75,M182*3.75),IF(S182&lt;&gt;"",S182,N182),IF(T182&lt;&gt;"",T182,O182),IF(U182&lt;&gt;"",U182,P182)},0))</f>
        <v/>
      </c>
      <c r="X182" s="9">
        <f>F182-V182</f>
        <v/>
      </c>
      <c r="Y182" s="11">
        <f>IF(V182=0,0,(F182-V182)/V182)</f>
        <v/>
      </c>
      <c r="Z182" s="9">
        <f>CEILING(MAX(V182*1.4,IF(IF(T182&lt;&gt;"",T182,O182)=0,V182*1.5,IF(T182&lt;&gt;"",T182,O182)*0.95)),10)-1</f>
        <v/>
      </c>
      <c r="AA182" s="12">
        <f>IF(IF(T182&lt;&gt;"",T182,O182)=0,"",TEXT((Z182-IF(T182&lt;&gt;"",T182,O182))/IF(T182&lt;&gt;"",T182,O182),"+0.0%;-0.0%"))</f>
        <v/>
      </c>
      <c r="AB182" s="10">
        <f>IF(Y182&gt;0.5,"✅ PROFITABLE — keep",IF(Y182&gt;0.2,"🟡 OK — optimize",IF(Y182&gt;0,"⚠️ THIN — raise or drop","❌ LOSING MONEY")))</f>
        <v/>
      </c>
    </row>
    <row r="183">
      <c r="A183" t="inlineStr">
        <is>
          <t>—</t>
        </is>
      </c>
      <c r="B183" t="n">
        <v>182</v>
      </c>
      <c r="C183" t="inlineStr">
        <is>
          <t>NG-GAM-011</t>
        </is>
      </c>
      <c r="D183" t="inlineStr">
        <is>
          <t>SteelSeries QcK Heavy XXL - Extra-Large Gaming Mouse Pad</t>
        </is>
      </c>
      <c r="E183" t="inlineStr">
        <is>
          <t>Gaming</t>
        </is>
      </c>
      <c r="F183" s="13" t="n">
        <v>289</v>
      </c>
      <c r="G183" s="4" t="inlineStr">
        <is>
          <t>🔗</t>
        </is>
      </c>
      <c r="H183" s="4" t="inlineStr">
        <is>
          <t>🔗</t>
        </is>
      </c>
      <c r="I183" s="4" t="inlineStr">
        <is>
          <t>🔗</t>
        </is>
      </c>
      <c r="J183" s="4" t="inlineStr">
        <is>
          <t>🔗</t>
        </is>
      </c>
      <c r="K183" s="4" t="inlineStr">
        <is>
          <t>🔗</t>
        </is>
      </c>
      <c r="L183" s="5" t="n">
        <v>60.49</v>
      </c>
      <c r="M183" s="5" t="n">
        <v>69.58</v>
      </c>
      <c r="N183" s="6" t="n">
        <v>282.24</v>
      </c>
      <c r="O183" s="6" t="n">
        <v>268.15</v>
      </c>
      <c r="P183" s="6" t="n">
        <v>304.34</v>
      </c>
      <c r="Q183" s="7" t="n"/>
      <c r="R183" s="7" t="n"/>
      <c r="S183" s="8" t="n"/>
      <c r="T183" s="8" t="n"/>
      <c r="U183" s="8" t="n"/>
      <c r="V183" s="9">
        <f>MIN(IF(Q183&lt;&gt;"",Q183*3.75,L183*3.75),IF(R183&lt;&gt;"",R183*3.75,M183*3.75),IF(S183&lt;&gt;"",S183,N183),IF(T183&lt;&gt;"",T183,O183),IF(U183&lt;&gt;"",U183,P183))</f>
        <v/>
      </c>
      <c r="W183" s="10">
        <f>INDEX({"AliExpress","eBay","Amazon.sa","Noon","Jarir"},MATCH(V183,{IF(Q183&lt;&gt;"",Q183*3.75,L183*3.75),IF(R183&lt;&gt;"",R183*3.75,M183*3.75),IF(S183&lt;&gt;"",S183,N183),IF(T183&lt;&gt;"",T183,O183),IF(U183&lt;&gt;"",U183,P183)},0))</f>
        <v/>
      </c>
      <c r="X183" s="9">
        <f>F183-V183</f>
        <v/>
      </c>
      <c r="Y183" s="11">
        <f>IF(V183=0,0,(F183-V183)/V183)</f>
        <v/>
      </c>
      <c r="Z183" s="9">
        <f>CEILING(MAX(V183*1.4,IF(IF(T183&lt;&gt;"",T183,O183)=0,V183*1.5,IF(T183&lt;&gt;"",T183,O183)*0.95)),10)-1</f>
        <v/>
      </c>
      <c r="AA183" s="12">
        <f>IF(IF(T183&lt;&gt;"",T183,O183)=0,"",TEXT((Z183-IF(T183&lt;&gt;"",T183,O183))/IF(T183&lt;&gt;"",T183,O183),"+0.0%;-0.0%"))</f>
        <v/>
      </c>
      <c r="AB183" s="10">
        <f>IF(Y183&gt;0.5,"✅ PROFITABLE — keep",IF(Y183&gt;0.2,"🟡 OK — optimize",IF(Y183&gt;0,"⚠️ THIN — raise or drop","❌ LOSING MONEY")))</f>
        <v/>
      </c>
    </row>
    <row r="184">
      <c r="A184" t="inlineStr">
        <is>
          <t>—</t>
        </is>
      </c>
      <c r="B184" t="n">
        <v>183</v>
      </c>
      <c r="C184" t="inlineStr">
        <is>
          <t>SH-LGT-LIFX-001</t>
        </is>
      </c>
      <c r="D184" t="inlineStr">
        <is>
          <t>LIFX Color A19 1100lm Bulb</t>
        </is>
      </c>
      <c r="E184" t="inlineStr">
        <is>
          <t>Smart Home &amp;amp; IoT</t>
        </is>
      </c>
      <c r="F184" s="13" t="n">
        <v>279</v>
      </c>
      <c r="G184" s="4" t="inlineStr">
        <is>
          <t>🔗</t>
        </is>
      </c>
      <c r="H184" s="4" t="inlineStr">
        <is>
          <t>🔗</t>
        </is>
      </c>
      <c r="I184" s="4" t="inlineStr">
        <is>
          <t>🔗</t>
        </is>
      </c>
      <c r="J184" s="4" t="inlineStr">
        <is>
          <t>🔗</t>
        </is>
      </c>
      <c r="K184" s="4" t="inlineStr">
        <is>
          <t>🔗</t>
        </is>
      </c>
      <c r="L184" s="5" t="n">
        <v>33.43</v>
      </c>
      <c r="M184" s="5" t="n">
        <v>56.39</v>
      </c>
      <c r="N184" s="6" t="n">
        <v>215.26</v>
      </c>
      <c r="O184" s="6" t="n">
        <v>278.92</v>
      </c>
      <c r="P184" s="6" t="n">
        <v>291.25</v>
      </c>
      <c r="Q184" s="7" t="n"/>
      <c r="R184" s="7" t="n"/>
      <c r="S184" s="8" t="n"/>
      <c r="T184" s="8" t="n"/>
      <c r="U184" s="8" t="n"/>
      <c r="V184" s="9">
        <f>MIN(IF(Q184&lt;&gt;"",Q184*3.75,L184*3.75),IF(R184&lt;&gt;"",R184*3.75,M184*3.75),IF(S184&lt;&gt;"",S184,N184),IF(T184&lt;&gt;"",T184,O184),IF(U184&lt;&gt;"",U184,P184))</f>
        <v/>
      </c>
      <c r="W184" s="10">
        <f>INDEX({"AliExpress","eBay","Amazon.sa","Noon","Jarir"},MATCH(V184,{IF(Q184&lt;&gt;"",Q184*3.75,L184*3.75),IF(R184&lt;&gt;"",R184*3.75,M184*3.75),IF(S184&lt;&gt;"",S184,N184),IF(T184&lt;&gt;"",T184,O184),IF(U184&lt;&gt;"",U184,P184)},0))</f>
        <v/>
      </c>
      <c r="X184" s="9">
        <f>F184-V184</f>
        <v/>
      </c>
      <c r="Y184" s="11">
        <f>IF(V184=0,0,(F184-V184)/V184)</f>
        <v/>
      </c>
      <c r="Z184" s="9">
        <f>CEILING(MAX(V184*1.4,IF(IF(T184&lt;&gt;"",T184,O184)=0,V184*1.5,IF(T184&lt;&gt;"",T184,O184)*0.95)),10)-1</f>
        <v/>
      </c>
      <c r="AA184" s="12">
        <f>IF(IF(T184&lt;&gt;"",T184,O184)=0,"",TEXT((Z184-IF(T184&lt;&gt;"",T184,O184))/IF(T184&lt;&gt;"",T184,O184),"+0.0%;-0.0%"))</f>
        <v/>
      </c>
      <c r="AB184" s="10">
        <f>IF(Y184&gt;0.5,"✅ PROFITABLE — keep",IF(Y184&gt;0.2,"🟡 OK — optimize",IF(Y184&gt;0,"⚠️ THIN — raise or drop","❌ LOSING MONEY")))</f>
        <v/>
      </c>
    </row>
    <row r="185">
      <c r="A185" t="inlineStr">
        <is>
          <t>—</t>
        </is>
      </c>
      <c r="B185" t="n">
        <v>184</v>
      </c>
      <c r="C185" t="inlineStr">
        <is>
          <t>NG-SH-011</t>
        </is>
      </c>
      <c r="D185" t="inlineStr">
        <is>
          <t>SwitchBot Bot (S1) - Robotic Finger That Makes Any Button Smart</t>
        </is>
      </c>
      <c r="E185" t="inlineStr">
        <is>
          <t>Smart Home &amp;amp; IoT</t>
        </is>
      </c>
      <c r="F185" s="13" t="n">
        <v>279</v>
      </c>
      <c r="G185" s="4" t="inlineStr">
        <is>
          <t>🔗</t>
        </is>
      </c>
      <c r="H185" s="4" t="inlineStr">
        <is>
          <t>🔗</t>
        </is>
      </c>
      <c r="I185" s="4" t="inlineStr">
        <is>
          <t>🔗</t>
        </is>
      </c>
      <c r="J185" s="4" t="inlineStr">
        <is>
          <t>🔗</t>
        </is>
      </c>
      <c r="K185" s="4" t="inlineStr">
        <is>
          <t>🔗</t>
        </is>
      </c>
      <c r="L185" s="5" t="n">
        <v>31.28</v>
      </c>
      <c r="M185" s="5" t="n">
        <v>51.81</v>
      </c>
      <c r="N185" s="6" t="n">
        <v>238.61</v>
      </c>
      <c r="O185" s="6" t="n">
        <v>270.47</v>
      </c>
      <c r="P185" s="6" t="n">
        <v>299.83</v>
      </c>
      <c r="Q185" s="7" t="n"/>
      <c r="R185" s="7" t="n"/>
      <c r="S185" s="8" t="n"/>
      <c r="T185" s="8" t="n"/>
      <c r="U185" s="8" t="n"/>
      <c r="V185" s="9">
        <f>MIN(IF(Q185&lt;&gt;"",Q185*3.75,L185*3.75),IF(R185&lt;&gt;"",R185*3.75,M185*3.75),IF(S185&lt;&gt;"",S185,N185),IF(T185&lt;&gt;"",T185,O185),IF(U185&lt;&gt;"",U185,P185))</f>
        <v/>
      </c>
      <c r="W185" s="10">
        <f>INDEX({"AliExpress","eBay","Amazon.sa","Noon","Jarir"},MATCH(V185,{IF(Q185&lt;&gt;"",Q185*3.75,L185*3.75),IF(R185&lt;&gt;"",R185*3.75,M185*3.75),IF(S185&lt;&gt;"",S185,N185),IF(T185&lt;&gt;"",T185,O185),IF(U185&lt;&gt;"",U185,P185)},0))</f>
        <v/>
      </c>
      <c r="X185" s="9">
        <f>F185-V185</f>
        <v/>
      </c>
      <c r="Y185" s="11">
        <f>IF(V185=0,0,(F185-V185)/V185)</f>
        <v/>
      </c>
      <c r="Z185" s="9">
        <f>CEILING(MAX(V185*1.4,IF(IF(T185&lt;&gt;"",T185,O185)=0,V185*1.5,IF(T185&lt;&gt;"",T185,O185)*0.95)),10)-1</f>
        <v/>
      </c>
      <c r="AA185" s="12">
        <f>IF(IF(T185&lt;&gt;"",T185,O185)=0,"",TEXT((Z185-IF(T185&lt;&gt;"",T185,O185))/IF(T185&lt;&gt;"",T185,O185),"+0.0%;-0.0%"))</f>
        <v/>
      </c>
      <c r="AB185" s="10">
        <f>IF(Y185&gt;0.5,"✅ PROFITABLE — keep",IF(Y185&gt;0.2,"🟡 OK — optimize",IF(Y185&gt;0,"⚠️ THIN — raise or drop","❌ LOSING MONEY")))</f>
        <v/>
      </c>
    </row>
    <row r="186">
      <c r="A186" t="inlineStr">
        <is>
          <t>—</t>
        </is>
      </c>
      <c r="B186" t="n">
        <v>185</v>
      </c>
      <c r="C186" t="inlineStr">
        <is>
          <t>NG-SH-009</t>
        </is>
      </c>
      <c r="D186" t="inlineStr">
        <is>
          <t>Aqara Motion Sensor P1 (MS-S02) - Wide-Angle 170° Smart PIR Sensor</t>
        </is>
      </c>
      <c r="E186" t="inlineStr">
        <is>
          <t>Smart Home &amp;amp; IoT</t>
        </is>
      </c>
      <c r="F186" s="13" t="n">
        <v>279</v>
      </c>
      <c r="G186" s="4" t="inlineStr">
        <is>
          <t>🔗</t>
        </is>
      </c>
      <c r="H186" s="4" t="inlineStr">
        <is>
          <t>🔗</t>
        </is>
      </c>
      <c r="I186" s="4" t="inlineStr">
        <is>
          <t>🔗</t>
        </is>
      </c>
      <c r="J186" s="4" t="inlineStr">
        <is>
          <t>🔗</t>
        </is>
      </c>
      <c r="K186" s="4" t="inlineStr">
        <is>
          <t>🔗</t>
        </is>
      </c>
      <c r="L186" s="5" t="n">
        <v>35.85</v>
      </c>
      <c r="M186" s="5" t="n">
        <v>55.27</v>
      </c>
      <c r="N186" s="6" t="n">
        <v>239.12</v>
      </c>
      <c r="O186" s="6" t="n">
        <v>286.21</v>
      </c>
      <c r="P186" s="6" t="n">
        <v>294.21</v>
      </c>
      <c r="Q186" s="7" t="n"/>
      <c r="R186" s="7" t="n"/>
      <c r="S186" s="8" t="n"/>
      <c r="T186" s="8" t="n"/>
      <c r="U186" s="8" t="n"/>
      <c r="V186" s="9">
        <f>MIN(IF(Q186&lt;&gt;"",Q186*3.75,L186*3.75),IF(R186&lt;&gt;"",R186*3.75,M186*3.75),IF(S186&lt;&gt;"",S186,N186),IF(T186&lt;&gt;"",T186,O186),IF(U186&lt;&gt;"",U186,P186))</f>
        <v/>
      </c>
      <c r="W186" s="10">
        <f>INDEX({"AliExpress","eBay","Amazon.sa","Noon","Jarir"},MATCH(V186,{IF(Q186&lt;&gt;"",Q186*3.75,L186*3.75),IF(R186&lt;&gt;"",R186*3.75,M186*3.75),IF(S186&lt;&gt;"",S186,N186),IF(T186&lt;&gt;"",T186,O186),IF(U186&lt;&gt;"",U186,P186)},0))</f>
        <v/>
      </c>
      <c r="X186" s="9">
        <f>F186-V186</f>
        <v/>
      </c>
      <c r="Y186" s="11">
        <f>IF(V186=0,0,(F186-V186)/V186)</f>
        <v/>
      </c>
      <c r="Z186" s="9">
        <f>CEILING(MAX(V186*1.4,IF(IF(T186&lt;&gt;"",T186,O186)=0,V186*1.5,IF(T186&lt;&gt;"",T186,O186)*0.95)),10)-1</f>
        <v/>
      </c>
      <c r="AA186" s="12">
        <f>IF(IF(T186&lt;&gt;"",T186,O186)=0,"",TEXT((Z186-IF(T186&lt;&gt;"",T186,O186))/IF(T186&lt;&gt;"",T186,O186),"+0.0%;-0.0%"))</f>
        <v/>
      </c>
      <c r="AB186" s="10">
        <f>IF(Y186&gt;0.5,"✅ PROFITABLE — keep",IF(Y186&gt;0.2,"🟡 OK — optimize",IF(Y186&gt;0,"⚠️ THIN — raise or drop","❌ LOSING MONEY")))</f>
        <v/>
      </c>
    </row>
    <row r="187">
      <c r="A187" t="inlineStr">
        <is>
          <t>—</t>
        </is>
      </c>
      <c r="B187" t="n">
        <v>186</v>
      </c>
      <c r="C187" t="inlineStr">
        <is>
          <t>NG-SH-005</t>
        </is>
      </c>
      <c r="D187" t="inlineStr">
        <is>
          <t>Sonoff TX Ultimate (T5) Smart Wall Switch - Interactive Elegance with RGB</t>
        </is>
      </c>
      <c r="E187" t="inlineStr">
        <is>
          <t>Smart Home &amp;amp; IoT</t>
        </is>
      </c>
      <c r="F187" s="13" t="n">
        <v>269</v>
      </c>
      <c r="G187" s="4" t="inlineStr">
        <is>
          <t>🔗</t>
        </is>
      </c>
      <c r="H187" s="4" t="inlineStr">
        <is>
          <t>🔗</t>
        </is>
      </c>
      <c r="I187" s="4" t="inlineStr">
        <is>
          <t>🔗</t>
        </is>
      </c>
      <c r="J187" s="4" t="inlineStr">
        <is>
          <t>🔗</t>
        </is>
      </c>
      <c r="K187" s="4" t="inlineStr">
        <is>
          <t>🔗</t>
        </is>
      </c>
      <c r="L187" s="5" t="n">
        <v>29.54</v>
      </c>
      <c r="M187" s="5" t="n">
        <v>46.73</v>
      </c>
      <c r="N187" s="6" t="n">
        <v>227.28</v>
      </c>
      <c r="O187" s="6" t="n">
        <v>264.45</v>
      </c>
      <c r="P187" s="6" t="n">
        <v>243.27</v>
      </c>
      <c r="Q187" s="7" t="n"/>
      <c r="R187" s="7" t="n"/>
      <c r="S187" s="8" t="n"/>
      <c r="T187" s="8" t="n"/>
      <c r="U187" s="8" t="n"/>
      <c r="V187" s="9">
        <f>MIN(IF(Q187&lt;&gt;"",Q187*3.75,L187*3.75),IF(R187&lt;&gt;"",R187*3.75,M187*3.75),IF(S187&lt;&gt;"",S187,N187),IF(T187&lt;&gt;"",T187,O187),IF(U187&lt;&gt;"",U187,P187))</f>
        <v/>
      </c>
      <c r="W187" s="10">
        <f>INDEX({"AliExpress","eBay","Amazon.sa","Noon","Jarir"},MATCH(V187,{IF(Q187&lt;&gt;"",Q187*3.75,L187*3.75),IF(R187&lt;&gt;"",R187*3.75,M187*3.75),IF(S187&lt;&gt;"",S187,N187),IF(T187&lt;&gt;"",T187,O187),IF(U187&lt;&gt;"",U187,P187)},0))</f>
        <v/>
      </c>
      <c r="X187" s="9">
        <f>F187-V187</f>
        <v/>
      </c>
      <c r="Y187" s="11">
        <f>IF(V187=0,0,(F187-V187)/V187)</f>
        <v/>
      </c>
      <c r="Z187" s="9">
        <f>CEILING(MAX(V187*1.4,IF(IF(T187&lt;&gt;"",T187,O187)=0,V187*1.5,IF(T187&lt;&gt;"",T187,O187)*0.95)),10)-1</f>
        <v/>
      </c>
      <c r="AA187" s="12">
        <f>IF(IF(T187&lt;&gt;"",T187,O187)=0,"",TEXT((Z187-IF(T187&lt;&gt;"",T187,O187))/IF(T187&lt;&gt;"",T187,O187),"+0.0%;-0.0%"))</f>
        <v/>
      </c>
      <c r="AB187" s="10">
        <f>IF(Y187&gt;0.5,"✅ PROFITABLE — keep",IF(Y187&gt;0.2,"🟡 OK — optimize",IF(Y187&gt;0,"⚠️ THIN — raise or drop","❌ LOSING MONEY")))</f>
        <v/>
      </c>
    </row>
    <row r="188">
      <c r="A188" t="inlineStr">
        <is>
          <t>—</t>
        </is>
      </c>
      <c r="B188" t="n">
        <v>187</v>
      </c>
      <c r="C188" t="inlineStr">
        <is>
          <t>NT-SRV-NVP-001</t>
        </is>
      </c>
      <c r="D188" t="inlineStr">
        <is>
          <t>NavePoint 1U Cantilever Rack Shelf</t>
        </is>
      </c>
      <c r="E188" t="inlineStr">
        <is>
          <t>Homelab</t>
        </is>
      </c>
      <c r="F188" s="13" t="n">
        <v>249</v>
      </c>
      <c r="G188" s="4" t="inlineStr">
        <is>
          <t>🔗</t>
        </is>
      </c>
      <c r="H188" s="4" t="inlineStr">
        <is>
          <t>🔗</t>
        </is>
      </c>
      <c r="I188" s="4" t="inlineStr">
        <is>
          <t>🔗</t>
        </is>
      </c>
      <c r="J188" s="4" t="inlineStr">
        <is>
          <t>🔗</t>
        </is>
      </c>
      <c r="K188" s="4" t="inlineStr">
        <is>
          <t>🔗</t>
        </is>
      </c>
      <c r="L188" s="5" t="n">
        <v>39.85</v>
      </c>
      <c r="M188" s="5" t="n">
        <v>51.6</v>
      </c>
      <c r="N188" s="6" t="n">
        <v>201.65</v>
      </c>
      <c r="O188" s="6" t="n">
        <v>226.36</v>
      </c>
      <c r="P188" s="6" t="n">
        <v>259.97</v>
      </c>
      <c r="Q188" s="7" t="n"/>
      <c r="R188" s="7" t="n"/>
      <c r="S188" s="8" t="n"/>
      <c r="T188" s="8" t="n"/>
      <c r="U188" s="8" t="n"/>
      <c r="V188" s="9">
        <f>MIN(IF(Q188&lt;&gt;"",Q188*3.75,L188*3.75),IF(R188&lt;&gt;"",R188*3.75,M188*3.75),IF(S188&lt;&gt;"",S188,N188),IF(T188&lt;&gt;"",T188,O188),IF(U188&lt;&gt;"",U188,P188))</f>
        <v/>
      </c>
      <c r="W188" s="10">
        <f>INDEX({"AliExpress","eBay","Amazon.sa","Noon","Jarir"},MATCH(V188,{IF(Q188&lt;&gt;"",Q188*3.75,L188*3.75),IF(R188&lt;&gt;"",R188*3.75,M188*3.75),IF(S188&lt;&gt;"",S188,N188),IF(T188&lt;&gt;"",T188,O188),IF(U188&lt;&gt;"",U188,P188)},0))</f>
        <v/>
      </c>
      <c r="X188" s="9">
        <f>F188-V188</f>
        <v/>
      </c>
      <c r="Y188" s="11">
        <f>IF(V188=0,0,(F188-V188)/V188)</f>
        <v/>
      </c>
      <c r="Z188" s="9">
        <f>CEILING(MAX(V188*1.4,IF(IF(T188&lt;&gt;"",T188,O188)=0,V188*1.5,IF(T188&lt;&gt;"",T188,O188)*0.95)),10)-1</f>
        <v/>
      </c>
      <c r="AA188" s="12">
        <f>IF(IF(T188&lt;&gt;"",T188,O188)=0,"",TEXT((Z188-IF(T188&lt;&gt;"",T188,O188))/IF(T188&lt;&gt;"",T188,O188),"+0.0%;-0.0%"))</f>
        <v/>
      </c>
      <c r="AB188" s="10">
        <f>IF(Y188&gt;0.5,"✅ PROFITABLE — keep",IF(Y188&gt;0.2,"🟡 OK — optimize",IF(Y188&gt;0,"⚠️ THIN — raise or drop","❌ LOSING MONEY")))</f>
        <v/>
      </c>
    </row>
    <row r="189">
      <c r="A189" t="inlineStr">
        <is>
          <t>—</t>
        </is>
      </c>
      <c r="B189" t="n">
        <v>188</v>
      </c>
      <c r="C189" t="inlineStr">
        <is>
          <t>NG-CBL-006</t>
        </is>
      </c>
      <c r="D189" t="inlineStr">
        <is>
          <t>Ugreen 5-in-1 USB-C Dock - HDMI 4K + Ethernet + USB 3.0</t>
        </is>
      </c>
      <c r="E189" t="inlineStr">
        <is>
          <t>Cables &amp;amp; Adapters</t>
        </is>
      </c>
      <c r="F189" s="13" t="n">
        <v>249</v>
      </c>
      <c r="G189" s="4" t="inlineStr">
        <is>
          <t>🔗</t>
        </is>
      </c>
      <c r="H189" s="4" t="inlineStr">
        <is>
          <t>🔗</t>
        </is>
      </c>
      <c r="I189" s="4" t="inlineStr">
        <is>
          <t>🔗</t>
        </is>
      </c>
      <c r="J189" s="4" t="inlineStr">
        <is>
          <t>🔗</t>
        </is>
      </c>
      <c r="K189" s="4" t="inlineStr">
        <is>
          <t>🔗</t>
        </is>
      </c>
      <c r="L189" s="5" t="n">
        <v>22.92</v>
      </c>
      <c r="M189" s="5" t="n">
        <v>28.73</v>
      </c>
      <c r="N189" s="6" t="n">
        <v>205.19</v>
      </c>
      <c r="O189" s="6" t="n">
        <v>248.79</v>
      </c>
      <c r="P189" s="6" t="n">
        <v>230.85</v>
      </c>
      <c r="Q189" s="7" t="n"/>
      <c r="R189" s="7" t="n"/>
      <c r="S189" s="8" t="n"/>
      <c r="T189" s="8" t="n"/>
      <c r="U189" s="8" t="n"/>
      <c r="V189" s="9">
        <f>MIN(IF(Q189&lt;&gt;"",Q189*3.75,L189*3.75),IF(R189&lt;&gt;"",R189*3.75,M189*3.75),IF(S189&lt;&gt;"",S189,N189),IF(T189&lt;&gt;"",T189,O189),IF(U189&lt;&gt;"",U189,P189))</f>
        <v/>
      </c>
      <c r="W189" s="10">
        <f>INDEX({"AliExpress","eBay","Amazon.sa","Noon","Jarir"},MATCH(V189,{IF(Q189&lt;&gt;"",Q189*3.75,L189*3.75),IF(R189&lt;&gt;"",R189*3.75,M189*3.75),IF(S189&lt;&gt;"",S189,N189),IF(T189&lt;&gt;"",T189,O189),IF(U189&lt;&gt;"",U189,P189)},0))</f>
        <v/>
      </c>
      <c r="X189" s="9">
        <f>F189-V189</f>
        <v/>
      </c>
      <c r="Y189" s="11">
        <f>IF(V189=0,0,(F189-V189)/V189)</f>
        <v/>
      </c>
      <c r="Z189" s="9">
        <f>CEILING(MAX(V189*1.4,IF(IF(T189&lt;&gt;"",T189,O189)=0,V189*1.5,IF(T189&lt;&gt;"",T189,O189)*0.95)),10)-1</f>
        <v/>
      </c>
      <c r="AA189" s="12">
        <f>IF(IF(T189&lt;&gt;"",T189,O189)=0,"",TEXT((Z189-IF(T189&lt;&gt;"",T189,O189))/IF(T189&lt;&gt;"",T189,O189),"+0.0%;-0.0%"))</f>
        <v/>
      </c>
      <c r="AB189" s="10">
        <f>IF(Y189&gt;0.5,"✅ PROFITABLE — keep",IF(Y189&gt;0.2,"🟡 OK — optimize",IF(Y189&gt;0,"⚠️ THIN — raise or drop","❌ LOSING MONEY")))</f>
        <v/>
      </c>
    </row>
    <row r="190">
      <c r="A190" t="inlineStr">
        <is>
          <t>—</t>
        </is>
      </c>
      <c r="B190" t="n">
        <v>189</v>
      </c>
      <c r="C190" t="inlineStr">
        <is>
          <t>NT-SRV-CBM-001</t>
        </is>
      </c>
      <c r="D190" t="inlineStr">
        <is>
          <t>Cable Matters 24-Port Cat6 Patch Panel (1U)</t>
        </is>
      </c>
      <c r="E190" t="inlineStr">
        <is>
          <t>Homelab</t>
        </is>
      </c>
      <c r="F190" s="13" t="n">
        <v>239</v>
      </c>
      <c r="G190" s="4" t="inlineStr">
        <is>
          <t>🔗</t>
        </is>
      </c>
      <c r="H190" s="4" t="inlineStr">
        <is>
          <t>🔗</t>
        </is>
      </c>
      <c r="I190" s="4" t="inlineStr">
        <is>
          <t>🔗</t>
        </is>
      </c>
      <c r="J190" s="4" t="inlineStr">
        <is>
          <t>🔗</t>
        </is>
      </c>
      <c r="K190" s="4" t="inlineStr">
        <is>
          <t>🔗</t>
        </is>
      </c>
      <c r="L190" s="5" t="n">
        <v>43.99</v>
      </c>
      <c r="M190" s="5" t="n">
        <v>46.65</v>
      </c>
      <c r="N190" s="6" t="n">
        <v>219.19</v>
      </c>
      <c r="O190" s="6" t="n">
        <v>249.57</v>
      </c>
      <c r="P190" s="6" t="n">
        <v>238.5</v>
      </c>
      <c r="Q190" s="7" t="n"/>
      <c r="R190" s="7" t="n"/>
      <c r="S190" s="8" t="n"/>
      <c r="T190" s="8" t="n"/>
      <c r="U190" s="8" t="n"/>
      <c r="V190" s="9">
        <f>MIN(IF(Q190&lt;&gt;"",Q190*3.75,L190*3.75),IF(R190&lt;&gt;"",R190*3.75,M190*3.75),IF(S190&lt;&gt;"",S190,N190),IF(T190&lt;&gt;"",T190,O190),IF(U190&lt;&gt;"",U190,P190))</f>
        <v/>
      </c>
      <c r="W190" s="10">
        <f>INDEX({"AliExpress","eBay","Amazon.sa","Noon","Jarir"},MATCH(V190,{IF(Q190&lt;&gt;"",Q190*3.75,L190*3.75),IF(R190&lt;&gt;"",R190*3.75,M190*3.75),IF(S190&lt;&gt;"",S190,N190),IF(T190&lt;&gt;"",T190,O190),IF(U190&lt;&gt;"",U190,P190)},0))</f>
        <v/>
      </c>
      <c r="X190" s="9">
        <f>F190-V190</f>
        <v/>
      </c>
      <c r="Y190" s="11">
        <f>IF(V190=0,0,(F190-V190)/V190)</f>
        <v/>
      </c>
      <c r="Z190" s="9">
        <f>CEILING(MAX(V190*1.4,IF(IF(T190&lt;&gt;"",T190,O190)=0,V190*1.5,IF(T190&lt;&gt;"",T190,O190)*0.95)),10)-1</f>
        <v/>
      </c>
      <c r="AA190" s="12">
        <f>IF(IF(T190&lt;&gt;"",T190,O190)=0,"",TEXT((Z190-IF(T190&lt;&gt;"",T190,O190))/IF(T190&lt;&gt;"",T190,O190),"+0.0%;-0.0%"))</f>
        <v/>
      </c>
      <c r="AB190" s="10">
        <f>IF(Y190&gt;0.5,"✅ PROFITABLE — keep",IF(Y190&gt;0.2,"🟡 OK — optimize",IF(Y190&gt;0,"⚠️ THIN — raise or drop","❌ LOSING MONEY")))</f>
        <v/>
      </c>
    </row>
    <row r="191">
      <c r="A191" t="inlineStr">
        <is>
          <t>—</t>
        </is>
      </c>
      <c r="B191" t="n">
        <v>190</v>
      </c>
      <c r="C191" t="inlineStr">
        <is>
          <t>SH-SWB-SWBT-002</t>
        </is>
      </c>
      <c r="D191" t="inlineStr">
        <is>
          <t>SwitchBot Bot (Smart Button Pusher)</t>
        </is>
      </c>
      <c r="E191" t="inlineStr">
        <is>
          <t>Smart Home &amp;amp; IoT</t>
        </is>
      </c>
      <c r="F191" s="13" t="n">
        <v>239</v>
      </c>
      <c r="G191" s="4" t="inlineStr">
        <is>
          <t>🔗</t>
        </is>
      </c>
      <c r="H191" s="4" t="inlineStr">
        <is>
          <t>🔗</t>
        </is>
      </c>
      <c r="I191" s="4" t="inlineStr">
        <is>
          <t>🔗</t>
        </is>
      </c>
      <c r="J191" s="4" t="inlineStr">
        <is>
          <t>🔗</t>
        </is>
      </c>
      <c r="K191" s="4" t="inlineStr">
        <is>
          <t>🔗</t>
        </is>
      </c>
      <c r="L191" s="5" t="n">
        <v>23.78</v>
      </c>
      <c r="M191" s="5" t="n">
        <v>49.17</v>
      </c>
      <c r="N191" s="6" t="n">
        <v>175.71</v>
      </c>
      <c r="O191" s="6" t="n">
        <v>248.95</v>
      </c>
      <c r="P191" s="6" t="n">
        <v>265.82</v>
      </c>
      <c r="Q191" s="7" t="n"/>
      <c r="R191" s="7" t="n"/>
      <c r="S191" s="8" t="n"/>
      <c r="T191" s="8" t="n"/>
      <c r="U191" s="8" t="n"/>
      <c r="V191" s="9">
        <f>MIN(IF(Q191&lt;&gt;"",Q191*3.75,L191*3.75),IF(R191&lt;&gt;"",R191*3.75,M191*3.75),IF(S191&lt;&gt;"",S191,N191),IF(T191&lt;&gt;"",T191,O191),IF(U191&lt;&gt;"",U191,P191))</f>
        <v/>
      </c>
      <c r="W191" s="10">
        <f>INDEX({"AliExpress","eBay","Amazon.sa","Noon","Jarir"},MATCH(V191,{IF(Q191&lt;&gt;"",Q191*3.75,L191*3.75),IF(R191&lt;&gt;"",R191*3.75,M191*3.75),IF(S191&lt;&gt;"",S191,N191),IF(T191&lt;&gt;"",T191,O191),IF(U191&lt;&gt;"",U191,P191)},0))</f>
        <v/>
      </c>
      <c r="X191" s="9">
        <f>F191-V191</f>
        <v/>
      </c>
      <c r="Y191" s="11">
        <f>IF(V191=0,0,(F191-V191)/V191)</f>
        <v/>
      </c>
      <c r="Z191" s="9">
        <f>CEILING(MAX(V191*1.4,IF(IF(T191&lt;&gt;"",T191,O191)=0,V191*1.5,IF(T191&lt;&gt;"",T191,O191)*0.95)),10)-1</f>
        <v/>
      </c>
      <c r="AA191" s="12">
        <f>IF(IF(T191&lt;&gt;"",T191,O191)=0,"",TEXT((Z191-IF(T191&lt;&gt;"",T191,O191))/IF(T191&lt;&gt;"",T191,O191),"+0.0%;-0.0%"))</f>
        <v/>
      </c>
      <c r="AB191" s="10">
        <f>IF(Y191&gt;0.5,"✅ PROFITABLE — keep",IF(Y191&gt;0.2,"🟡 OK — optimize",IF(Y191&gt;0,"⚠️ THIN — raise or drop","❌ LOSING MONEY")))</f>
        <v/>
      </c>
    </row>
    <row r="192">
      <c r="A192" t="inlineStr">
        <is>
          <t>—</t>
        </is>
      </c>
      <c r="B192" t="n">
        <v>191</v>
      </c>
      <c r="C192" t="inlineStr">
        <is>
          <t>NG-CBL-007</t>
        </is>
      </c>
      <c r="D192" t="inlineStr">
        <is>
          <t>DAC SFP+ 10G Direct Attach Cable (3m) - Direct Switch-to-Switch Connection</t>
        </is>
      </c>
      <c r="E192" t="inlineStr">
        <is>
          <t>Cables &amp;amp; Adapters</t>
        </is>
      </c>
      <c r="F192" s="13" t="n">
        <v>229</v>
      </c>
      <c r="G192" s="4" t="inlineStr">
        <is>
          <t>🔗</t>
        </is>
      </c>
      <c r="H192" s="4" t="inlineStr">
        <is>
          <t>🔗</t>
        </is>
      </c>
      <c r="I192" s="4" t="inlineStr">
        <is>
          <t>🔗</t>
        </is>
      </c>
      <c r="J192" s="4" t="inlineStr">
        <is>
          <t>🔗</t>
        </is>
      </c>
      <c r="K192" s="4" t="inlineStr">
        <is>
          <t>🔗</t>
        </is>
      </c>
      <c r="L192" s="5" t="n">
        <v>18.51</v>
      </c>
      <c r="M192" s="5" t="n">
        <v>33.28</v>
      </c>
      <c r="N192" s="6" t="n">
        <v>192.4</v>
      </c>
      <c r="O192" s="6" t="n">
        <v>227.03</v>
      </c>
      <c r="P192" s="6" t="n">
        <v>219.78</v>
      </c>
      <c r="Q192" s="7" t="n"/>
      <c r="R192" s="7" t="n"/>
      <c r="S192" s="8" t="n"/>
      <c r="T192" s="8" t="n"/>
      <c r="U192" s="8" t="n"/>
      <c r="V192" s="9">
        <f>MIN(IF(Q192&lt;&gt;"",Q192*3.75,L192*3.75),IF(R192&lt;&gt;"",R192*3.75,M192*3.75),IF(S192&lt;&gt;"",S192,N192),IF(T192&lt;&gt;"",T192,O192),IF(U192&lt;&gt;"",U192,P192))</f>
        <v/>
      </c>
      <c r="W192" s="10">
        <f>INDEX({"AliExpress","eBay","Amazon.sa","Noon","Jarir"},MATCH(V192,{IF(Q192&lt;&gt;"",Q192*3.75,L192*3.75),IF(R192&lt;&gt;"",R192*3.75,M192*3.75),IF(S192&lt;&gt;"",S192,N192),IF(T192&lt;&gt;"",T192,O192),IF(U192&lt;&gt;"",U192,P192)},0))</f>
        <v/>
      </c>
      <c r="X192" s="9">
        <f>F192-V192</f>
        <v/>
      </c>
      <c r="Y192" s="11">
        <f>IF(V192=0,0,(F192-V192)/V192)</f>
        <v/>
      </c>
      <c r="Z192" s="9">
        <f>CEILING(MAX(V192*1.4,IF(IF(T192&lt;&gt;"",T192,O192)=0,V192*1.5,IF(T192&lt;&gt;"",T192,O192)*0.95)),10)-1</f>
        <v/>
      </c>
      <c r="AA192" s="12">
        <f>IF(IF(T192&lt;&gt;"",T192,O192)=0,"",TEXT((Z192-IF(T192&lt;&gt;"",T192,O192))/IF(T192&lt;&gt;"",T192,O192),"+0.0%;-0.0%"))</f>
        <v/>
      </c>
      <c r="AB192" s="10">
        <f>IF(Y192&gt;0.5,"✅ PROFITABLE — keep",IF(Y192&gt;0.2,"🟡 OK — optimize",IF(Y192&gt;0,"⚠️ THIN — raise or drop","❌ LOSING MONEY")))</f>
        <v/>
      </c>
    </row>
    <row r="193">
      <c r="A193" t="inlineStr">
        <is>
          <t>—</t>
        </is>
      </c>
      <c r="B193" t="n">
        <v>192</v>
      </c>
      <c r="C193" t="inlineStr">
        <is>
          <t>NG-NET-006</t>
        </is>
      </c>
      <c r="D193" t="inlineStr">
        <is>
          <t>TP-Link TL-SG108E - 8-Port Gigabit Easy Smart Managed Switch</t>
        </is>
      </c>
      <c r="E193" t="inlineStr">
        <is>
          <t>Networking</t>
        </is>
      </c>
      <c r="F193" s="13" t="n">
        <v>229</v>
      </c>
      <c r="G193" s="4" t="inlineStr">
        <is>
          <t>🔗</t>
        </is>
      </c>
      <c r="H193" s="4" t="inlineStr">
        <is>
          <t>🔗</t>
        </is>
      </c>
      <c r="I193" s="4" t="inlineStr">
        <is>
          <t>🔗</t>
        </is>
      </c>
      <c r="J193" s="4" t="inlineStr">
        <is>
          <t>🔗</t>
        </is>
      </c>
      <c r="K193" s="4" t="inlineStr">
        <is>
          <t>🔗</t>
        </is>
      </c>
      <c r="L193" s="5" t="n">
        <v>45.33</v>
      </c>
      <c r="M193" s="5" t="n">
        <v>45.94</v>
      </c>
      <c r="N193" s="6" t="n">
        <v>215.54</v>
      </c>
      <c r="O193" s="6" t="n">
        <v>229.43</v>
      </c>
      <c r="P193" s="6" t="n">
        <v>248.37</v>
      </c>
      <c r="Q193" s="7" t="n"/>
      <c r="R193" s="7" t="n"/>
      <c r="S193" s="8" t="n"/>
      <c r="T193" s="8" t="n"/>
      <c r="U193" s="8" t="n"/>
      <c r="V193" s="9">
        <f>MIN(IF(Q193&lt;&gt;"",Q193*3.75,L193*3.75),IF(R193&lt;&gt;"",R193*3.75,M193*3.75),IF(S193&lt;&gt;"",S193,N193),IF(T193&lt;&gt;"",T193,O193),IF(U193&lt;&gt;"",U193,P193))</f>
        <v/>
      </c>
      <c r="W193" s="10">
        <f>INDEX({"AliExpress","eBay","Amazon.sa","Noon","Jarir"},MATCH(V193,{IF(Q193&lt;&gt;"",Q193*3.75,L193*3.75),IF(R193&lt;&gt;"",R193*3.75,M193*3.75),IF(S193&lt;&gt;"",S193,N193),IF(T193&lt;&gt;"",T193,O193),IF(U193&lt;&gt;"",U193,P193)},0))</f>
        <v/>
      </c>
      <c r="X193" s="9">
        <f>F193-V193</f>
        <v/>
      </c>
      <c r="Y193" s="11">
        <f>IF(V193=0,0,(F193-V193)/V193)</f>
        <v/>
      </c>
      <c r="Z193" s="9">
        <f>CEILING(MAX(V193*1.4,IF(IF(T193&lt;&gt;"",T193,O193)=0,V193*1.5,IF(T193&lt;&gt;"",T193,O193)*0.95)),10)-1</f>
        <v/>
      </c>
      <c r="AA193" s="12">
        <f>IF(IF(T193&lt;&gt;"",T193,O193)=0,"",TEXT((Z193-IF(T193&lt;&gt;"",T193,O193))/IF(T193&lt;&gt;"",T193,O193),"+0.0%;-0.0%"))</f>
        <v/>
      </c>
      <c r="AB193" s="10">
        <f>IF(Y193&gt;0.5,"✅ PROFITABLE — keep",IF(Y193&gt;0.2,"🟡 OK — optimize",IF(Y193&gt;0,"⚠️ THIN — raise or drop","❌ LOSING MONEY")))</f>
        <v/>
      </c>
    </row>
    <row r="194">
      <c r="A194" t="inlineStr">
        <is>
          <t>—</t>
        </is>
      </c>
      <c r="B194" t="n">
        <v>193</v>
      </c>
      <c r="C194" t="inlineStr">
        <is>
          <t>NG-CBL-001</t>
        </is>
      </c>
      <c r="D194" t="inlineStr">
        <is>
          <t>Ugreen USB-C to HDMI 2.1 Cable (2m) - 8K@60Hz Output</t>
        </is>
      </c>
      <c r="E194" t="inlineStr">
        <is>
          <t>Cables &amp;amp; Adapters</t>
        </is>
      </c>
      <c r="F194" s="13" t="n">
        <v>219</v>
      </c>
      <c r="G194" s="4" t="inlineStr">
        <is>
          <t>🔗</t>
        </is>
      </c>
      <c r="H194" s="4" t="inlineStr">
        <is>
          <t>🔗</t>
        </is>
      </c>
      <c r="I194" s="4" t="inlineStr">
        <is>
          <t>🔗</t>
        </is>
      </c>
      <c r="J194" s="4" t="inlineStr">
        <is>
          <t>🔗</t>
        </is>
      </c>
      <c r="K194" s="4" t="inlineStr">
        <is>
          <t>🔗</t>
        </is>
      </c>
      <c r="L194" s="5" t="n">
        <v>17.19</v>
      </c>
      <c r="M194" s="5" t="n">
        <v>26.05</v>
      </c>
      <c r="N194" s="6" t="n">
        <v>174.48</v>
      </c>
      <c r="O194" s="6" t="n">
        <v>226.03</v>
      </c>
      <c r="P194" s="6" t="n">
        <v>193.27</v>
      </c>
      <c r="Q194" s="7" t="n"/>
      <c r="R194" s="7" t="n"/>
      <c r="S194" s="8" t="n"/>
      <c r="T194" s="8" t="n"/>
      <c r="U194" s="8" t="n"/>
      <c r="V194" s="9">
        <f>MIN(IF(Q194&lt;&gt;"",Q194*3.75,L194*3.75),IF(R194&lt;&gt;"",R194*3.75,M194*3.75),IF(S194&lt;&gt;"",S194,N194),IF(T194&lt;&gt;"",T194,O194),IF(U194&lt;&gt;"",U194,P194))</f>
        <v/>
      </c>
      <c r="W194" s="10">
        <f>INDEX({"AliExpress","eBay","Amazon.sa","Noon","Jarir"},MATCH(V194,{IF(Q194&lt;&gt;"",Q194*3.75,L194*3.75),IF(R194&lt;&gt;"",R194*3.75,M194*3.75),IF(S194&lt;&gt;"",S194,N194),IF(T194&lt;&gt;"",T194,O194),IF(U194&lt;&gt;"",U194,P194)},0))</f>
        <v/>
      </c>
      <c r="X194" s="9">
        <f>F194-V194</f>
        <v/>
      </c>
      <c r="Y194" s="11">
        <f>IF(V194=0,0,(F194-V194)/V194)</f>
        <v/>
      </c>
      <c r="Z194" s="9">
        <f>CEILING(MAX(V194*1.4,IF(IF(T194&lt;&gt;"",T194,O194)=0,V194*1.5,IF(T194&lt;&gt;"",T194,O194)*0.95)),10)-1</f>
        <v/>
      </c>
      <c r="AA194" s="12">
        <f>IF(IF(T194&lt;&gt;"",T194,O194)=0,"",TEXT((Z194-IF(T194&lt;&gt;"",T194,O194))/IF(T194&lt;&gt;"",T194,O194),"+0.0%;-0.0%"))</f>
        <v/>
      </c>
      <c r="AB194" s="10">
        <f>IF(Y194&gt;0.5,"✅ PROFITABLE — keep",IF(Y194&gt;0.2,"🟡 OK — optimize",IF(Y194&gt;0,"⚠️ THIN — raise or drop","❌ LOSING MONEY")))</f>
        <v/>
      </c>
    </row>
    <row r="195">
      <c r="A195" t="inlineStr">
        <is>
          <t>—</t>
        </is>
      </c>
      <c r="B195" t="n">
        <v>194</v>
      </c>
      <c r="C195" t="inlineStr">
        <is>
          <t>NG-NET-010</t>
        </is>
      </c>
      <c r="D195" t="inlineStr">
        <is>
          <t>Ubiquiti UniFi USW-Flex-Mini - Ultra-Compact 5-Port Managed Switch</t>
        </is>
      </c>
      <c r="E195" t="inlineStr">
        <is>
          <t>Networking</t>
        </is>
      </c>
      <c r="F195" s="13" t="n">
        <v>219</v>
      </c>
      <c r="G195" s="4" t="inlineStr">
        <is>
          <t>🔗</t>
        </is>
      </c>
      <c r="H195" s="4" t="inlineStr">
        <is>
          <t>🔗</t>
        </is>
      </c>
      <c r="I195" s="4" t="inlineStr">
        <is>
          <t>🔗</t>
        </is>
      </c>
      <c r="J195" s="4" t="inlineStr">
        <is>
          <t>🔗</t>
        </is>
      </c>
      <c r="K195" s="4" t="inlineStr">
        <is>
          <t>🔗</t>
        </is>
      </c>
      <c r="L195" s="5" t="n">
        <v>37.5</v>
      </c>
      <c r="M195" s="5" t="n">
        <v>44.05</v>
      </c>
      <c r="N195" s="6" t="n">
        <v>219.07</v>
      </c>
      <c r="O195" s="6" t="n">
        <v>223.61</v>
      </c>
      <c r="P195" s="6" t="n">
        <v>248.14</v>
      </c>
      <c r="Q195" s="7" t="n"/>
      <c r="R195" s="7" t="n"/>
      <c r="S195" s="8" t="n"/>
      <c r="T195" s="8" t="n"/>
      <c r="U195" s="8" t="n"/>
      <c r="V195" s="9">
        <f>MIN(IF(Q195&lt;&gt;"",Q195*3.75,L195*3.75),IF(R195&lt;&gt;"",R195*3.75,M195*3.75),IF(S195&lt;&gt;"",S195,N195),IF(T195&lt;&gt;"",T195,O195),IF(U195&lt;&gt;"",U195,P195))</f>
        <v/>
      </c>
      <c r="W195" s="10">
        <f>INDEX({"AliExpress","eBay","Amazon.sa","Noon","Jarir"},MATCH(V195,{IF(Q195&lt;&gt;"",Q195*3.75,L195*3.75),IF(R195&lt;&gt;"",R195*3.75,M195*3.75),IF(S195&lt;&gt;"",S195,N195),IF(T195&lt;&gt;"",T195,O195),IF(U195&lt;&gt;"",U195,P195)},0))</f>
        <v/>
      </c>
      <c r="X195" s="9">
        <f>F195-V195</f>
        <v/>
      </c>
      <c r="Y195" s="11">
        <f>IF(V195=0,0,(F195-V195)/V195)</f>
        <v/>
      </c>
      <c r="Z195" s="9">
        <f>CEILING(MAX(V195*1.4,IF(IF(T195&lt;&gt;"",T195,O195)=0,V195*1.5,IF(T195&lt;&gt;"",T195,O195)*0.95)),10)-1</f>
        <v/>
      </c>
      <c r="AA195" s="12">
        <f>IF(IF(T195&lt;&gt;"",T195,O195)=0,"",TEXT((Z195-IF(T195&lt;&gt;"",T195,O195))/IF(T195&lt;&gt;"",T195,O195),"+0.0%;-0.0%"))</f>
        <v/>
      </c>
      <c r="AB195" s="10">
        <f>IF(Y195&gt;0.5,"✅ PROFITABLE — keep",IF(Y195&gt;0.2,"🟡 OK — optimize",IF(Y195&gt;0,"⚠️ THIN — raise or drop","❌ LOSING MONEY")))</f>
        <v/>
      </c>
    </row>
    <row r="196">
      <c r="A196" t="inlineStr">
        <is>
          <t>—</t>
        </is>
      </c>
      <c r="B196" t="n">
        <v>195</v>
      </c>
      <c r="C196" t="inlineStr">
        <is>
          <t>NG-SH-004</t>
        </is>
      </c>
      <c r="D196" t="inlineStr">
        <is>
          <t>Aqara Water Leak Sensor - Safeguard Your Home from Water Damage</t>
        </is>
      </c>
      <c r="E196" t="inlineStr">
        <is>
          <t>Smart Home &amp;amp; IoT</t>
        </is>
      </c>
      <c r="F196" s="13" t="n">
        <v>219</v>
      </c>
      <c r="G196" s="4" t="inlineStr">
        <is>
          <t>🔗</t>
        </is>
      </c>
      <c r="H196" s="4" t="inlineStr">
        <is>
          <t>🔗</t>
        </is>
      </c>
      <c r="I196" s="4" t="inlineStr">
        <is>
          <t>🔗</t>
        </is>
      </c>
      <c r="J196" s="4" t="inlineStr">
        <is>
          <t>🔗</t>
        </is>
      </c>
      <c r="K196" s="4" t="inlineStr">
        <is>
          <t>🔗</t>
        </is>
      </c>
      <c r="L196" s="5" t="n">
        <v>23.03</v>
      </c>
      <c r="M196" s="5" t="n">
        <v>32.97</v>
      </c>
      <c r="N196" s="6" t="n">
        <v>198.41</v>
      </c>
      <c r="O196" s="6" t="n">
        <v>224.99</v>
      </c>
      <c r="P196" s="6" t="n">
        <v>210.59</v>
      </c>
      <c r="Q196" s="7" t="n"/>
      <c r="R196" s="7" t="n"/>
      <c r="S196" s="8" t="n"/>
      <c r="T196" s="8" t="n"/>
      <c r="U196" s="8" t="n"/>
      <c r="V196" s="9">
        <f>MIN(IF(Q196&lt;&gt;"",Q196*3.75,L196*3.75),IF(R196&lt;&gt;"",R196*3.75,M196*3.75),IF(S196&lt;&gt;"",S196,N196),IF(T196&lt;&gt;"",T196,O196),IF(U196&lt;&gt;"",U196,P196))</f>
        <v/>
      </c>
      <c r="W196" s="10">
        <f>INDEX({"AliExpress","eBay","Amazon.sa","Noon","Jarir"},MATCH(V196,{IF(Q196&lt;&gt;"",Q196*3.75,L196*3.75),IF(R196&lt;&gt;"",R196*3.75,M196*3.75),IF(S196&lt;&gt;"",S196,N196),IF(T196&lt;&gt;"",T196,O196),IF(U196&lt;&gt;"",U196,P196)},0))</f>
        <v/>
      </c>
      <c r="X196" s="9">
        <f>F196-V196</f>
        <v/>
      </c>
      <c r="Y196" s="11">
        <f>IF(V196=0,0,(F196-V196)/V196)</f>
        <v/>
      </c>
      <c r="Z196" s="9">
        <f>CEILING(MAX(V196*1.4,IF(IF(T196&lt;&gt;"",T196,O196)=0,V196*1.5,IF(T196&lt;&gt;"",T196,O196)*0.95)),10)-1</f>
        <v/>
      </c>
      <c r="AA196" s="12">
        <f>IF(IF(T196&lt;&gt;"",T196,O196)=0,"",TEXT((Z196-IF(T196&lt;&gt;"",T196,O196))/IF(T196&lt;&gt;"",T196,O196),"+0.0%;-0.0%"))</f>
        <v/>
      </c>
      <c r="AB196" s="10">
        <f>IF(Y196&gt;0.5,"✅ PROFITABLE — keep",IF(Y196&gt;0.2,"🟡 OK — optimize",IF(Y196&gt;0,"⚠️ THIN — raise or drop","❌ LOSING MONEY")))</f>
        <v/>
      </c>
    </row>
    <row r="197">
      <c r="A197" t="inlineStr">
        <is>
          <t>—</t>
        </is>
      </c>
      <c r="B197" t="n">
        <v>196</v>
      </c>
      <c r="C197" t="inlineStr">
        <is>
          <t>NG-NET-009</t>
        </is>
      </c>
      <c r="D197" t="inlineStr">
        <is>
          <t>Netgear GS308E - 8-Port Gigabit Plus Smart Managed Switch</t>
        </is>
      </c>
      <c r="E197" t="inlineStr">
        <is>
          <t>Networking</t>
        </is>
      </c>
      <c r="F197" s="13" t="n">
        <v>209</v>
      </c>
      <c r="G197" s="4" t="inlineStr">
        <is>
          <t>🔗</t>
        </is>
      </c>
      <c r="H197" s="4" t="inlineStr">
        <is>
          <t>🔗</t>
        </is>
      </c>
      <c r="I197" s="4" t="inlineStr">
        <is>
          <t>🔗</t>
        </is>
      </c>
      <c r="J197" s="4" t="inlineStr">
        <is>
          <t>🔗</t>
        </is>
      </c>
      <c r="K197" s="4" t="inlineStr">
        <is>
          <t>🔗</t>
        </is>
      </c>
      <c r="L197" s="5" t="n">
        <v>37.54</v>
      </c>
      <c r="M197" s="5" t="n">
        <v>43.13</v>
      </c>
      <c r="N197" s="6" t="n">
        <v>211.27</v>
      </c>
      <c r="O197" s="6" t="n">
        <v>203.73</v>
      </c>
      <c r="P197" s="6" t="n">
        <v>219.14</v>
      </c>
      <c r="Q197" s="7" t="n"/>
      <c r="R197" s="7" t="n"/>
      <c r="S197" s="8" t="n"/>
      <c r="T197" s="8" t="n"/>
      <c r="U197" s="8" t="n"/>
      <c r="V197" s="9">
        <f>MIN(IF(Q197&lt;&gt;"",Q197*3.75,L197*3.75),IF(R197&lt;&gt;"",R197*3.75,M197*3.75),IF(S197&lt;&gt;"",S197,N197),IF(T197&lt;&gt;"",T197,O197),IF(U197&lt;&gt;"",U197,P197))</f>
        <v/>
      </c>
      <c r="W197" s="10">
        <f>INDEX({"AliExpress","eBay","Amazon.sa","Noon","Jarir"},MATCH(V197,{IF(Q197&lt;&gt;"",Q197*3.75,L197*3.75),IF(R197&lt;&gt;"",R197*3.75,M197*3.75),IF(S197&lt;&gt;"",S197,N197),IF(T197&lt;&gt;"",T197,O197),IF(U197&lt;&gt;"",U197,P197)},0))</f>
        <v/>
      </c>
      <c r="X197" s="9">
        <f>F197-V197</f>
        <v/>
      </c>
      <c r="Y197" s="11">
        <f>IF(V197=0,0,(F197-V197)/V197)</f>
        <v/>
      </c>
      <c r="Z197" s="9">
        <f>CEILING(MAX(V197*1.4,IF(IF(T197&lt;&gt;"",T197,O197)=0,V197*1.5,IF(T197&lt;&gt;"",T197,O197)*0.95)),10)-1</f>
        <v/>
      </c>
      <c r="AA197" s="12">
        <f>IF(IF(T197&lt;&gt;"",T197,O197)=0,"",TEXT((Z197-IF(T197&lt;&gt;"",T197,O197))/IF(T197&lt;&gt;"",T197,O197),"+0.0%;-0.0%"))</f>
        <v/>
      </c>
      <c r="AB197" s="10">
        <f>IF(Y197&gt;0.5,"✅ PROFITABLE — keep",IF(Y197&gt;0.2,"🟡 OK — optimize",IF(Y197&gt;0,"⚠️ THIN — raise or drop","❌ LOSING MONEY")))</f>
        <v/>
      </c>
    </row>
    <row r="198">
      <c r="A198" t="inlineStr">
        <is>
          <t>—</t>
        </is>
      </c>
      <c r="B198" t="n">
        <v>197</v>
      </c>
      <c r="C198" t="inlineStr">
        <is>
          <t>GC-GP-50</t>
        </is>
      </c>
      <c r="D198" t="inlineStr">
        <is>
          <t>Google Play $50 Gift Card | بطاقة قوقل بلاي</t>
        </is>
      </c>
      <c r="E198" t="inlineStr">
        <is>
          <t>Gift Cards &amp;amp; Software Keys</t>
        </is>
      </c>
      <c r="F198" s="13" t="n">
        <v>199</v>
      </c>
      <c r="G198" s="4" t="inlineStr">
        <is>
          <t>🔗</t>
        </is>
      </c>
      <c r="H198" s="4" t="inlineStr">
        <is>
          <t>🔗</t>
        </is>
      </c>
      <c r="I198" s="4" t="inlineStr">
        <is>
          <t>🔗</t>
        </is>
      </c>
      <c r="J198" s="4" t="inlineStr">
        <is>
          <t>🔗</t>
        </is>
      </c>
      <c r="K198" s="4" t="inlineStr">
        <is>
          <t>🔗</t>
        </is>
      </c>
      <c r="L198" s="5" t="n">
        <v>47.11</v>
      </c>
      <c r="M198" s="5" t="n">
        <v>54.94</v>
      </c>
      <c r="N198" s="6" t="n">
        <v>198.8</v>
      </c>
      <c r="O198" s="6" t="n">
        <v>217.42</v>
      </c>
      <c r="P198" s="6" t="n">
        <v>231.63</v>
      </c>
      <c r="Q198" s="7" t="n"/>
      <c r="R198" s="7" t="n"/>
      <c r="S198" s="8" t="n"/>
      <c r="T198" s="8" t="n"/>
      <c r="U198" s="8" t="n"/>
      <c r="V198" s="9">
        <f>MIN(IF(Q198&lt;&gt;"",Q198*3.75,L198*3.75),IF(R198&lt;&gt;"",R198*3.75,M198*3.75),IF(S198&lt;&gt;"",S198,N198),IF(T198&lt;&gt;"",T198,O198),IF(U198&lt;&gt;"",U198,P198))</f>
        <v/>
      </c>
      <c r="W198" s="10">
        <f>INDEX({"AliExpress","eBay","Amazon.sa","Noon","Jarir"},MATCH(V198,{IF(Q198&lt;&gt;"",Q198*3.75,L198*3.75),IF(R198&lt;&gt;"",R198*3.75,M198*3.75),IF(S198&lt;&gt;"",S198,N198),IF(T198&lt;&gt;"",T198,O198),IF(U198&lt;&gt;"",U198,P198)},0))</f>
        <v/>
      </c>
      <c r="X198" s="9">
        <f>F198-V198</f>
        <v/>
      </c>
      <c r="Y198" s="11">
        <f>IF(V198=0,0,(F198-V198)/V198)</f>
        <v/>
      </c>
      <c r="Z198" s="9">
        <f>CEILING(MAX(V198*1.4,IF(IF(T198&lt;&gt;"",T198,O198)=0,V198*1.5,IF(T198&lt;&gt;"",T198,O198)*0.95)),10)-1</f>
        <v/>
      </c>
      <c r="AA198" s="12">
        <f>IF(IF(T198&lt;&gt;"",T198,O198)=0,"",TEXT((Z198-IF(T198&lt;&gt;"",T198,O198))/IF(T198&lt;&gt;"",T198,O198),"+0.0%;-0.0%"))</f>
        <v/>
      </c>
      <c r="AB198" s="10">
        <f>IF(Y198&gt;0.5,"✅ PROFITABLE — keep",IF(Y198&gt;0.2,"🟡 OK — optimize",IF(Y198&gt;0,"⚠️ THIN — raise or drop","❌ LOSING MONEY")))</f>
        <v/>
      </c>
    </row>
    <row r="199">
      <c r="A199" t="inlineStr">
        <is>
          <t>—</t>
        </is>
      </c>
      <c r="B199" t="n">
        <v>198</v>
      </c>
      <c r="C199" t="inlineStr">
        <is>
          <t>GC-STM-50</t>
        </is>
      </c>
      <c r="D199" t="inlineStr">
        <is>
          <t>Steam Wallet $50 Gift Card | بطاقة ستيم</t>
        </is>
      </c>
      <c r="E199" t="inlineStr">
        <is>
          <t>Gift Cards &amp;amp; Software Keys</t>
        </is>
      </c>
      <c r="F199" s="13" t="n">
        <v>199</v>
      </c>
      <c r="G199" s="4" t="inlineStr">
        <is>
          <t>🔗</t>
        </is>
      </c>
      <c r="H199" s="4" t="inlineStr">
        <is>
          <t>🔗</t>
        </is>
      </c>
      <c r="I199" s="4" t="inlineStr">
        <is>
          <t>🔗</t>
        </is>
      </c>
      <c r="J199" s="4" t="inlineStr">
        <is>
          <t>🔗</t>
        </is>
      </c>
      <c r="K199" s="4" t="inlineStr">
        <is>
          <t>🔗</t>
        </is>
      </c>
      <c r="L199" s="5" t="n">
        <v>49.85</v>
      </c>
      <c r="M199" s="5" t="n">
        <v>55.35</v>
      </c>
      <c r="N199" s="6" t="n">
        <v>206.7</v>
      </c>
      <c r="O199" s="6" t="n">
        <v>226.61</v>
      </c>
      <c r="P199" s="6" t="n">
        <v>214.18</v>
      </c>
      <c r="Q199" s="7" t="n"/>
      <c r="R199" s="7" t="n"/>
      <c r="S199" s="8" t="n"/>
      <c r="T199" s="8" t="n"/>
      <c r="U199" s="8" t="n"/>
      <c r="V199" s="9">
        <f>MIN(IF(Q199&lt;&gt;"",Q199*3.75,L199*3.75),IF(R199&lt;&gt;"",R199*3.75,M199*3.75),IF(S199&lt;&gt;"",S199,N199),IF(T199&lt;&gt;"",T199,O199),IF(U199&lt;&gt;"",U199,P199))</f>
        <v/>
      </c>
      <c r="W199" s="10">
        <f>INDEX({"AliExpress","eBay","Amazon.sa","Noon","Jarir"},MATCH(V199,{IF(Q199&lt;&gt;"",Q199*3.75,L199*3.75),IF(R199&lt;&gt;"",R199*3.75,M199*3.75),IF(S199&lt;&gt;"",S199,N199),IF(T199&lt;&gt;"",T199,O199),IF(U199&lt;&gt;"",U199,P199)},0))</f>
        <v/>
      </c>
      <c r="X199" s="9">
        <f>F199-V199</f>
        <v/>
      </c>
      <c r="Y199" s="11">
        <f>IF(V199=0,0,(F199-V199)/V199)</f>
        <v/>
      </c>
      <c r="Z199" s="9">
        <f>CEILING(MAX(V199*1.4,IF(IF(T199&lt;&gt;"",T199,O199)=0,V199*1.5,IF(T199&lt;&gt;"",T199,O199)*0.95)),10)-1</f>
        <v/>
      </c>
      <c r="AA199" s="12">
        <f>IF(IF(T199&lt;&gt;"",T199,O199)=0,"",TEXT((Z199-IF(T199&lt;&gt;"",T199,O199))/IF(T199&lt;&gt;"",T199,O199),"+0.0%;-0.0%"))</f>
        <v/>
      </c>
      <c r="AB199" s="10">
        <f>IF(Y199&gt;0.5,"✅ PROFITABLE — keep",IF(Y199&gt;0.2,"🟡 OK — optimize",IF(Y199&gt;0,"⚠️ THIN — raise or drop","❌ LOSING MONEY")))</f>
        <v/>
      </c>
    </row>
    <row r="200">
      <c r="A200" t="inlineStr">
        <is>
          <t>—</t>
        </is>
      </c>
      <c r="B200" t="n">
        <v>199</v>
      </c>
      <c r="C200" t="inlineStr">
        <is>
          <t>GC-PSN-50</t>
        </is>
      </c>
      <c r="D200" t="inlineStr">
        <is>
          <t>PlayStation Store $50 Gift Card | بطاقة بلايستيشن</t>
        </is>
      </c>
      <c r="E200" t="inlineStr">
        <is>
          <t>Gift Cards &amp;amp; Software Keys</t>
        </is>
      </c>
      <c r="F200" s="13" t="n">
        <v>199</v>
      </c>
      <c r="G200" s="4" t="inlineStr">
        <is>
          <t>🔗</t>
        </is>
      </c>
      <c r="H200" s="4" t="inlineStr">
        <is>
          <t>🔗</t>
        </is>
      </c>
      <c r="I200" s="4" t="inlineStr">
        <is>
          <t>🔗</t>
        </is>
      </c>
      <c r="J200" s="4" t="inlineStr">
        <is>
          <t>🔗</t>
        </is>
      </c>
      <c r="K200" s="4" t="inlineStr">
        <is>
          <t>🔗</t>
        </is>
      </c>
      <c r="L200" s="5" t="n">
        <v>48.46</v>
      </c>
      <c r="M200" s="5" t="n">
        <v>49.5</v>
      </c>
      <c r="N200" s="6" t="n">
        <v>208.65</v>
      </c>
      <c r="O200" s="6" t="n">
        <v>215.97</v>
      </c>
      <c r="P200" s="6" t="n">
        <v>241.14</v>
      </c>
      <c r="Q200" s="7" t="n"/>
      <c r="R200" s="7" t="n"/>
      <c r="S200" s="8" t="n"/>
      <c r="T200" s="8" t="n"/>
      <c r="U200" s="8" t="n"/>
      <c r="V200" s="9">
        <f>MIN(IF(Q200&lt;&gt;"",Q200*3.75,L200*3.75),IF(R200&lt;&gt;"",R200*3.75,M200*3.75),IF(S200&lt;&gt;"",S200,N200),IF(T200&lt;&gt;"",T200,O200),IF(U200&lt;&gt;"",U200,P200))</f>
        <v/>
      </c>
      <c r="W200" s="10">
        <f>INDEX({"AliExpress","eBay","Amazon.sa","Noon","Jarir"},MATCH(V200,{IF(Q200&lt;&gt;"",Q200*3.75,L200*3.75),IF(R200&lt;&gt;"",R200*3.75,M200*3.75),IF(S200&lt;&gt;"",S200,N200),IF(T200&lt;&gt;"",T200,O200),IF(U200&lt;&gt;"",U200,P200)},0))</f>
        <v/>
      </c>
      <c r="X200" s="9">
        <f>F200-V200</f>
        <v/>
      </c>
      <c r="Y200" s="11">
        <f>IF(V200=0,0,(F200-V200)/V200)</f>
        <v/>
      </c>
      <c r="Z200" s="9">
        <f>CEILING(MAX(V200*1.4,IF(IF(T200&lt;&gt;"",T200,O200)=0,V200*1.5,IF(T200&lt;&gt;"",T200,O200)*0.95)),10)-1</f>
        <v/>
      </c>
      <c r="AA200" s="12">
        <f>IF(IF(T200&lt;&gt;"",T200,O200)=0,"",TEXT((Z200-IF(T200&lt;&gt;"",T200,O200))/IF(T200&lt;&gt;"",T200,O200),"+0.0%;-0.0%"))</f>
        <v/>
      </c>
      <c r="AB200" s="10">
        <f>IF(Y200&gt;0.5,"✅ PROFITABLE — keep",IF(Y200&gt;0.2,"🟡 OK — optimize",IF(Y200&gt;0,"⚠️ THIN — raise or drop","❌ LOSING MONEY")))</f>
        <v/>
      </c>
    </row>
    <row r="201">
      <c r="A201" t="inlineStr">
        <is>
          <t>—</t>
        </is>
      </c>
      <c r="B201" t="n">
        <v>200</v>
      </c>
      <c r="C201" t="inlineStr">
        <is>
          <t>GC-SW-WIN11</t>
        </is>
      </c>
      <c r="D201" t="inlineStr">
        <is>
          <t>Windows 11 Pro License Key | مفتاح ويندوز 11 برو</t>
        </is>
      </c>
      <c r="E201" t="inlineStr">
        <is>
          <t>Gift Cards &amp;amp; Software Keys</t>
        </is>
      </c>
      <c r="F201" s="13" t="n">
        <v>199</v>
      </c>
      <c r="G201" s="4" t="inlineStr">
        <is>
          <t>🔗</t>
        </is>
      </c>
      <c r="H201" s="4" t="inlineStr">
        <is>
          <t>🔗</t>
        </is>
      </c>
      <c r="I201" s="4" t="inlineStr">
        <is>
          <t>🔗</t>
        </is>
      </c>
      <c r="J201" s="4" t="inlineStr">
        <is>
          <t>🔗</t>
        </is>
      </c>
      <c r="K201" s="4" t="inlineStr">
        <is>
          <t>🔗</t>
        </is>
      </c>
      <c r="L201" s="5" t="n">
        <v>46.84</v>
      </c>
      <c r="M201" s="5" t="n">
        <v>51.38</v>
      </c>
      <c r="N201" s="6" t="n">
        <v>207.37</v>
      </c>
      <c r="O201" s="6" t="n">
        <v>233.25</v>
      </c>
      <c r="P201" s="6" t="n">
        <v>237.89</v>
      </c>
      <c r="Q201" s="7" t="n"/>
      <c r="R201" s="7" t="n"/>
      <c r="S201" s="8" t="n"/>
      <c r="T201" s="8" t="n"/>
      <c r="U201" s="8" t="n"/>
      <c r="V201" s="9">
        <f>MIN(IF(Q201&lt;&gt;"",Q201*3.75,L201*3.75),IF(R201&lt;&gt;"",R201*3.75,M201*3.75),IF(S201&lt;&gt;"",S201,N201),IF(T201&lt;&gt;"",T201,O201),IF(U201&lt;&gt;"",U201,P201))</f>
        <v/>
      </c>
      <c r="W201" s="10">
        <f>INDEX({"AliExpress","eBay","Amazon.sa","Noon","Jarir"},MATCH(V201,{IF(Q201&lt;&gt;"",Q201*3.75,L201*3.75),IF(R201&lt;&gt;"",R201*3.75,M201*3.75),IF(S201&lt;&gt;"",S201,N201),IF(T201&lt;&gt;"",T201,O201),IF(U201&lt;&gt;"",U201,P201)},0))</f>
        <v/>
      </c>
      <c r="X201" s="9">
        <f>F201-V201</f>
        <v/>
      </c>
      <c r="Y201" s="11">
        <f>IF(V201=0,0,(F201-V201)/V201)</f>
        <v/>
      </c>
      <c r="Z201" s="9">
        <f>CEILING(MAX(V201*1.4,IF(IF(T201&lt;&gt;"",T201,O201)=0,V201*1.5,IF(T201&lt;&gt;"",T201,O201)*0.95)),10)-1</f>
        <v/>
      </c>
      <c r="AA201" s="12">
        <f>IF(IF(T201&lt;&gt;"",T201,O201)=0,"",TEXT((Z201-IF(T201&lt;&gt;"",T201,O201))/IF(T201&lt;&gt;"",T201,O201),"+0.0%;-0.0%"))</f>
        <v/>
      </c>
      <c r="AB201" s="10">
        <f>IF(Y201&gt;0.5,"✅ PROFITABLE — keep",IF(Y201&gt;0.2,"🟡 OK — optimize",IF(Y201&gt;0,"⚠️ THIN — raise or drop","❌ LOSING MONEY")))</f>
        <v/>
      </c>
    </row>
    <row r="202">
      <c r="A202" t="inlineStr">
        <is>
          <t>—</t>
        </is>
      </c>
      <c r="B202" t="n">
        <v>201</v>
      </c>
      <c r="C202" t="inlineStr">
        <is>
          <t>NG-SH-008</t>
        </is>
      </c>
      <c r="D202" t="inlineStr">
        <is>
          <t>Shelly Plus 1PM - Smart Wi-Fi Relay with Power Monitoring</t>
        </is>
      </c>
      <c r="E202" t="inlineStr">
        <is>
          <t>Smart Home &amp;amp; IoT</t>
        </is>
      </c>
      <c r="F202" s="13" t="n">
        <v>189</v>
      </c>
      <c r="G202" s="4" t="inlineStr">
        <is>
          <t>🔗</t>
        </is>
      </c>
      <c r="H202" s="4" t="inlineStr">
        <is>
          <t>🔗</t>
        </is>
      </c>
      <c r="I202" s="4" t="inlineStr">
        <is>
          <t>🔗</t>
        </is>
      </c>
      <c r="J202" s="4" t="inlineStr">
        <is>
          <t>🔗</t>
        </is>
      </c>
      <c r="K202" s="4" t="inlineStr">
        <is>
          <t>🔗</t>
        </is>
      </c>
      <c r="L202" s="5" t="n">
        <v>18.64</v>
      </c>
      <c r="M202" s="5" t="n">
        <v>35.67</v>
      </c>
      <c r="N202" s="6" t="n">
        <v>158.03</v>
      </c>
      <c r="O202" s="6" t="n">
        <v>197.4</v>
      </c>
      <c r="P202" s="6" t="n">
        <v>184.62</v>
      </c>
      <c r="Q202" s="7" t="n"/>
      <c r="R202" s="7" t="n"/>
      <c r="S202" s="8" t="n"/>
      <c r="T202" s="8" t="n"/>
      <c r="U202" s="8" t="n"/>
      <c r="V202" s="9">
        <f>MIN(IF(Q202&lt;&gt;"",Q202*3.75,L202*3.75),IF(R202&lt;&gt;"",R202*3.75,M202*3.75),IF(S202&lt;&gt;"",S202,N202),IF(T202&lt;&gt;"",T202,O202),IF(U202&lt;&gt;"",U202,P202))</f>
        <v/>
      </c>
      <c r="W202" s="10">
        <f>INDEX({"AliExpress","eBay","Amazon.sa","Noon","Jarir"},MATCH(V202,{IF(Q202&lt;&gt;"",Q202*3.75,L202*3.75),IF(R202&lt;&gt;"",R202*3.75,M202*3.75),IF(S202&lt;&gt;"",S202,N202),IF(T202&lt;&gt;"",T202,O202),IF(U202&lt;&gt;"",U202,P202)},0))</f>
        <v/>
      </c>
      <c r="X202" s="9">
        <f>F202-V202</f>
        <v/>
      </c>
      <c r="Y202" s="11">
        <f>IF(V202=0,0,(F202-V202)/V202)</f>
        <v/>
      </c>
      <c r="Z202" s="9">
        <f>CEILING(MAX(V202*1.4,IF(IF(T202&lt;&gt;"",T202,O202)=0,V202*1.5,IF(T202&lt;&gt;"",T202,O202)*0.95)),10)-1</f>
        <v/>
      </c>
      <c r="AA202" s="12">
        <f>IF(IF(T202&lt;&gt;"",T202,O202)=0,"",TEXT((Z202-IF(T202&lt;&gt;"",T202,O202))/IF(T202&lt;&gt;"",T202,O202),"+0.0%;-0.0%"))</f>
        <v/>
      </c>
      <c r="AB202" s="10">
        <f>IF(Y202&gt;0.5,"✅ PROFITABLE — keep",IF(Y202&gt;0.2,"🟡 OK — optimize",IF(Y202&gt;0,"⚠️ THIN — raise or drop","❌ LOSING MONEY")))</f>
        <v/>
      </c>
    </row>
    <row r="203">
      <c r="A203" t="inlineStr">
        <is>
          <t>—</t>
        </is>
      </c>
      <c r="B203" t="n">
        <v>202</v>
      </c>
      <c r="C203" t="inlineStr">
        <is>
          <t>SH-PLG-MERS-001</t>
        </is>
      </c>
      <c r="D203" t="inlineStr">
        <is>
          <t>Meross Smart Plug Mini MSS110 (HomeKit)</t>
        </is>
      </c>
      <c r="E203" t="inlineStr">
        <is>
          <t>Smart Home &amp;amp; IoT</t>
        </is>
      </c>
      <c r="F203" s="13" t="n">
        <v>159</v>
      </c>
      <c r="G203" s="4" t="inlineStr">
        <is>
          <t>🔗</t>
        </is>
      </c>
      <c r="H203" s="4" t="inlineStr">
        <is>
          <t>🔗</t>
        </is>
      </c>
      <c r="I203" s="4" t="inlineStr">
        <is>
          <t>🔗</t>
        </is>
      </c>
      <c r="J203" s="4" t="inlineStr">
        <is>
          <t>🔗</t>
        </is>
      </c>
      <c r="K203" s="4" t="inlineStr">
        <is>
          <t>🔗</t>
        </is>
      </c>
      <c r="L203" s="5" t="n">
        <v>18.22</v>
      </c>
      <c r="M203" s="5" t="n">
        <v>25.17</v>
      </c>
      <c r="N203" s="6" t="n">
        <v>116.16</v>
      </c>
      <c r="O203" s="6" t="n">
        <v>160.91</v>
      </c>
      <c r="P203" s="6" t="n">
        <v>159.44</v>
      </c>
      <c r="Q203" s="7" t="n"/>
      <c r="R203" s="7" t="n"/>
      <c r="S203" s="8" t="n"/>
      <c r="T203" s="8" t="n"/>
      <c r="U203" s="8" t="n"/>
      <c r="V203" s="9">
        <f>MIN(IF(Q203&lt;&gt;"",Q203*3.75,L203*3.75),IF(R203&lt;&gt;"",R203*3.75,M203*3.75),IF(S203&lt;&gt;"",S203,N203),IF(T203&lt;&gt;"",T203,O203),IF(U203&lt;&gt;"",U203,P203))</f>
        <v/>
      </c>
      <c r="W203" s="10">
        <f>INDEX({"AliExpress","eBay","Amazon.sa","Noon","Jarir"},MATCH(V203,{IF(Q203&lt;&gt;"",Q203*3.75,L203*3.75),IF(R203&lt;&gt;"",R203*3.75,M203*3.75),IF(S203&lt;&gt;"",S203,N203),IF(T203&lt;&gt;"",T203,O203),IF(U203&lt;&gt;"",U203,P203)},0))</f>
        <v/>
      </c>
      <c r="X203" s="9">
        <f>F203-V203</f>
        <v/>
      </c>
      <c r="Y203" s="11">
        <f>IF(V203=0,0,(F203-V203)/V203)</f>
        <v/>
      </c>
      <c r="Z203" s="9">
        <f>CEILING(MAX(V203*1.4,IF(IF(T203&lt;&gt;"",T203,O203)=0,V203*1.5,IF(T203&lt;&gt;"",T203,O203)*0.95)),10)-1</f>
        <v/>
      </c>
      <c r="AA203" s="12">
        <f>IF(IF(T203&lt;&gt;"",T203,O203)=0,"",TEXT((Z203-IF(T203&lt;&gt;"",T203,O203))/IF(T203&lt;&gt;"",T203,O203),"+0.0%;-0.0%"))</f>
        <v/>
      </c>
      <c r="AB203" s="10">
        <f>IF(Y203&gt;0.5,"✅ PROFITABLE — keep",IF(Y203&gt;0.2,"🟡 OK — optimize",IF(Y203&gt;0,"⚠️ THIN — raise or drop","❌ LOSING MONEY")))</f>
        <v/>
      </c>
    </row>
    <row r="204">
      <c r="A204" t="inlineStr">
        <is>
          <t>—</t>
        </is>
      </c>
      <c r="B204" t="n">
        <v>203</v>
      </c>
      <c r="C204" t="inlineStr">
        <is>
          <t>NG-SH-015</t>
        </is>
      </c>
      <c r="D204" t="inlineStr">
        <is>
          <t>Sonoff SNZB-02D Zigbee Temperature &amp;amp; Humidity Sensor with LCD Display</t>
        </is>
      </c>
      <c r="E204" t="inlineStr">
        <is>
          <t>Smart Home &amp;amp; IoT</t>
        </is>
      </c>
      <c r="F204" s="13" t="n">
        <v>159</v>
      </c>
      <c r="G204" s="4" t="inlineStr">
        <is>
          <t>🔗</t>
        </is>
      </c>
      <c r="H204" s="4" t="inlineStr">
        <is>
          <t>🔗</t>
        </is>
      </c>
      <c r="I204" s="4" t="inlineStr">
        <is>
          <t>🔗</t>
        </is>
      </c>
      <c r="J204" s="4" t="inlineStr">
        <is>
          <t>🔗</t>
        </is>
      </c>
      <c r="K204" s="4" t="inlineStr">
        <is>
          <t>🔗</t>
        </is>
      </c>
      <c r="L204" s="5" t="n">
        <v>20.46</v>
      </c>
      <c r="M204" s="5" t="n">
        <v>29.58</v>
      </c>
      <c r="N204" s="6" t="n">
        <v>135.04</v>
      </c>
      <c r="O204" s="6" t="n">
        <v>128.05</v>
      </c>
      <c r="P204" s="6" t="n">
        <v>173.7</v>
      </c>
      <c r="Q204" s="7" t="n"/>
      <c r="R204" s="7" t="n"/>
      <c r="S204" s="8" t="n"/>
      <c r="T204" s="8" t="n"/>
      <c r="U204" s="8" t="n"/>
      <c r="V204" s="9">
        <f>MIN(IF(Q204&lt;&gt;"",Q204*3.75,L204*3.75),IF(R204&lt;&gt;"",R204*3.75,M204*3.75),IF(S204&lt;&gt;"",S204,N204),IF(T204&lt;&gt;"",T204,O204),IF(U204&lt;&gt;"",U204,P204))</f>
        <v/>
      </c>
      <c r="W204" s="10">
        <f>INDEX({"AliExpress","eBay","Amazon.sa","Noon","Jarir"},MATCH(V204,{IF(Q204&lt;&gt;"",Q204*3.75,L204*3.75),IF(R204&lt;&gt;"",R204*3.75,M204*3.75),IF(S204&lt;&gt;"",S204,N204),IF(T204&lt;&gt;"",T204,O204),IF(U204&lt;&gt;"",U204,P204)},0))</f>
        <v/>
      </c>
      <c r="X204" s="9">
        <f>F204-V204</f>
        <v/>
      </c>
      <c r="Y204" s="11">
        <f>IF(V204=0,0,(F204-V204)/V204)</f>
        <v/>
      </c>
      <c r="Z204" s="9">
        <f>CEILING(MAX(V204*1.4,IF(IF(T204&lt;&gt;"",T204,O204)=0,V204*1.5,IF(T204&lt;&gt;"",T204,O204)*0.95)),10)-1</f>
        <v/>
      </c>
      <c r="AA204" s="12">
        <f>IF(IF(T204&lt;&gt;"",T204,O204)=0,"",TEXT((Z204-IF(T204&lt;&gt;"",T204,O204))/IF(T204&lt;&gt;"",T204,O204),"+0.0%;-0.0%"))</f>
        <v/>
      </c>
      <c r="AB204" s="10">
        <f>IF(Y204&gt;0.5,"✅ PROFITABLE — keep",IF(Y204&gt;0.2,"🟡 OK — optimize",IF(Y204&gt;0,"⚠️ THIN — raise or drop","❌ LOSING MONEY")))</f>
        <v/>
      </c>
    </row>
    <row r="205">
      <c r="A205" t="inlineStr">
        <is>
          <t>—</t>
        </is>
      </c>
      <c r="B205" t="n">
        <v>204</v>
      </c>
      <c r="C205" t="inlineStr">
        <is>
          <t>GC-XBX-GPU3</t>
        </is>
      </c>
      <c r="D205" t="inlineStr">
        <is>
          <t>Xbox Game Pass Ultimate 3 Months | قيم باس</t>
        </is>
      </c>
      <c r="E205" t="inlineStr">
        <is>
          <t>Gift Cards &amp;amp; Software Keys</t>
        </is>
      </c>
      <c r="F205" s="13" t="n">
        <v>149</v>
      </c>
      <c r="G205" s="4" t="inlineStr">
        <is>
          <t>🔗</t>
        </is>
      </c>
      <c r="H205" s="4" t="inlineStr">
        <is>
          <t>🔗</t>
        </is>
      </c>
      <c r="I205" s="4" t="inlineStr">
        <is>
          <t>🔗</t>
        </is>
      </c>
      <c r="J205" s="4" t="inlineStr">
        <is>
          <t>🔗</t>
        </is>
      </c>
      <c r="K205" s="4" t="inlineStr">
        <is>
          <t>🔗</t>
        </is>
      </c>
      <c r="L205" s="5" t="n">
        <v>35.74</v>
      </c>
      <c r="M205" s="5" t="n">
        <v>37.21</v>
      </c>
      <c r="N205" s="6" t="n">
        <v>157.8</v>
      </c>
      <c r="O205" s="6" t="n">
        <v>153.62</v>
      </c>
      <c r="P205" s="6" t="n">
        <v>175.83</v>
      </c>
      <c r="Q205" s="7" t="n"/>
      <c r="R205" s="7" t="n"/>
      <c r="S205" s="8" t="n"/>
      <c r="T205" s="8" t="n"/>
      <c r="U205" s="8" t="n"/>
      <c r="V205" s="9">
        <f>MIN(IF(Q205&lt;&gt;"",Q205*3.75,L205*3.75),IF(R205&lt;&gt;"",R205*3.75,M205*3.75),IF(S205&lt;&gt;"",S205,N205),IF(T205&lt;&gt;"",T205,O205),IF(U205&lt;&gt;"",U205,P205))</f>
        <v/>
      </c>
      <c r="W205" s="10">
        <f>INDEX({"AliExpress","eBay","Amazon.sa","Noon","Jarir"},MATCH(V205,{IF(Q205&lt;&gt;"",Q205*3.75,L205*3.75),IF(R205&lt;&gt;"",R205*3.75,M205*3.75),IF(S205&lt;&gt;"",S205,N205),IF(T205&lt;&gt;"",T205,O205),IF(U205&lt;&gt;"",U205,P205)},0))</f>
        <v/>
      </c>
      <c r="X205" s="9">
        <f>F205-V205</f>
        <v/>
      </c>
      <c r="Y205" s="11">
        <f>IF(V205=0,0,(F205-V205)/V205)</f>
        <v/>
      </c>
      <c r="Z205" s="9">
        <f>CEILING(MAX(V205*1.4,IF(IF(T205&lt;&gt;"",T205,O205)=0,V205*1.5,IF(T205&lt;&gt;"",T205,O205)*0.95)),10)-1</f>
        <v/>
      </c>
      <c r="AA205" s="12">
        <f>IF(IF(T205&lt;&gt;"",T205,O205)=0,"",TEXT((Z205-IF(T205&lt;&gt;"",T205,O205))/IF(T205&lt;&gt;"",T205,O205),"+0.0%;-0.0%"))</f>
        <v/>
      </c>
      <c r="AB205" s="10">
        <f>IF(Y205&gt;0.5,"✅ PROFITABLE — keep",IF(Y205&gt;0.2,"🟡 OK — optimize",IF(Y205&gt;0,"⚠️ THIN — raise or drop","❌ LOSING MONEY")))</f>
        <v/>
      </c>
    </row>
    <row r="206">
      <c r="A206" t="inlineStr">
        <is>
          <t>—</t>
        </is>
      </c>
      <c r="B206" t="n">
        <v>205</v>
      </c>
      <c r="C206" t="inlineStr">
        <is>
          <t>SH-PLG-TPLK-001</t>
        </is>
      </c>
      <c r="D206" t="inlineStr">
        <is>
          <t>TP-Link Tapo P125M Smart Plug (Matter, 2-pack)</t>
        </is>
      </c>
      <c r="E206" t="inlineStr">
        <is>
          <t>Smart Home &amp;amp; IoT</t>
        </is>
      </c>
      <c r="F206" s="13" t="n">
        <v>149</v>
      </c>
      <c r="G206" s="4" t="inlineStr">
        <is>
          <t>🔗</t>
        </is>
      </c>
      <c r="H206" s="4" t="inlineStr">
        <is>
          <t>🔗</t>
        </is>
      </c>
      <c r="I206" s="4" t="inlineStr">
        <is>
          <t>🔗</t>
        </is>
      </c>
      <c r="J206" s="4" t="inlineStr">
        <is>
          <t>🔗</t>
        </is>
      </c>
      <c r="K206" s="4" t="inlineStr">
        <is>
          <t>🔗</t>
        </is>
      </c>
      <c r="L206" s="5" t="n">
        <v>15.55</v>
      </c>
      <c r="M206" s="5" t="n">
        <v>23.83</v>
      </c>
      <c r="N206" s="6" t="n">
        <v>136.7</v>
      </c>
      <c r="O206" s="6" t="n">
        <v>131.44</v>
      </c>
      <c r="P206" s="6" t="n">
        <v>137.06</v>
      </c>
      <c r="Q206" s="7" t="n"/>
      <c r="R206" s="7" t="n"/>
      <c r="S206" s="8" t="n"/>
      <c r="T206" s="8" t="n"/>
      <c r="U206" s="8" t="n"/>
      <c r="V206" s="9">
        <f>MIN(IF(Q206&lt;&gt;"",Q206*3.75,L206*3.75),IF(R206&lt;&gt;"",R206*3.75,M206*3.75),IF(S206&lt;&gt;"",S206,N206),IF(T206&lt;&gt;"",T206,O206),IF(U206&lt;&gt;"",U206,P206))</f>
        <v/>
      </c>
      <c r="W206" s="10">
        <f>INDEX({"AliExpress","eBay","Amazon.sa","Noon","Jarir"},MATCH(V206,{IF(Q206&lt;&gt;"",Q206*3.75,L206*3.75),IF(R206&lt;&gt;"",R206*3.75,M206*3.75),IF(S206&lt;&gt;"",S206,N206),IF(T206&lt;&gt;"",T206,O206),IF(U206&lt;&gt;"",U206,P206)},0))</f>
        <v/>
      </c>
      <c r="X206" s="9">
        <f>F206-V206</f>
        <v/>
      </c>
      <c r="Y206" s="11">
        <f>IF(V206=0,0,(F206-V206)/V206)</f>
        <v/>
      </c>
      <c r="Z206" s="9">
        <f>CEILING(MAX(V206*1.4,IF(IF(T206&lt;&gt;"",T206,O206)=0,V206*1.5,IF(T206&lt;&gt;"",T206,O206)*0.95)),10)-1</f>
        <v/>
      </c>
      <c r="AA206" s="12">
        <f>IF(IF(T206&lt;&gt;"",T206,O206)=0,"",TEXT((Z206-IF(T206&lt;&gt;"",T206,O206))/IF(T206&lt;&gt;"",T206,O206),"+0.0%;-0.0%"))</f>
        <v/>
      </c>
      <c r="AB206" s="10">
        <f>IF(Y206&gt;0.5,"✅ PROFITABLE — keep",IF(Y206&gt;0.2,"🟡 OK — optimize",IF(Y206&gt;0,"⚠️ THIN — raise or drop","❌ LOSING MONEY")))</f>
        <v/>
      </c>
    </row>
    <row r="207">
      <c r="A207" t="inlineStr">
        <is>
          <t>—</t>
        </is>
      </c>
      <c r="B207" t="n">
        <v>206</v>
      </c>
      <c r="C207" t="inlineStr">
        <is>
          <t>NG-CBL-004</t>
        </is>
      </c>
      <c r="D207" t="inlineStr">
        <is>
          <t>Ugreen Cat 8 Ethernet Cable (5m) - 40Gbps Network Cable</t>
        </is>
      </c>
      <c r="E207" t="inlineStr">
        <is>
          <t>Cables &amp;amp; Adapters</t>
        </is>
      </c>
      <c r="F207" s="13" t="n">
        <v>149</v>
      </c>
      <c r="G207" s="4" t="inlineStr">
        <is>
          <t>🔗</t>
        </is>
      </c>
      <c r="H207" s="4" t="inlineStr">
        <is>
          <t>🔗</t>
        </is>
      </c>
      <c r="I207" s="4" t="inlineStr">
        <is>
          <t>🔗</t>
        </is>
      </c>
      <c r="J207" s="4" t="inlineStr">
        <is>
          <t>🔗</t>
        </is>
      </c>
      <c r="K207" s="4" t="inlineStr">
        <is>
          <t>🔗</t>
        </is>
      </c>
      <c r="L207" s="5" t="n">
        <v>13.23</v>
      </c>
      <c r="M207" s="5" t="n">
        <v>11.95</v>
      </c>
      <c r="N207" s="6" t="n">
        <v>120.32</v>
      </c>
      <c r="O207" s="6" t="n">
        <v>118.22</v>
      </c>
      <c r="P207" s="6" t="n">
        <v>132.46</v>
      </c>
      <c r="Q207" s="7" t="n"/>
      <c r="R207" s="7" t="n"/>
      <c r="S207" s="8" t="n"/>
      <c r="T207" s="8" t="n"/>
      <c r="U207" s="8" t="n"/>
      <c r="V207" s="9">
        <f>MIN(IF(Q207&lt;&gt;"",Q207*3.75,L207*3.75),IF(R207&lt;&gt;"",R207*3.75,M207*3.75),IF(S207&lt;&gt;"",S207,N207),IF(T207&lt;&gt;"",T207,O207),IF(U207&lt;&gt;"",U207,P207))</f>
        <v/>
      </c>
      <c r="W207" s="10">
        <f>INDEX({"AliExpress","eBay","Amazon.sa","Noon","Jarir"},MATCH(V207,{IF(Q207&lt;&gt;"",Q207*3.75,L207*3.75),IF(R207&lt;&gt;"",R207*3.75,M207*3.75),IF(S207&lt;&gt;"",S207,N207),IF(T207&lt;&gt;"",T207,O207),IF(U207&lt;&gt;"",U207,P207)},0))</f>
        <v/>
      </c>
      <c r="X207" s="9">
        <f>F207-V207</f>
        <v/>
      </c>
      <c r="Y207" s="11">
        <f>IF(V207=0,0,(F207-V207)/V207)</f>
        <v/>
      </c>
      <c r="Z207" s="9">
        <f>CEILING(MAX(V207*1.4,IF(IF(T207&lt;&gt;"",T207,O207)=0,V207*1.5,IF(T207&lt;&gt;"",T207,O207)*0.95)),10)-1</f>
        <v/>
      </c>
      <c r="AA207" s="12">
        <f>IF(IF(T207&lt;&gt;"",T207,O207)=0,"",TEXT((Z207-IF(T207&lt;&gt;"",T207,O207))/IF(T207&lt;&gt;"",T207,O207),"+0.0%;-0.0%"))</f>
        <v/>
      </c>
      <c r="AB207" s="10">
        <f>IF(Y207&gt;0.5,"✅ PROFITABLE — keep",IF(Y207&gt;0.2,"🟡 OK — optimize",IF(Y207&gt;0,"⚠️ THIN — raise or drop","❌ LOSING MONEY")))</f>
        <v/>
      </c>
    </row>
    <row r="208">
      <c r="A208" t="inlineStr">
        <is>
          <t>—</t>
        </is>
      </c>
      <c r="B208" t="n">
        <v>207</v>
      </c>
      <c r="C208" t="inlineStr">
        <is>
          <t>NT-CBL-FSC-001</t>
        </is>
      </c>
      <c r="D208" t="inlineStr">
        <is>
          <t>10G SFP+ DAC Twinax Cable (1m)</t>
        </is>
      </c>
      <c r="E208" t="inlineStr">
        <is>
          <t>Networking</t>
        </is>
      </c>
      <c r="F208" s="13" t="n">
        <v>139</v>
      </c>
      <c r="G208" s="4" t="inlineStr">
        <is>
          <t>🔗</t>
        </is>
      </c>
      <c r="H208" s="4" t="inlineStr">
        <is>
          <t>🔗</t>
        </is>
      </c>
      <c r="I208" s="4" t="inlineStr">
        <is>
          <t>🔗</t>
        </is>
      </c>
      <c r="J208" s="4" t="inlineStr">
        <is>
          <t>🔗</t>
        </is>
      </c>
      <c r="K208" s="4" t="inlineStr">
        <is>
          <t>🔗</t>
        </is>
      </c>
      <c r="L208" s="5" t="n">
        <v>23.91</v>
      </c>
      <c r="M208" s="5" t="n">
        <v>28.9</v>
      </c>
      <c r="N208" s="6" t="n">
        <v>133.77</v>
      </c>
      <c r="O208" s="6" t="n">
        <v>128.53</v>
      </c>
      <c r="P208" s="6" t="n">
        <v>132.46</v>
      </c>
      <c r="Q208" s="7" t="n"/>
      <c r="R208" s="7" t="n"/>
      <c r="S208" s="8" t="n"/>
      <c r="T208" s="8" t="n"/>
      <c r="U208" s="8" t="n"/>
      <c r="V208" s="9">
        <f>MIN(IF(Q208&lt;&gt;"",Q208*3.75,L208*3.75),IF(R208&lt;&gt;"",R208*3.75,M208*3.75),IF(S208&lt;&gt;"",S208,N208),IF(T208&lt;&gt;"",T208,O208),IF(U208&lt;&gt;"",U208,P208))</f>
        <v/>
      </c>
      <c r="W208" s="10">
        <f>INDEX({"AliExpress","eBay","Amazon.sa","Noon","Jarir"},MATCH(V208,{IF(Q208&lt;&gt;"",Q208*3.75,L208*3.75),IF(R208&lt;&gt;"",R208*3.75,M208*3.75),IF(S208&lt;&gt;"",S208,N208),IF(T208&lt;&gt;"",T208,O208),IF(U208&lt;&gt;"",U208,P208)},0))</f>
        <v/>
      </c>
      <c r="X208" s="9">
        <f>F208-V208</f>
        <v/>
      </c>
      <c r="Y208" s="11">
        <f>IF(V208=0,0,(F208-V208)/V208)</f>
        <v/>
      </c>
      <c r="Z208" s="9">
        <f>CEILING(MAX(V208*1.4,IF(IF(T208&lt;&gt;"",T208,O208)=0,V208*1.5,IF(T208&lt;&gt;"",T208,O208)*0.95)),10)-1</f>
        <v/>
      </c>
      <c r="AA208" s="12">
        <f>IF(IF(T208&lt;&gt;"",T208,O208)=0,"",TEXT((Z208-IF(T208&lt;&gt;"",T208,O208))/IF(T208&lt;&gt;"",T208,O208),"+0.0%;-0.0%"))</f>
        <v/>
      </c>
      <c r="AB208" s="10">
        <f>IF(Y208&gt;0.5,"✅ PROFITABLE — keep",IF(Y208&gt;0.2,"🟡 OK — optimize",IF(Y208&gt;0,"⚠️ THIN — raise or drop","❌ LOSING MONEY")))</f>
        <v/>
      </c>
    </row>
    <row r="209">
      <c r="A209" t="inlineStr">
        <is>
          <t>—</t>
        </is>
      </c>
      <c r="B209" t="n">
        <v>208</v>
      </c>
      <c r="C209" t="inlineStr">
        <is>
          <t>NT-SFP-FSC-001</t>
        </is>
      </c>
      <c r="D209" t="inlineStr">
        <is>
          <t>FS.com 10GBASE-SR SFP+ Transceiver</t>
        </is>
      </c>
      <c r="E209" t="inlineStr">
        <is>
          <t>Networking</t>
        </is>
      </c>
      <c r="F209" s="13" t="n">
        <v>129</v>
      </c>
      <c r="G209" s="4" t="inlineStr">
        <is>
          <t>🔗</t>
        </is>
      </c>
      <c r="H209" s="4" t="inlineStr">
        <is>
          <t>🔗</t>
        </is>
      </c>
      <c r="I209" s="4" t="inlineStr">
        <is>
          <t>🔗</t>
        </is>
      </c>
      <c r="J209" s="4" t="inlineStr">
        <is>
          <t>🔗</t>
        </is>
      </c>
      <c r="K209" s="4" t="inlineStr">
        <is>
          <t>🔗</t>
        </is>
      </c>
      <c r="L209" s="5" t="n">
        <v>25.53</v>
      </c>
      <c r="M209" s="5" t="n">
        <v>27.19</v>
      </c>
      <c r="N209" s="6" t="n">
        <v>116.75</v>
      </c>
      <c r="O209" s="6" t="n">
        <v>122.73</v>
      </c>
      <c r="P209" s="6" t="n">
        <v>123.9</v>
      </c>
      <c r="Q209" s="7" t="n"/>
      <c r="R209" s="7" t="n"/>
      <c r="S209" s="8" t="n"/>
      <c r="T209" s="8" t="n"/>
      <c r="U209" s="8" t="n"/>
      <c r="V209" s="9">
        <f>MIN(IF(Q209&lt;&gt;"",Q209*3.75,L209*3.75),IF(R209&lt;&gt;"",R209*3.75,M209*3.75),IF(S209&lt;&gt;"",S209,N209),IF(T209&lt;&gt;"",T209,O209),IF(U209&lt;&gt;"",U209,P209))</f>
        <v/>
      </c>
      <c r="W209" s="10">
        <f>INDEX({"AliExpress","eBay","Amazon.sa","Noon","Jarir"},MATCH(V209,{IF(Q209&lt;&gt;"",Q209*3.75,L209*3.75),IF(R209&lt;&gt;"",R209*3.75,M209*3.75),IF(S209&lt;&gt;"",S209,N209),IF(T209&lt;&gt;"",T209,O209),IF(U209&lt;&gt;"",U209,P209)},0))</f>
        <v/>
      </c>
      <c r="X209" s="9">
        <f>F209-V209</f>
        <v/>
      </c>
      <c r="Y209" s="11">
        <f>IF(V209=0,0,(F209-V209)/V209)</f>
        <v/>
      </c>
      <c r="Z209" s="9">
        <f>CEILING(MAX(V209*1.4,IF(IF(T209&lt;&gt;"",T209,O209)=0,V209*1.5,IF(T209&lt;&gt;"",T209,O209)*0.95)),10)-1</f>
        <v/>
      </c>
      <c r="AA209" s="12">
        <f>IF(IF(T209&lt;&gt;"",T209,O209)=0,"",TEXT((Z209-IF(T209&lt;&gt;"",T209,O209))/IF(T209&lt;&gt;"",T209,O209),"+0.0%;-0.0%"))</f>
        <v/>
      </c>
      <c r="AB209" s="10">
        <f>IF(Y209&gt;0.5,"✅ PROFITABLE — keep",IF(Y209&gt;0.2,"🟡 OK — optimize",IF(Y209&gt;0,"⚠️ THIN — raise or drop","❌ LOSING MONEY")))</f>
        <v/>
      </c>
    </row>
    <row r="210">
      <c r="A210" t="inlineStr">
        <is>
          <t>—</t>
        </is>
      </c>
      <c r="B210" t="n">
        <v>209</v>
      </c>
      <c r="C210" t="inlineStr">
        <is>
          <t>GC-SW-KTS1</t>
        </is>
      </c>
      <c r="D210" t="inlineStr">
        <is>
          <t>Kaspersky Total Security 1 Year | كاسبرسكي</t>
        </is>
      </c>
      <c r="E210" t="inlineStr">
        <is>
          <t>Gift Cards &amp;amp; Software Keys</t>
        </is>
      </c>
      <c r="F210" s="13" t="n">
        <v>119</v>
      </c>
      <c r="G210" s="4" t="inlineStr">
        <is>
          <t>🔗</t>
        </is>
      </c>
      <c r="H210" s="4" t="inlineStr">
        <is>
          <t>🔗</t>
        </is>
      </c>
      <c r="I210" s="4" t="inlineStr">
        <is>
          <t>🔗</t>
        </is>
      </c>
      <c r="J210" s="4" t="inlineStr">
        <is>
          <t>🔗</t>
        </is>
      </c>
      <c r="K210" s="4" t="inlineStr">
        <is>
          <t>🔗</t>
        </is>
      </c>
      <c r="L210" s="5" t="n">
        <v>29.81</v>
      </c>
      <c r="M210" s="5" t="n">
        <v>31.37</v>
      </c>
      <c r="N210" s="6" t="n">
        <v>129.04</v>
      </c>
      <c r="O210" s="6" t="n">
        <v>130.45</v>
      </c>
      <c r="P210" s="6" t="n">
        <v>140.69</v>
      </c>
      <c r="Q210" s="7" t="n"/>
      <c r="R210" s="7" t="n"/>
      <c r="S210" s="8" t="n"/>
      <c r="T210" s="8" t="n"/>
      <c r="U210" s="8" t="n"/>
      <c r="V210" s="9">
        <f>MIN(IF(Q210&lt;&gt;"",Q210*3.75,L210*3.75),IF(R210&lt;&gt;"",R210*3.75,M210*3.75),IF(S210&lt;&gt;"",S210,N210),IF(T210&lt;&gt;"",T210,O210),IF(U210&lt;&gt;"",U210,P210))</f>
        <v/>
      </c>
      <c r="W210" s="10">
        <f>INDEX({"AliExpress","eBay","Amazon.sa","Noon","Jarir"},MATCH(V210,{IF(Q210&lt;&gt;"",Q210*3.75,L210*3.75),IF(R210&lt;&gt;"",R210*3.75,M210*3.75),IF(S210&lt;&gt;"",S210,N210),IF(T210&lt;&gt;"",T210,O210),IF(U210&lt;&gt;"",U210,P210)},0))</f>
        <v/>
      </c>
      <c r="X210" s="9">
        <f>F210-V210</f>
        <v/>
      </c>
      <c r="Y210" s="11">
        <f>IF(V210=0,0,(F210-V210)/V210)</f>
        <v/>
      </c>
      <c r="Z210" s="9">
        <f>CEILING(MAX(V210*1.4,IF(IF(T210&lt;&gt;"",T210,O210)=0,V210*1.5,IF(T210&lt;&gt;"",T210,O210)*0.95)),10)-1</f>
        <v/>
      </c>
      <c r="AA210" s="12">
        <f>IF(IF(T210&lt;&gt;"",T210,O210)=0,"",TEXT((Z210-IF(T210&lt;&gt;"",T210,O210))/IF(T210&lt;&gt;"",T210,O210),"+0.0%;-0.0%"))</f>
        <v/>
      </c>
      <c r="AB210" s="10">
        <f>IF(Y210&gt;0.5,"✅ PROFITABLE — keep",IF(Y210&gt;0.2,"🟡 OK — optimize",IF(Y210&gt;0,"⚠️ THIN — raise or drop","❌ LOSING MONEY")))</f>
        <v/>
      </c>
    </row>
    <row r="211">
      <c r="A211" t="inlineStr">
        <is>
          <t>—</t>
        </is>
      </c>
      <c r="B211" t="n">
        <v>210</v>
      </c>
      <c r="C211" t="inlineStr">
        <is>
          <t>NG-CBL-005</t>
        </is>
      </c>
      <c r="D211" t="inlineStr">
        <is>
          <t>Baseus USB-C 100W Charging Cable (2m) - Fast Charge for Laptops and Phones</t>
        </is>
      </c>
      <c r="E211" t="inlineStr">
        <is>
          <t>Cables &amp;amp; Adapters</t>
        </is>
      </c>
      <c r="F211" s="13" t="n">
        <v>109</v>
      </c>
      <c r="G211" s="4" t="inlineStr">
        <is>
          <t>🔗</t>
        </is>
      </c>
      <c r="H211" s="4" t="inlineStr">
        <is>
          <t>🔗</t>
        </is>
      </c>
      <c r="I211" s="4" t="inlineStr">
        <is>
          <t>🔗</t>
        </is>
      </c>
      <c r="J211" s="4" t="inlineStr">
        <is>
          <t>🔗</t>
        </is>
      </c>
      <c r="K211" s="4" t="inlineStr">
        <is>
          <t>🔗</t>
        </is>
      </c>
      <c r="L211" s="5" t="n">
        <v>7.77</v>
      </c>
      <c r="M211" s="5" t="n">
        <v>9.51</v>
      </c>
      <c r="N211" s="6" t="n">
        <v>76.43000000000001</v>
      </c>
      <c r="O211" s="6" t="n">
        <v>112.67</v>
      </c>
      <c r="P211" s="6" t="n">
        <v>94.06999999999999</v>
      </c>
      <c r="Q211" s="7" t="n"/>
      <c r="R211" s="7" t="n"/>
      <c r="S211" s="8" t="n"/>
      <c r="T211" s="8" t="n"/>
      <c r="U211" s="8" t="n"/>
      <c r="V211" s="9">
        <f>MIN(IF(Q211&lt;&gt;"",Q211*3.75,L211*3.75),IF(R211&lt;&gt;"",R211*3.75,M211*3.75),IF(S211&lt;&gt;"",S211,N211),IF(T211&lt;&gt;"",T211,O211),IF(U211&lt;&gt;"",U211,P211))</f>
        <v/>
      </c>
      <c r="W211" s="10">
        <f>INDEX({"AliExpress","eBay","Amazon.sa","Noon","Jarir"},MATCH(V211,{IF(Q211&lt;&gt;"",Q211*3.75,L211*3.75),IF(R211&lt;&gt;"",R211*3.75,M211*3.75),IF(S211&lt;&gt;"",S211,N211),IF(T211&lt;&gt;"",T211,O211),IF(U211&lt;&gt;"",U211,P211)},0))</f>
        <v/>
      </c>
      <c r="X211" s="9">
        <f>F211-V211</f>
        <v/>
      </c>
      <c r="Y211" s="11">
        <f>IF(V211=0,0,(F211-V211)/V211)</f>
        <v/>
      </c>
      <c r="Z211" s="9">
        <f>CEILING(MAX(V211*1.4,IF(IF(T211&lt;&gt;"",T211,O211)=0,V211*1.5,IF(T211&lt;&gt;"",T211,O211)*0.95)),10)-1</f>
        <v/>
      </c>
      <c r="AA211" s="12">
        <f>IF(IF(T211&lt;&gt;"",T211,O211)=0,"",TEXT((Z211-IF(T211&lt;&gt;"",T211,O211))/IF(T211&lt;&gt;"",T211,O211),"+0.0%;-0.0%"))</f>
        <v/>
      </c>
      <c r="AB211" s="10">
        <f>IF(Y211&gt;0.5,"✅ PROFITABLE — keep",IF(Y211&gt;0.2,"🟡 OK — optimize",IF(Y211&gt;0,"⚠️ THIN — raise or drop","❌ LOSING MONEY")))</f>
        <v/>
      </c>
    </row>
    <row r="213">
      <c r="D213" s="14" t="inlineStr">
        <is>
          <t>TOTAL (using best available cost per row)</t>
        </is>
      </c>
      <c r="E213" s="14" t="n"/>
      <c r="F213" s="15">
        <f>SUM(F2:F211)</f>
        <v/>
      </c>
      <c r="V213" s="15">
        <f>SUM(V2:V211)</f>
        <v/>
      </c>
      <c r="X213" s="15">
        <f>SUM(X2:X211)</f>
        <v/>
      </c>
      <c r="Y213" s="16">
        <f>X213/V213</f>
        <v/>
      </c>
    </row>
    <row r="215">
      <c r="A215" s="17" t="inlineStr">
        <is>
          <t>⭐ TOP 50 rows are highlighted — these generate ~80% of revenue. Start here.</t>
        </is>
      </c>
    </row>
    <row r="216">
      <c r="A216" s="18" t="inlineStr"/>
    </row>
    <row r="217">
      <c r="A217" s="17" t="inlineStr">
        <is>
          <t>LEGEND:</t>
        </is>
      </c>
    </row>
    <row r="218">
      <c r="A218" s="18" t="inlineStr">
        <is>
          <t xml:space="preserve">  PEACH cells (cols L-P) = my reasoned estimates. Starter values. Not real scraped data.</t>
        </is>
      </c>
    </row>
    <row r="219">
      <c r="A219" s="18" t="inlineStr">
        <is>
          <t xml:space="preserve">  YELLOW cells (cols Q-U) = you paste REAL prices after clicking the 🔗 links.</t>
        </is>
      </c>
    </row>
    <row r="220">
      <c r="A220" s="18" t="inlineStr">
        <is>
          <t xml:space="preserve">  BLUE cells (cols V-AB) = auto-calculated from whichever prices are available.</t>
        </is>
      </c>
    </row>
    <row r="221">
      <c r="A221" s="18" t="inlineStr"/>
    </row>
    <row r="222">
      <c r="A222" s="17" t="inlineStr">
        <is>
          <t>HOW THE FORMULAS WORK:</t>
        </is>
      </c>
    </row>
    <row r="223">
      <c r="A223" s="18" t="inlineStr">
        <is>
          <t xml:space="preserve">  - For each supplier, the formula uses your REAL price if filled, else the ESTIMATE.</t>
        </is>
      </c>
    </row>
    <row r="224">
      <c r="A224" s="18" t="inlineStr">
        <is>
          <t xml:space="preserve">  - Best Cost = MIN across all 5 suppliers.</t>
        </is>
      </c>
    </row>
    <row r="225">
      <c r="A225" s="18" t="inlineStr">
        <is>
          <t xml:space="preserve">  - Best Source = which supplier has that min.</t>
        </is>
      </c>
    </row>
    <row r="226">
      <c r="A226" s="18" t="inlineStr">
        <is>
          <t xml:space="preserve">  - Profit = Current Sale − Best Cost.</t>
        </is>
      </c>
    </row>
    <row r="227">
      <c r="A227" s="18" t="inlineStr">
        <is>
          <t xml:space="preserve">  - Suggested Sell = MAX(BestCost × 1.4, Noon × 0.95) rounded down to the next 9 (competitive but profitable).</t>
        </is>
      </c>
    </row>
    <row r="228">
      <c r="A228" s="18" t="inlineStr"/>
    </row>
    <row r="229">
      <c r="A229" s="17" t="inlineStr">
        <is>
          <t>WORKFLOW:</t>
        </is>
      </c>
    </row>
    <row r="230">
      <c r="A230" s="18" t="inlineStr">
        <is>
          <t xml:space="preserve">  1. Scroll to a TOP 50 row.</t>
        </is>
      </c>
    </row>
    <row r="231">
      <c r="A231" s="18" t="inlineStr">
        <is>
          <t xml:space="preserve">  2. Click each 🔗 in cols G-K (AliExpress, eBay, Amazon.sa, Noon, Jarir).</t>
        </is>
      </c>
    </row>
    <row r="232">
      <c r="A232" s="18" t="inlineStr">
        <is>
          <t xml:space="preserve">  3. Find the best price on each. Paste into yellow cell (cols Q-U).</t>
        </is>
      </c>
    </row>
    <row r="233">
      <c r="A233" s="18" t="inlineStr">
        <is>
          <t xml:space="preserve">  4. Watch cols V-AB recompute. Follow the 'Recommendation' column.</t>
        </is>
      </c>
    </row>
    <row r="234">
      <c r="A234" s="18" t="inlineStr"/>
    </row>
    <row r="235">
      <c r="A235" s="17" t="inlineStr">
        <is>
          <t>⚠️ DO NOT TRUST THE ESTIMATES WITHOUT VERIFICATION.</t>
        </is>
      </c>
    </row>
    <row r="236">
      <c r="A236" s="18" t="inlineStr">
        <is>
          <t>They're a starting point. Real prices change daily and often surprise you — sometimes cheaper, sometimes more expensive than my estimate.</t>
        </is>
      </c>
    </row>
  </sheetData>
  <conditionalFormatting sqref="Y2:Y211">
    <cfRule type="colorScale" priority="1">
      <colorScale>
        <cfvo type="num" val="0"/>
        <cfvo type="num" val="0.3"/>
        <cfvo type="num" val="1"/>
        <color rgb="00E8734A"/>
        <color rgb="00FFCC00"/>
        <color rgb="003FE88F"/>
      </colorScale>
    </cfRule>
  </conditionalFormatting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J2" r:id="rId4"/>
    <hyperlink xmlns:r="http://schemas.openxmlformats.org/officeDocument/2006/relationships" ref="K2" r:id="rId5"/>
    <hyperlink xmlns:r="http://schemas.openxmlformats.org/officeDocument/2006/relationships" ref="G3" r:id="rId6"/>
    <hyperlink xmlns:r="http://schemas.openxmlformats.org/officeDocument/2006/relationships" ref="H3" r:id="rId7"/>
    <hyperlink xmlns:r="http://schemas.openxmlformats.org/officeDocument/2006/relationships" ref="I3" r:id="rId8"/>
    <hyperlink xmlns:r="http://schemas.openxmlformats.org/officeDocument/2006/relationships" ref="J3" r:id="rId9"/>
    <hyperlink xmlns:r="http://schemas.openxmlformats.org/officeDocument/2006/relationships" ref="K3" r:id="rId10"/>
    <hyperlink xmlns:r="http://schemas.openxmlformats.org/officeDocument/2006/relationships" ref="G4" r:id="rId11"/>
    <hyperlink xmlns:r="http://schemas.openxmlformats.org/officeDocument/2006/relationships" ref="H4" r:id="rId12"/>
    <hyperlink xmlns:r="http://schemas.openxmlformats.org/officeDocument/2006/relationships" ref="I4" r:id="rId13"/>
    <hyperlink xmlns:r="http://schemas.openxmlformats.org/officeDocument/2006/relationships" ref="J4" r:id="rId14"/>
    <hyperlink xmlns:r="http://schemas.openxmlformats.org/officeDocument/2006/relationships" ref="K4" r:id="rId15"/>
    <hyperlink xmlns:r="http://schemas.openxmlformats.org/officeDocument/2006/relationships" ref="G5" r:id="rId16"/>
    <hyperlink xmlns:r="http://schemas.openxmlformats.org/officeDocument/2006/relationships" ref="H5" r:id="rId17"/>
    <hyperlink xmlns:r="http://schemas.openxmlformats.org/officeDocument/2006/relationships" ref="I5" r:id="rId18"/>
    <hyperlink xmlns:r="http://schemas.openxmlformats.org/officeDocument/2006/relationships" ref="J5" r:id="rId19"/>
    <hyperlink xmlns:r="http://schemas.openxmlformats.org/officeDocument/2006/relationships" ref="K5" r:id="rId20"/>
    <hyperlink xmlns:r="http://schemas.openxmlformats.org/officeDocument/2006/relationships" ref="G6" r:id="rId21"/>
    <hyperlink xmlns:r="http://schemas.openxmlformats.org/officeDocument/2006/relationships" ref="H6" r:id="rId22"/>
    <hyperlink xmlns:r="http://schemas.openxmlformats.org/officeDocument/2006/relationships" ref="I6" r:id="rId23"/>
    <hyperlink xmlns:r="http://schemas.openxmlformats.org/officeDocument/2006/relationships" ref="J6" r:id="rId24"/>
    <hyperlink xmlns:r="http://schemas.openxmlformats.org/officeDocument/2006/relationships" ref="K6" r:id="rId25"/>
    <hyperlink xmlns:r="http://schemas.openxmlformats.org/officeDocument/2006/relationships" ref="G7" r:id="rId26"/>
    <hyperlink xmlns:r="http://schemas.openxmlformats.org/officeDocument/2006/relationships" ref="H7" r:id="rId27"/>
    <hyperlink xmlns:r="http://schemas.openxmlformats.org/officeDocument/2006/relationships" ref="I7" r:id="rId28"/>
    <hyperlink xmlns:r="http://schemas.openxmlformats.org/officeDocument/2006/relationships" ref="J7" r:id="rId29"/>
    <hyperlink xmlns:r="http://schemas.openxmlformats.org/officeDocument/2006/relationships" ref="K7" r:id="rId30"/>
    <hyperlink xmlns:r="http://schemas.openxmlformats.org/officeDocument/2006/relationships" ref="G8" r:id="rId31"/>
    <hyperlink xmlns:r="http://schemas.openxmlformats.org/officeDocument/2006/relationships" ref="H8" r:id="rId32"/>
    <hyperlink xmlns:r="http://schemas.openxmlformats.org/officeDocument/2006/relationships" ref="I8" r:id="rId33"/>
    <hyperlink xmlns:r="http://schemas.openxmlformats.org/officeDocument/2006/relationships" ref="J8" r:id="rId34"/>
    <hyperlink xmlns:r="http://schemas.openxmlformats.org/officeDocument/2006/relationships" ref="K8" r:id="rId35"/>
    <hyperlink xmlns:r="http://schemas.openxmlformats.org/officeDocument/2006/relationships" ref="G9" r:id="rId36"/>
    <hyperlink xmlns:r="http://schemas.openxmlformats.org/officeDocument/2006/relationships" ref="H9" r:id="rId37"/>
    <hyperlink xmlns:r="http://schemas.openxmlformats.org/officeDocument/2006/relationships" ref="I9" r:id="rId38"/>
    <hyperlink xmlns:r="http://schemas.openxmlformats.org/officeDocument/2006/relationships" ref="J9" r:id="rId39"/>
    <hyperlink xmlns:r="http://schemas.openxmlformats.org/officeDocument/2006/relationships" ref="K9" r:id="rId40"/>
    <hyperlink xmlns:r="http://schemas.openxmlformats.org/officeDocument/2006/relationships" ref="G10" r:id="rId41"/>
    <hyperlink xmlns:r="http://schemas.openxmlformats.org/officeDocument/2006/relationships" ref="H10" r:id="rId42"/>
    <hyperlink xmlns:r="http://schemas.openxmlformats.org/officeDocument/2006/relationships" ref="I10" r:id="rId43"/>
    <hyperlink xmlns:r="http://schemas.openxmlformats.org/officeDocument/2006/relationships" ref="J10" r:id="rId44"/>
    <hyperlink xmlns:r="http://schemas.openxmlformats.org/officeDocument/2006/relationships" ref="K10" r:id="rId45"/>
    <hyperlink xmlns:r="http://schemas.openxmlformats.org/officeDocument/2006/relationships" ref="G11" r:id="rId46"/>
    <hyperlink xmlns:r="http://schemas.openxmlformats.org/officeDocument/2006/relationships" ref="H11" r:id="rId47"/>
    <hyperlink xmlns:r="http://schemas.openxmlformats.org/officeDocument/2006/relationships" ref="I11" r:id="rId48"/>
    <hyperlink xmlns:r="http://schemas.openxmlformats.org/officeDocument/2006/relationships" ref="J11" r:id="rId49"/>
    <hyperlink xmlns:r="http://schemas.openxmlformats.org/officeDocument/2006/relationships" ref="K11" r:id="rId50"/>
    <hyperlink xmlns:r="http://schemas.openxmlformats.org/officeDocument/2006/relationships" ref="G12" r:id="rId51"/>
    <hyperlink xmlns:r="http://schemas.openxmlformats.org/officeDocument/2006/relationships" ref="H12" r:id="rId52"/>
    <hyperlink xmlns:r="http://schemas.openxmlformats.org/officeDocument/2006/relationships" ref="I12" r:id="rId53"/>
    <hyperlink xmlns:r="http://schemas.openxmlformats.org/officeDocument/2006/relationships" ref="J12" r:id="rId54"/>
    <hyperlink xmlns:r="http://schemas.openxmlformats.org/officeDocument/2006/relationships" ref="K12" r:id="rId55"/>
    <hyperlink xmlns:r="http://schemas.openxmlformats.org/officeDocument/2006/relationships" ref="G13" r:id="rId56"/>
    <hyperlink xmlns:r="http://schemas.openxmlformats.org/officeDocument/2006/relationships" ref="H13" r:id="rId57"/>
    <hyperlink xmlns:r="http://schemas.openxmlformats.org/officeDocument/2006/relationships" ref="I13" r:id="rId58"/>
    <hyperlink xmlns:r="http://schemas.openxmlformats.org/officeDocument/2006/relationships" ref="J13" r:id="rId59"/>
    <hyperlink xmlns:r="http://schemas.openxmlformats.org/officeDocument/2006/relationships" ref="K13" r:id="rId60"/>
    <hyperlink xmlns:r="http://schemas.openxmlformats.org/officeDocument/2006/relationships" ref="G14" r:id="rId61"/>
    <hyperlink xmlns:r="http://schemas.openxmlformats.org/officeDocument/2006/relationships" ref="H14" r:id="rId62"/>
    <hyperlink xmlns:r="http://schemas.openxmlformats.org/officeDocument/2006/relationships" ref="I14" r:id="rId63"/>
    <hyperlink xmlns:r="http://schemas.openxmlformats.org/officeDocument/2006/relationships" ref="J14" r:id="rId64"/>
    <hyperlink xmlns:r="http://schemas.openxmlformats.org/officeDocument/2006/relationships" ref="K14" r:id="rId65"/>
    <hyperlink xmlns:r="http://schemas.openxmlformats.org/officeDocument/2006/relationships" ref="G15" r:id="rId66"/>
    <hyperlink xmlns:r="http://schemas.openxmlformats.org/officeDocument/2006/relationships" ref="H15" r:id="rId67"/>
    <hyperlink xmlns:r="http://schemas.openxmlformats.org/officeDocument/2006/relationships" ref="I15" r:id="rId68"/>
    <hyperlink xmlns:r="http://schemas.openxmlformats.org/officeDocument/2006/relationships" ref="J15" r:id="rId69"/>
    <hyperlink xmlns:r="http://schemas.openxmlformats.org/officeDocument/2006/relationships" ref="K15" r:id="rId70"/>
    <hyperlink xmlns:r="http://schemas.openxmlformats.org/officeDocument/2006/relationships" ref="G16" r:id="rId71"/>
    <hyperlink xmlns:r="http://schemas.openxmlformats.org/officeDocument/2006/relationships" ref="H16" r:id="rId72"/>
    <hyperlink xmlns:r="http://schemas.openxmlformats.org/officeDocument/2006/relationships" ref="I16" r:id="rId73"/>
    <hyperlink xmlns:r="http://schemas.openxmlformats.org/officeDocument/2006/relationships" ref="J16" r:id="rId74"/>
    <hyperlink xmlns:r="http://schemas.openxmlformats.org/officeDocument/2006/relationships" ref="K16" r:id="rId75"/>
    <hyperlink xmlns:r="http://schemas.openxmlformats.org/officeDocument/2006/relationships" ref="G17" r:id="rId76"/>
    <hyperlink xmlns:r="http://schemas.openxmlformats.org/officeDocument/2006/relationships" ref="H17" r:id="rId77"/>
    <hyperlink xmlns:r="http://schemas.openxmlformats.org/officeDocument/2006/relationships" ref="I17" r:id="rId78"/>
    <hyperlink xmlns:r="http://schemas.openxmlformats.org/officeDocument/2006/relationships" ref="J17" r:id="rId79"/>
    <hyperlink xmlns:r="http://schemas.openxmlformats.org/officeDocument/2006/relationships" ref="K17" r:id="rId80"/>
    <hyperlink xmlns:r="http://schemas.openxmlformats.org/officeDocument/2006/relationships" ref="G18" r:id="rId81"/>
    <hyperlink xmlns:r="http://schemas.openxmlformats.org/officeDocument/2006/relationships" ref="H18" r:id="rId82"/>
    <hyperlink xmlns:r="http://schemas.openxmlformats.org/officeDocument/2006/relationships" ref="I18" r:id="rId83"/>
    <hyperlink xmlns:r="http://schemas.openxmlformats.org/officeDocument/2006/relationships" ref="J18" r:id="rId84"/>
    <hyperlink xmlns:r="http://schemas.openxmlformats.org/officeDocument/2006/relationships" ref="K18" r:id="rId85"/>
    <hyperlink xmlns:r="http://schemas.openxmlformats.org/officeDocument/2006/relationships" ref="G19" r:id="rId86"/>
    <hyperlink xmlns:r="http://schemas.openxmlformats.org/officeDocument/2006/relationships" ref="H19" r:id="rId87"/>
    <hyperlink xmlns:r="http://schemas.openxmlformats.org/officeDocument/2006/relationships" ref="I19" r:id="rId88"/>
    <hyperlink xmlns:r="http://schemas.openxmlformats.org/officeDocument/2006/relationships" ref="J19" r:id="rId89"/>
    <hyperlink xmlns:r="http://schemas.openxmlformats.org/officeDocument/2006/relationships" ref="K19" r:id="rId90"/>
    <hyperlink xmlns:r="http://schemas.openxmlformats.org/officeDocument/2006/relationships" ref="G20" r:id="rId91"/>
    <hyperlink xmlns:r="http://schemas.openxmlformats.org/officeDocument/2006/relationships" ref="H20" r:id="rId92"/>
    <hyperlink xmlns:r="http://schemas.openxmlformats.org/officeDocument/2006/relationships" ref="I20" r:id="rId93"/>
    <hyperlink xmlns:r="http://schemas.openxmlformats.org/officeDocument/2006/relationships" ref="J20" r:id="rId94"/>
    <hyperlink xmlns:r="http://schemas.openxmlformats.org/officeDocument/2006/relationships" ref="K20" r:id="rId95"/>
    <hyperlink xmlns:r="http://schemas.openxmlformats.org/officeDocument/2006/relationships" ref="G21" r:id="rId96"/>
    <hyperlink xmlns:r="http://schemas.openxmlformats.org/officeDocument/2006/relationships" ref="H21" r:id="rId97"/>
    <hyperlink xmlns:r="http://schemas.openxmlformats.org/officeDocument/2006/relationships" ref="I21" r:id="rId98"/>
    <hyperlink xmlns:r="http://schemas.openxmlformats.org/officeDocument/2006/relationships" ref="J21" r:id="rId99"/>
    <hyperlink xmlns:r="http://schemas.openxmlformats.org/officeDocument/2006/relationships" ref="K21" r:id="rId100"/>
    <hyperlink xmlns:r="http://schemas.openxmlformats.org/officeDocument/2006/relationships" ref="G22" r:id="rId101"/>
    <hyperlink xmlns:r="http://schemas.openxmlformats.org/officeDocument/2006/relationships" ref="H22" r:id="rId102"/>
    <hyperlink xmlns:r="http://schemas.openxmlformats.org/officeDocument/2006/relationships" ref="I22" r:id="rId103"/>
    <hyperlink xmlns:r="http://schemas.openxmlformats.org/officeDocument/2006/relationships" ref="J22" r:id="rId104"/>
    <hyperlink xmlns:r="http://schemas.openxmlformats.org/officeDocument/2006/relationships" ref="K22" r:id="rId105"/>
    <hyperlink xmlns:r="http://schemas.openxmlformats.org/officeDocument/2006/relationships" ref="G23" r:id="rId106"/>
    <hyperlink xmlns:r="http://schemas.openxmlformats.org/officeDocument/2006/relationships" ref="H23" r:id="rId107"/>
    <hyperlink xmlns:r="http://schemas.openxmlformats.org/officeDocument/2006/relationships" ref="I23" r:id="rId108"/>
    <hyperlink xmlns:r="http://schemas.openxmlformats.org/officeDocument/2006/relationships" ref="J23" r:id="rId109"/>
    <hyperlink xmlns:r="http://schemas.openxmlformats.org/officeDocument/2006/relationships" ref="K23" r:id="rId110"/>
    <hyperlink xmlns:r="http://schemas.openxmlformats.org/officeDocument/2006/relationships" ref="G24" r:id="rId111"/>
    <hyperlink xmlns:r="http://schemas.openxmlformats.org/officeDocument/2006/relationships" ref="H24" r:id="rId112"/>
    <hyperlink xmlns:r="http://schemas.openxmlformats.org/officeDocument/2006/relationships" ref="I24" r:id="rId113"/>
    <hyperlink xmlns:r="http://schemas.openxmlformats.org/officeDocument/2006/relationships" ref="J24" r:id="rId114"/>
    <hyperlink xmlns:r="http://schemas.openxmlformats.org/officeDocument/2006/relationships" ref="K24" r:id="rId115"/>
    <hyperlink xmlns:r="http://schemas.openxmlformats.org/officeDocument/2006/relationships" ref="G25" r:id="rId116"/>
    <hyperlink xmlns:r="http://schemas.openxmlformats.org/officeDocument/2006/relationships" ref="H25" r:id="rId117"/>
    <hyperlink xmlns:r="http://schemas.openxmlformats.org/officeDocument/2006/relationships" ref="I25" r:id="rId118"/>
    <hyperlink xmlns:r="http://schemas.openxmlformats.org/officeDocument/2006/relationships" ref="J25" r:id="rId119"/>
    <hyperlink xmlns:r="http://schemas.openxmlformats.org/officeDocument/2006/relationships" ref="K25" r:id="rId120"/>
    <hyperlink xmlns:r="http://schemas.openxmlformats.org/officeDocument/2006/relationships" ref="G26" r:id="rId121"/>
    <hyperlink xmlns:r="http://schemas.openxmlformats.org/officeDocument/2006/relationships" ref="H26" r:id="rId122"/>
    <hyperlink xmlns:r="http://schemas.openxmlformats.org/officeDocument/2006/relationships" ref="I26" r:id="rId123"/>
    <hyperlink xmlns:r="http://schemas.openxmlformats.org/officeDocument/2006/relationships" ref="J26" r:id="rId124"/>
    <hyperlink xmlns:r="http://schemas.openxmlformats.org/officeDocument/2006/relationships" ref="K26" r:id="rId125"/>
    <hyperlink xmlns:r="http://schemas.openxmlformats.org/officeDocument/2006/relationships" ref="G27" r:id="rId126"/>
    <hyperlink xmlns:r="http://schemas.openxmlformats.org/officeDocument/2006/relationships" ref="H27" r:id="rId127"/>
    <hyperlink xmlns:r="http://schemas.openxmlformats.org/officeDocument/2006/relationships" ref="I27" r:id="rId128"/>
    <hyperlink xmlns:r="http://schemas.openxmlformats.org/officeDocument/2006/relationships" ref="J27" r:id="rId129"/>
    <hyperlink xmlns:r="http://schemas.openxmlformats.org/officeDocument/2006/relationships" ref="K27" r:id="rId130"/>
    <hyperlink xmlns:r="http://schemas.openxmlformats.org/officeDocument/2006/relationships" ref="G28" r:id="rId131"/>
    <hyperlink xmlns:r="http://schemas.openxmlformats.org/officeDocument/2006/relationships" ref="H28" r:id="rId132"/>
    <hyperlink xmlns:r="http://schemas.openxmlformats.org/officeDocument/2006/relationships" ref="I28" r:id="rId133"/>
    <hyperlink xmlns:r="http://schemas.openxmlformats.org/officeDocument/2006/relationships" ref="J28" r:id="rId134"/>
    <hyperlink xmlns:r="http://schemas.openxmlformats.org/officeDocument/2006/relationships" ref="K28" r:id="rId135"/>
    <hyperlink xmlns:r="http://schemas.openxmlformats.org/officeDocument/2006/relationships" ref="G29" r:id="rId136"/>
    <hyperlink xmlns:r="http://schemas.openxmlformats.org/officeDocument/2006/relationships" ref="H29" r:id="rId137"/>
    <hyperlink xmlns:r="http://schemas.openxmlformats.org/officeDocument/2006/relationships" ref="I29" r:id="rId138"/>
    <hyperlink xmlns:r="http://schemas.openxmlformats.org/officeDocument/2006/relationships" ref="J29" r:id="rId139"/>
    <hyperlink xmlns:r="http://schemas.openxmlformats.org/officeDocument/2006/relationships" ref="K29" r:id="rId140"/>
    <hyperlink xmlns:r="http://schemas.openxmlformats.org/officeDocument/2006/relationships" ref="G30" r:id="rId141"/>
    <hyperlink xmlns:r="http://schemas.openxmlformats.org/officeDocument/2006/relationships" ref="H30" r:id="rId142"/>
    <hyperlink xmlns:r="http://schemas.openxmlformats.org/officeDocument/2006/relationships" ref="I30" r:id="rId143"/>
    <hyperlink xmlns:r="http://schemas.openxmlformats.org/officeDocument/2006/relationships" ref="J30" r:id="rId144"/>
    <hyperlink xmlns:r="http://schemas.openxmlformats.org/officeDocument/2006/relationships" ref="K30" r:id="rId145"/>
    <hyperlink xmlns:r="http://schemas.openxmlformats.org/officeDocument/2006/relationships" ref="G31" r:id="rId146"/>
    <hyperlink xmlns:r="http://schemas.openxmlformats.org/officeDocument/2006/relationships" ref="H31" r:id="rId147"/>
    <hyperlink xmlns:r="http://schemas.openxmlformats.org/officeDocument/2006/relationships" ref="I31" r:id="rId148"/>
    <hyperlink xmlns:r="http://schemas.openxmlformats.org/officeDocument/2006/relationships" ref="J31" r:id="rId149"/>
    <hyperlink xmlns:r="http://schemas.openxmlformats.org/officeDocument/2006/relationships" ref="K31" r:id="rId150"/>
    <hyperlink xmlns:r="http://schemas.openxmlformats.org/officeDocument/2006/relationships" ref="G32" r:id="rId151"/>
    <hyperlink xmlns:r="http://schemas.openxmlformats.org/officeDocument/2006/relationships" ref="H32" r:id="rId152"/>
    <hyperlink xmlns:r="http://schemas.openxmlformats.org/officeDocument/2006/relationships" ref="I32" r:id="rId153"/>
    <hyperlink xmlns:r="http://schemas.openxmlformats.org/officeDocument/2006/relationships" ref="J32" r:id="rId154"/>
    <hyperlink xmlns:r="http://schemas.openxmlformats.org/officeDocument/2006/relationships" ref="K32" r:id="rId155"/>
    <hyperlink xmlns:r="http://schemas.openxmlformats.org/officeDocument/2006/relationships" ref="G33" r:id="rId156"/>
    <hyperlink xmlns:r="http://schemas.openxmlformats.org/officeDocument/2006/relationships" ref="H33" r:id="rId157"/>
    <hyperlink xmlns:r="http://schemas.openxmlformats.org/officeDocument/2006/relationships" ref="I33" r:id="rId158"/>
    <hyperlink xmlns:r="http://schemas.openxmlformats.org/officeDocument/2006/relationships" ref="J33" r:id="rId159"/>
    <hyperlink xmlns:r="http://schemas.openxmlformats.org/officeDocument/2006/relationships" ref="K33" r:id="rId160"/>
    <hyperlink xmlns:r="http://schemas.openxmlformats.org/officeDocument/2006/relationships" ref="G34" r:id="rId161"/>
    <hyperlink xmlns:r="http://schemas.openxmlformats.org/officeDocument/2006/relationships" ref="H34" r:id="rId162"/>
    <hyperlink xmlns:r="http://schemas.openxmlformats.org/officeDocument/2006/relationships" ref="I34" r:id="rId163"/>
    <hyperlink xmlns:r="http://schemas.openxmlformats.org/officeDocument/2006/relationships" ref="J34" r:id="rId164"/>
    <hyperlink xmlns:r="http://schemas.openxmlformats.org/officeDocument/2006/relationships" ref="K34" r:id="rId165"/>
    <hyperlink xmlns:r="http://schemas.openxmlformats.org/officeDocument/2006/relationships" ref="G35" r:id="rId166"/>
    <hyperlink xmlns:r="http://schemas.openxmlformats.org/officeDocument/2006/relationships" ref="H35" r:id="rId167"/>
    <hyperlink xmlns:r="http://schemas.openxmlformats.org/officeDocument/2006/relationships" ref="I35" r:id="rId168"/>
    <hyperlink xmlns:r="http://schemas.openxmlformats.org/officeDocument/2006/relationships" ref="J35" r:id="rId169"/>
    <hyperlink xmlns:r="http://schemas.openxmlformats.org/officeDocument/2006/relationships" ref="K35" r:id="rId170"/>
    <hyperlink xmlns:r="http://schemas.openxmlformats.org/officeDocument/2006/relationships" ref="G36" r:id="rId171"/>
    <hyperlink xmlns:r="http://schemas.openxmlformats.org/officeDocument/2006/relationships" ref="H36" r:id="rId172"/>
    <hyperlink xmlns:r="http://schemas.openxmlformats.org/officeDocument/2006/relationships" ref="I36" r:id="rId173"/>
    <hyperlink xmlns:r="http://schemas.openxmlformats.org/officeDocument/2006/relationships" ref="J36" r:id="rId174"/>
    <hyperlink xmlns:r="http://schemas.openxmlformats.org/officeDocument/2006/relationships" ref="K36" r:id="rId175"/>
    <hyperlink xmlns:r="http://schemas.openxmlformats.org/officeDocument/2006/relationships" ref="G37" r:id="rId176"/>
    <hyperlink xmlns:r="http://schemas.openxmlformats.org/officeDocument/2006/relationships" ref="H37" r:id="rId177"/>
    <hyperlink xmlns:r="http://schemas.openxmlformats.org/officeDocument/2006/relationships" ref="I37" r:id="rId178"/>
    <hyperlink xmlns:r="http://schemas.openxmlformats.org/officeDocument/2006/relationships" ref="J37" r:id="rId179"/>
    <hyperlink xmlns:r="http://schemas.openxmlformats.org/officeDocument/2006/relationships" ref="K37" r:id="rId180"/>
    <hyperlink xmlns:r="http://schemas.openxmlformats.org/officeDocument/2006/relationships" ref="G38" r:id="rId181"/>
    <hyperlink xmlns:r="http://schemas.openxmlformats.org/officeDocument/2006/relationships" ref="H38" r:id="rId182"/>
    <hyperlink xmlns:r="http://schemas.openxmlformats.org/officeDocument/2006/relationships" ref="I38" r:id="rId183"/>
    <hyperlink xmlns:r="http://schemas.openxmlformats.org/officeDocument/2006/relationships" ref="J38" r:id="rId184"/>
    <hyperlink xmlns:r="http://schemas.openxmlformats.org/officeDocument/2006/relationships" ref="K38" r:id="rId185"/>
    <hyperlink xmlns:r="http://schemas.openxmlformats.org/officeDocument/2006/relationships" ref="G39" r:id="rId186"/>
    <hyperlink xmlns:r="http://schemas.openxmlformats.org/officeDocument/2006/relationships" ref="H39" r:id="rId187"/>
    <hyperlink xmlns:r="http://schemas.openxmlformats.org/officeDocument/2006/relationships" ref="I39" r:id="rId188"/>
    <hyperlink xmlns:r="http://schemas.openxmlformats.org/officeDocument/2006/relationships" ref="J39" r:id="rId189"/>
    <hyperlink xmlns:r="http://schemas.openxmlformats.org/officeDocument/2006/relationships" ref="K39" r:id="rId190"/>
    <hyperlink xmlns:r="http://schemas.openxmlformats.org/officeDocument/2006/relationships" ref="G40" r:id="rId191"/>
    <hyperlink xmlns:r="http://schemas.openxmlformats.org/officeDocument/2006/relationships" ref="H40" r:id="rId192"/>
    <hyperlink xmlns:r="http://schemas.openxmlformats.org/officeDocument/2006/relationships" ref="I40" r:id="rId193"/>
    <hyperlink xmlns:r="http://schemas.openxmlformats.org/officeDocument/2006/relationships" ref="J40" r:id="rId194"/>
    <hyperlink xmlns:r="http://schemas.openxmlformats.org/officeDocument/2006/relationships" ref="K40" r:id="rId195"/>
    <hyperlink xmlns:r="http://schemas.openxmlformats.org/officeDocument/2006/relationships" ref="G41" r:id="rId196"/>
    <hyperlink xmlns:r="http://schemas.openxmlformats.org/officeDocument/2006/relationships" ref="H41" r:id="rId197"/>
    <hyperlink xmlns:r="http://schemas.openxmlformats.org/officeDocument/2006/relationships" ref="I41" r:id="rId198"/>
    <hyperlink xmlns:r="http://schemas.openxmlformats.org/officeDocument/2006/relationships" ref="J41" r:id="rId199"/>
    <hyperlink xmlns:r="http://schemas.openxmlformats.org/officeDocument/2006/relationships" ref="K41" r:id="rId200"/>
    <hyperlink xmlns:r="http://schemas.openxmlformats.org/officeDocument/2006/relationships" ref="G42" r:id="rId201"/>
    <hyperlink xmlns:r="http://schemas.openxmlformats.org/officeDocument/2006/relationships" ref="H42" r:id="rId202"/>
    <hyperlink xmlns:r="http://schemas.openxmlformats.org/officeDocument/2006/relationships" ref="I42" r:id="rId203"/>
    <hyperlink xmlns:r="http://schemas.openxmlformats.org/officeDocument/2006/relationships" ref="J42" r:id="rId204"/>
    <hyperlink xmlns:r="http://schemas.openxmlformats.org/officeDocument/2006/relationships" ref="K42" r:id="rId205"/>
    <hyperlink xmlns:r="http://schemas.openxmlformats.org/officeDocument/2006/relationships" ref="G43" r:id="rId206"/>
    <hyperlink xmlns:r="http://schemas.openxmlformats.org/officeDocument/2006/relationships" ref="H43" r:id="rId207"/>
    <hyperlink xmlns:r="http://schemas.openxmlformats.org/officeDocument/2006/relationships" ref="I43" r:id="rId208"/>
    <hyperlink xmlns:r="http://schemas.openxmlformats.org/officeDocument/2006/relationships" ref="J43" r:id="rId209"/>
    <hyperlink xmlns:r="http://schemas.openxmlformats.org/officeDocument/2006/relationships" ref="K43" r:id="rId210"/>
    <hyperlink xmlns:r="http://schemas.openxmlformats.org/officeDocument/2006/relationships" ref="G44" r:id="rId211"/>
    <hyperlink xmlns:r="http://schemas.openxmlformats.org/officeDocument/2006/relationships" ref="H44" r:id="rId212"/>
    <hyperlink xmlns:r="http://schemas.openxmlformats.org/officeDocument/2006/relationships" ref="I44" r:id="rId213"/>
    <hyperlink xmlns:r="http://schemas.openxmlformats.org/officeDocument/2006/relationships" ref="J44" r:id="rId214"/>
    <hyperlink xmlns:r="http://schemas.openxmlformats.org/officeDocument/2006/relationships" ref="K44" r:id="rId215"/>
    <hyperlink xmlns:r="http://schemas.openxmlformats.org/officeDocument/2006/relationships" ref="G45" r:id="rId216"/>
    <hyperlink xmlns:r="http://schemas.openxmlformats.org/officeDocument/2006/relationships" ref="H45" r:id="rId217"/>
    <hyperlink xmlns:r="http://schemas.openxmlformats.org/officeDocument/2006/relationships" ref="I45" r:id="rId218"/>
    <hyperlink xmlns:r="http://schemas.openxmlformats.org/officeDocument/2006/relationships" ref="J45" r:id="rId219"/>
    <hyperlink xmlns:r="http://schemas.openxmlformats.org/officeDocument/2006/relationships" ref="K45" r:id="rId220"/>
    <hyperlink xmlns:r="http://schemas.openxmlformats.org/officeDocument/2006/relationships" ref="G46" r:id="rId221"/>
    <hyperlink xmlns:r="http://schemas.openxmlformats.org/officeDocument/2006/relationships" ref="H46" r:id="rId222"/>
    <hyperlink xmlns:r="http://schemas.openxmlformats.org/officeDocument/2006/relationships" ref="I46" r:id="rId223"/>
    <hyperlink xmlns:r="http://schemas.openxmlformats.org/officeDocument/2006/relationships" ref="J46" r:id="rId224"/>
    <hyperlink xmlns:r="http://schemas.openxmlformats.org/officeDocument/2006/relationships" ref="K46" r:id="rId225"/>
    <hyperlink xmlns:r="http://schemas.openxmlformats.org/officeDocument/2006/relationships" ref="G47" r:id="rId226"/>
    <hyperlink xmlns:r="http://schemas.openxmlformats.org/officeDocument/2006/relationships" ref="H47" r:id="rId227"/>
    <hyperlink xmlns:r="http://schemas.openxmlformats.org/officeDocument/2006/relationships" ref="I47" r:id="rId228"/>
    <hyperlink xmlns:r="http://schemas.openxmlformats.org/officeDocument/2006/relationships" ref="J47" r:id="rId229"/>
    <hyperlink xmlns:r="http://schemas.openxmlformats.org/officeDocument/2006/relationships" ref="K47" r:id="rId230"/>
    <hyperlink xmlns:r="http://schemas.openxmlformats.org/officeDocument/2006/relationships" ref="G48" r:id="rId231"/>
    <hyperlink xmlns:r="http://schemas.openxmlformats.org/officeDocument/2006/relationships" ref="H48" r:id="rId232"/>
    <hyperlink xmlns:r="http://schemas.openxmlformats.org/officeDocument/2006/relationships" ref="I48" r:id="rId233"/>
    <hyperlink xmlns:r="http://schemas.openxmlformats.org/officeDocument/2006/relationships" ref="J48" r:id="rId234"/>
    <hyperlink xmlns:r="http://schemas.openxmlformats.org/officeDocument/2006/relationships" ref="K48" r:id="rId235"/>
    <hyperlink xmlns:r="http://schemas.openxmlformats.org/officeDocument/2006/relationships" ref="G49" r:id="rId236"/>
    <hyperlink xmlns:r="http://schemas.openxmlformats.org/officeDocument/2006/relationships" ref="H49" r:id="rId237"/>
    <hyperlink xmlns:r="http://schemas.openxmlformats.org/officeDocument/2006/relationships" ref="I49" r:id="rId238"/>
    <hyperlink xmlns:r="http://schemas.openxmlformats.org/officeDocument/2006/relationships" ref="J49" r:id="rId239"/>
    <hyperlink xmlns:r="http://schemas.openxmlformats.org/officeDocument/2006/relationships" ref="K49" r:id="rId240"/>
    <hyperlink xmlns:r="http://schemas.openxmlformats.org/officeDocument/2006/relationships" ref="G50" r:id="rId241"/>
    <hyperlink xmlns:r="http://schemas.openxmlformats.org/officeDocument/2006/relationships" ref="H50" r:id="rId242"/>
    <hyperlink xmlns:r="http://schemas.openxmlformats.org/officeDocument/2006/relationships" ref="I50" r:id="rId243"/>
    <hyperlink xmlns:r="http://schemas.openxmlformats.org/officeDocument/2006/relationships" ref="J50" r:id="rId244"/>
    <hyperlink xmlns:r="http://schemas.openxmlformats.org/officeDocument/2006/relationships" ref="K50" r:id="rId245"/>
    <hyperlink xmlns:r="http://schemas.openxmlformats.org/officeDocument/2006/relationships" ref="G51" r:id="rId246"/>
    <hyperlink xmlns:r="http://schemas.openxmlformats.org/officeDocument/2006/relationships" ref="H51" r:id="rId247"/>
    <hyperlink xmlns:r="http://schemas.openxmlformats.org/officeDocument/2006/relationships" ref="I51" r:id="rId248"/>
    <hyperlink xmlns:r="http://schemas.openxmlformats.org/officeDocument/2006/relationships" ref="J51" r:id="rId249"/>
    <hyperlink xmlns:r="http://schemas.openxmlformats.org/officeDocument/2006/relationships" ref="K51" r:id="rId250"/>
    <hyperlink xmlns:r="http://schemas.openxmlformats.org/officeDocument/2006/relationships" ref="G52" r:id="rId251"/>
    <hyperlink xmlns:r="http://schemas.openxmlformats.org/officeDocument/2006/relationships" ref="H52" r:id="rId252"/>
    <hyperlink xmlns:r="http://schemas.openxmlformats.org/officeDocument/2006/relationships" ref="I52" r:id="rId253"/>
    <hyperlink xmlns:r="http://schemas.openxmlformats.org/officeDocument/2006/relationships" ref="J52" r:id="rId254"/>
    <hyperlink xmlns:r="http://schemas.openxmlformats.org/officeDocument/2006/relationships" ref="K52" r:id="rId255"/>
    <hyperlink xmlns:r="http://schemas.openxmlformats.org/officeDocument/2006/relationships" ref="G53" r:id="rId256"/>
    <hyperlink xmlns:r="http://schemas.openxmlformats.org/officeDocument/2006/relationships" ref="H53" r:id="rId257"/>
    <hyperlink xmlns:r="http://schemas.openxmlformats.org/officeDocument/2006/relationships" ref="I53" r:id="rId258"/>
    <hyperlink xmlns:r="http://schemas.openxmlformats.org/officeDocument/2006/relationships" ref="J53" r:id="rId259"/>
    <hyperlink xmlns:r="http://schemas.openxmlformats.org/officeDocument/2006/relationships" ref="K53" r:id="rId260"/>
    <hyperlink xmlns:r="http://schemas.openxmlformats.org/officeDocument/2006/relationships" ref="G54" r:id="rId261"/>
    <hyperlink xmlns:r="http://schemas.openxmlformats.org/officeDocument/2006/relationships" ref="H54" r:id="rId262"/>
    <hyperlink xmlns:r="http://schemas.openxmlformats.org/officeDocument/2006/relationships" ref="I54" r:id="rId263"/>
    <hyperlink xmlns:r="http://schemas.openxmlformats.org/officeDocument/2006/relationships" ref="J54" r:id="rId264"/>
    <hyperlink xmlns:r="http://schemas.openxmlformats.org/officeDocument/2006/relationships" ref="K54" r:id="rId265"/>
    <hyperlink xmlns:r="http://schemas.openxmlformats.org/officeDocument/2006/relationships" ref="G55" r:id="rId266"/>
    <hyperlink xmlns:r="http://schemas.openxmlformats.org/officeDocument/2006/relationships" ref="H55" r:id="rId267"/>
    <hyperlink xmlns:r="http://schemas.openxmlformats.org/officeDocument/2006/relationships" ref="I55" r:id="rId268"/>
    <hyperlink xmlns:r="http://schemas.openxmlformats.org/officeDocument/2006/relationships" ref="J55" r:id="rId269"/>
    <hyperlink xmlns:r="http://schemas.openxmlformats.org/officeDocument/2006/relationships" ref="K55" r:id="rId270"/>
    <hyperlink xmlns:r="http://schemas.openxmlformats.org/officeDocument/2006/relationships" ref="G56" r:id="rId271"/>
    <hyperlink xmlns:r="http://schemas.openxmlformats.org/officeDocument/2006/relationships" ref="H56" r:id="rId272"/>
    <hyperlink xmlns:r="http://schemas.openxmlformats.org/officeDocument/2006/relationships" ref="I56" r:id="rId273"/>
    <hyperlink xmlns:r="http://schemas.openxmlformats.org/officeDocument/2006/relationships" ref="J56" r:id="rId274"/>
    <hyperlink xmlns:r="http://schemas.openxmlformats.org/officeDocument/2006/relationships" ref="K56" r:id="rId275"/>
    <hyperlink xmlns:r="http://schemas.openxmlformats.org/officeDocument/2006/relationships" ref="G57" r:id="rId276"/>
    <hyperlink xmlns:r="http://schemas.openxmlformats.org/officeDocument/2006/relationships" ref="H57" r:id="rId277"/>
    <hyperlink xmlns:r="http://schemas.openxmlformats.org/officeDocument/2006/relationships" ref="I57" r:id="rId278"/>
    <hyperlink xmlns:r="http://schemas.openxmlformats.org/officeDocument/2006/relationships" ref="J57" r:id="rId279"/>
    <hyperlink xmlns:r="http://schemas.openxmlformats.org/officeDocument/2006/relationships" ref="K57" r:id="rId280"/>
    <hyperlink xmlns:r="http://schemas.openxmlformats.org/officeDocument/2006/relationships" ref="G58" r:id="rId281"/>
    <hyperlink xmlns:r="http://schemas.openxmlformats.org/officeDocument/2006/relationships" ref="H58" r:id="rId282"/>
    <hyperlink xmlns:r="http://schemas.openxmlformats.org/officeDocument/2006/relationships" ref="I58" r:id="rId283"/>
    <hyperlink xmlns:r="http://schemas.openxmlformats.org/officeDocument/2006/relationships" ref="J58" r:id="rId284"/>
    <hyperlink xmlns:r="http://schemas.openxmlformats.org/officeDocument/2006/relationships" ref="K58" r:id="rId285"/>
    <hyperlink xmlns:r="http://schemas.openxmlformats.org/officeDocument/2006/relationships" ref="G59" r:id="rId286"/>
    <hyperlink xmlns:r="http://schemas.openxmlformats.org/officeDocument/2006/relationships" ref="H59" r:id="rId287"/>
    <hyperlink xmlns:r="http://schemas.openxmlformats.org/officeDocument/2006/relationships" ref="I59" r:id="rId288"/>
    <hyperlink xmlns:r="http://schemas.openxmlformats.org/officeDocument/2006/relationships" ref="J59" r:id="rId289"/>
    <hyperlink xmlns:r="http://schemas.openxmlformats.org/officeDocument/2006/relationships" ref="K59" r:id="rId290"/>
    <hyperlink xmlns:r="http://schemas.openxmlformats.org/officeDocument/2006/relationships" ref="G60" r:id="rId291"/>
    <hyperlink xmlns:r="http://schemas.openxmlformats.org/officeDocument/2006/relationships" ref="H60" r:id="rId292"/>
    <hyperlink xmlns:r="http://schemas.openxmlformats.org/officeDocument/2006/relationships" ref="I60" r:id="rId293"/>
    <hyperlink xmlns:r="http://schemas.openxmlformats.org/officeDocument/2006/relationships" ref="J60" r:id="rId294"/>
    <hyperlink xmlns:r="http://schemas.openxmlformats.org/officeDocument/2006/relationships" ref="K60" r:id="rId295"/>
    <hyperlink xmlns:r="http://schemas.openxmlformats.org/officeDocument/2006/relationships" ref="G61" r:id="rId296"/>
    <hyperlink xmlns:r="http://schemas.openxmlformats.org/officeDocument/2006/relationships" ref="H61" r:id="rId297"/>
    <hyperlink xmlns:r="http://schemas.openxmlformats.org/officeDocument/2006/relationships" ref="I61" r:id="rId298"/>
    <hyperlink xmlns:r="http://schemas.openxmlformats.org/officeDocument/2006/relationships" ref="J61" r:id="rId299"/>
    <hyperlink xmlns:r="http://schemas.openxmlformats.org/officeDocument/2006/relationships" ref="K61" r:id="rId300"/>
    <hyperlink xmlns:r="http://schemas.openxmlformats.org/officeDocument/2006/relationships" ref="G62" r:id="rId301"/>
    <hyperlink xmlns:r="http://schemas.openxmlformats.org/officeDocument/2006/relationships" ref="H62" r:id="rId302"/>
    <hyperlink xmlns:r="http://schemas.openxmlformats.org/officeDocument/2006/relationships" ref="I62" r:id="rId303"/>
    <hyperlink xmlns:r="http://schemas.openxmlformats.org/officeDocument/2006/relationships" ref="J62" r:id="rId304"/>
    <hyperlink xmlns:r="http://schemas.openxmlformats.org/officeDocument/2006/relationships" ref="K62" r:id="rId305"/>
    <hyperlink xmlns:r="http://schemas.openxmlformats.org/officeDocument/2006/relationships" ref="G63" r:id="rId306"/>
    <hyperlink xmlns:r="http://schemas.openxmlformats.org/officeDocument/2006/relationships" ref="H63" r:id="rId307"/>
    <hyperlink xmlns:r="http://schemas.openxmlformats.org/officeDocument/2006/relationships" ref="I63" r:id="rId308"/>
    <hyperlink xmlns:r="http://schemas.openxmlformats.org/officeDocument/2006/relationships" ref="J63" r:id="rId309"/>
    <hyperlink xmlns:r="http://schemas.openxmlformats.org/officeDocument/2006/relationships" ref="K63" r:id="rId310"/>
    <hyperlink xmlns:r="http://schemas.openxmlformats.org/officeDocument/2006/relationships" ref="G64" r:id="rId311"/>
    <hyperlink xmlns:r="http://schemas.openxmlformats.org/officeDocument/2006/relationships" ref="H64" r:id="rId312"/>
    <hyperlink xmlns:r="http://schemas.openxmlformats.org/officeDocument/2006/relationships" ref="I64" r:id="rId313"/>
    <hyperlink xmlns:r="http://schemas.openxmlformats.org/officeDocument/2006/relationships" ref="J64" r:id="rId314"/>
    <hyperlink xmlns:r="http://schemas.openxmlformats.org/officeDocument/2006/relationships" ref="K64" r:id="rId315"/>
    <hyperlink xmlns:r="http://schemas.openxmlformats.org/officeDocument/2006/relationships" ref="G65" r:id="rId316"/>
    <hyperlink xmlns:r="http://schemas.openxmlformats.org/officeDocument/2006/relationships" ref="H65" r:id="rId317"/>
    <hyperlink xmlns:r="http://schemas.openxmlformats.org/officeDocument/2006/relationships" ref="I65" r:id="rId318"/>
    <hyperlink xmlns:r="http://schemas.openxmlformats.org/officeDocument/2006/relationships" ref="J65" r:id="rId319"/>
    <hyperlink xmlns:r="http://schemas.openxmlformats.org/officeDocument/2006/relationships" ref="K65" r:id="rId320"/>
    <hyperlink xmlns:r="http://schemas.openxmlformats.org/officeDocument/2006/relationships" ref="G66" r:id="rId321"/>
    <hyperlink xmlns:r="http://schemas.openxmlformats.org/officeDocument/2006/relationships" ref="H66" r:id="rId322"/>
    <hyperlink xmlns:r="http://schemas.openxmlformats.org/officeDocument/2006/relationships" ref="I66" r:id="rId323"/>
    <hyperlink xmlns:r="http://schemas.openxmlformats.org/officeDocument/2006/relationships" ref="J66" r:id="rId324"/>
    <hyperlink xmlns:r="http://schemas.openxmlformats.org/officeDocument/2006/relationships" ref="K66" r:id="rId325"/>
    <hyperlink xmlns:r="http://schemas.openxmlformats.org/officeDocument/2006/relationships" ref="G67" r:id="rId326"/>
    <hyperlink xmlns:r="http://schemas.openxmlformats.org/officeDocument/2006/relationships" ref="H67" r:id="rId327"/>
    <hyperlink xmlns:r="http://schemas.openxmlformats.org/officeDocument/2006/relationships" ref="I67" r:id="rId328"/>
    <hyperlink xmlns:r="http://schemas.openxmlformats.org/officeDocument/2006/relationships" ref="J67" r:id="rId329"/>
    <hyperlink xmlns:r="http://schemas.openxmlformats.org/officeDocument/2006/relationships" ref="K67" r:id="rId330"/>
    <hyperlink xmlns:r="http://schemas.openxmlformats.org/officeDocument/2006/relationships" ref="G68" r:id="rId331"/>
    <hyperlink xmlns:r="http://schemas.openxmlformats.org/officeDocument/2006/relationships" ref="H68" r:id="rId332"/>
    <hyperlink xmlns:r="http://schemas.openxmlformats.org/officeDocument/2006/relationships" ref="I68" r:id="rId333"/>
    <hyperlink xmlns:r="http://schemas.openxmlformats.org/officeDocument/2006/relationships" ref="J68" r:id="rId334"/>
    <hyperlink xmlns:r="http://schemas.openxmlformats.org/officeDocument/2006/relationships" ref="K68" r:id="rId335"/>
    <hyperlink xmlns:r="http://schemas.openxmlformats.org/officeDocument/2006/relationships" ref="G69" r:id="rId336"/>
    <hyperlink xmlns:r="http://schemas.openxmlformats.org/officeDocument/2006/relationships" ref="H69" r:id="rId337"/>
    <hyperlink xmlns:r="http://schemas.openxmlformats.org/officeDocument/2006/relationships" ref="I69" r:id="rId338"/>
    <hyperlink xmlns:r="http://schemas.openxmlformats.org/officeDocument/2006/relationships" ref="J69" r:id="rId339"/>
    <hyperlink xmlns:r="http://schemas.openxmlformats.org/officeDocument/2006/relationships" ref="K69" r:id="rId340"/>
    <hyperlink xmlns:r="http://schemas.openxmlformats.org/officeDocument/2006/relationships" ref="G70" r:id="rId341"/>
    <hyperlink xmlns:r="http://schemas.openxmlformats.org/officeDocument/2006/relationships" ref="H70" r:id="rId342"/>
    <hyperlink xmlns:r="http://schemas.openxmlformats.org/officeDocument/2006/relationships" ref="I70" r:id="rId343"/>
    <hyperlink xmlns:r="http://schemas.openxmlformats.org/officeDocument/2006/relationships" ref="J70" r:id="rId344"/>
    <hyperlink xmlns:r="http://schemas.openxmlformats.org/officeDocument/2006/relationships" ref="K70" r:id="rId345"/>
    <hyperlink xmlns:r="http://schemas.openxmlformats.org/officeDocument/2006/relationships" ref="G71" r:id="rId346"/>
    <hyperlink xmlns:r="http://schemas.openxmlformats.org/officeDocument/2006/relationships" ref="H71" r:id="rId347"/>
    <hyperlink xmlns:r="http://schemas.openxmlformats.org/officeDocument/2006/relationships" ref="I71" r:id="rId348"/>
    <hyperlink xmlns:r="http://schemas.openxmlformats.org/officeDocument/2006/relationships" ref="J71" r:id="rId349"/>
    <hyperlink xmlns:r="http://schemas.openxmlformats.org/officeDocument/2006/relationships" ref="K71" r:id="rId350"/>
    <hyperlink xmlns:r="http://schemas.openxmlformats.org/officeDocument/2006/relationships" ref="G72" r:id="rId351"/>
    <hyperlink xmlns:r="http://schemas.openxmlformats.org/officeDocument/2006/relationships" ref="H72" r:id="rId352"/>
    <hyperlink xmlns:r="http://schemas.openxmlformats.org/officeDocument/2006/relationships" ref="I72" r:id="rId353"/>
    <hyperlink xmlns:r="http://schemas.openxmlformats.org/officeDocument/2006/relationships" ref="J72" r:id="rId354"/>
    <hyperlink xmlns:r="http://schemas.openxmlformats.org/officeDocument/2006/relationships" ref="K72" r:id="rId355"/>
    <hyperlink xmlns:r="http://schemas.openxmlformats.org/officeDocument/2006/relationships" ref="G73" r:id="rId356"/>
    <hyperlink xmlns:r="http://schemas.openxmlformats.org/officeDocument/2006/relationships" ref="H73" r:id="rId357"/>
    <hyperlink xmlns:r="http://schemas.openxmlformats.org/officeDocument/2006/relationships" ref="I73" r:id="rId358"/>
    <hyperlink xmlns:r="http://schemas.openxmlformats.org/officeDocument/2006/relationships" ref="J73" r:id="rId359"/>
    <hyperlink xmlns:r="http://schemas.openxmlformats.org/officeDocument/2006/relationships" ref="K73" r:id="rId360"/>
    <hyperlink xmlns:r="http://schemas.openxmlformats.org/officeDocument/2006/relationships" ref="G74" r:id="rId361"/>
    <hyperlink xmlns:r="http://schemas.openxmlformats.org/officeDocument/2006/relationships" ref="H74" r:id="rId362"/>
    <hyperlink xmlns:r="http://schemas.openxmlformats.org/officeDocument/2006/relationships" ref="I74" r:id="rId363"/>
    <hyperlink xmlns:r="http://schemas.openxmlformats.org/officeDocument/2006/relationships" ref="J74" r:id="rId364"/>
    <hyperlink xmlns:r="http://schemas.openxmlformats.org/officeDocument/2006/relationships" ref="K74" r:id="rId365"/>
    <hyperlink xmlns:r="http://schemas.openxmlformats.org/officeDocument/2006/relationships" ref="G75" r:id="rId366"/>
    <hyperlink xmlns:r="http://schemas.openxmlformats.org/officeDocument/2006/relationships" ref="H75" r:id="rId367"/>
    <hyperlink xmlns:r="http://schemas.openxmlformats.org/officeDocument/2006/relationships" ref="I75" r:id="rId368"/>
    <hyperlink xmlns:r="http://schemas.openxmlformats.org/officeDocument/2006/relationships" ref="J75" r:id="rId369"/>
    <hyperlink xmlns:r="http://schemas.openxmlformats.org/officeDocument/2006/relationships" ref="K75" r:id="rId370"/>
    <hyperlink xmlns:r="http://schemas.openxmlformats.org/officeDocument/2006/relationships" ref="G76" r:id="rId371"/>
    <hyperlink xmlns:r="http://schemas.openxmlformats.org/officeDocument/2006/relationships" ref="H76" r:id="rId372"/>
    <hyperlink xmlns:r="http://schemas.openxmlformats.org/officeDocument/2006/relationships" ref="I76" r:id="rId373"/>
    <hyperlink xmlns:r="http://schemas.openxmlformats.org/officeDocument/2006/relationships" ref="J76" r:id="rId374"/>
    <hyperlink xmlns:r="http://schemas.openxmlformats.org/officeDocument/2006/relationships" ref="K76" r:id="rId375"/>
    <hyperlink xmlns:r="http://schemas.openxmlformats.org/officeDocument/2006/relationships" ref="G77" r:id="rId376"/>
    <hyperlink xmlns:r="http://schemas.openxmlformats.org/officeDocument/2006/relationships" ref="H77" r:id="rId377"/>
    <hyperlink xmlns:r="http://schemas.openxmlformats.org/officeDocument/2006/relationships" ref="I77" r:id="rId378"/>
    <hyperlink xmlns:r="http://schemas.openxmlformats.org/officeDocument/2006/relationships" ref="J77" r:id="rId379"/>
    <hyperlink xmlns:r="http://schemas.openxmlformats.org/officeDocument/2006/relationships" ref="K77" r:id="rId380"/>
    <hyperlink xmlns:r="http://schemas.openxmlformats.org/officeDocument/2006/relationships" ref="G78" r:id="rId381"/>
    <hyperlink xmlns:r="http://schemas.openxmlformats.org/officeDocument/2006/relationships" ref="H78" r:id="rId382"/>
    <hyperlink xmlns:r="http://schemas.openxmlformats.org/officeDocument/2006/relationships" ref="I78" r:id="rId383"/>
    <hyperlink xmlns:r="http://schemas.openxmlformats.org/officeDocument/2006/relationships" ref="J78" r:id="rId384"/>
    <hyperlink xmlns:r="http://schemas.openxmlformats.org/officeDocument/2006/relationships" ref="K78" r:id="rId385"/>
    <hyperlink xmlns:r="http://schemas.openxmlformats.org/officeDocument/2006/relationships" ref="G79" r:id="rId386"/>
    <hyperlink xmlns:r="http://schemas.openxmlformats.org/officeDocument/2006/relationships" ref="H79" r:id="rId387"/>
    <hyperlink xmlns:r="http://schemas.openxmlformats.org/officeDocument/2006/relationships" ref="I79" r:id="rId388"/>
    <hyperlink xmlns:r="http://schemas.openxmlformats.org/officeDocument/2006/relationships" ref="J79" r:id="rId389"/>
    <hyperlink xmlns:r="http://schemas.openxmlformats.org/officeDocument/2006/relationships" ref="K79" r:id="rId390"/>
    <hyperlink xmlns:r="http://schemas.openxmlformats.org/officeDocument/2006/relationships" ref="G80" r:id="rId391"/>
    <hyperlink xmlns:r="http://schemas.openxmlformats.org/officeDocument/2006/relationships" ref="H80" r:id="rId392"/>
    <hyperlink xmlns:r="http://schemas.openxmlformats.org/officeDocument/2006/relationships" ref="I80" r:id="rId393"/>
    <hyperlink xmlns:r="http://schemas.openxmlformats.org/officeDocument/2006/relationships" ref="J80" r:id="rId394"/>
    <hyperlink xmlns:r="http://schemas.openxmlformats.org/officeDocument/2006/relationships" ref="K80" r:id="rId395"/>
    <hyperlink xmlns:r="http://schemas.openxmlformats.org/officeDocument/2006/relationships" ref="G81" r:id="rId396"/>
    <hyperlink xmlns:r="http://schemas.openxmlformats.org/officeDocument/2006/relationships" ref="H81" r:id="rId397"/>
    <hyperlink xmlns:r="http://schemas.openxmlformats.org/officeDocument/2006/relationships" ref="I81" r:id="rId398"/>
    <hyperlink xmlns:r="http://schemas.openxmlformats.org/officeDocument/2006/relationships" ref="J81" r:id="rId399"/>
    <hyperlink xmlns:r="http://schemas.openxmlformats.org/officeDocument/2006/relationships" ref="K81" r:id="rId400"/>
    <hyperlink xmlns:r="http://schemas.openxmlformats.org/officeDocument/2006/relationships" ref="G82" r:id="rId401"/>
    <hyperlink xmlns:r="http://schemas.openxmlformats.org/officeDocument/2006/relationships" ref="H82" r:id="rId402"/>
    <hyperlink xmlns:r="http://schemas.openxmlformats.org/officeDocument/2006/relationships" ref="I82" r:id="rId403"/>
    <hyperlink xmlns:r="http://schemas.openxmlformats.org/officeDocument/2006/relationships" ref="J82" r:id="rId404"/>
    <hyperlink xmlns:r="http://schemas.openxmlformats.org/officeDocument/2006/relationships" ref="K82" r:id="rId405"/>
    <hyperlink xmlns:r="http://schemas.openxmlformats.org/officeDocument/2006/relationships" ref="G83" r:id="rId406"/>
    <hyperlink xmlns:r="http://schemas.openxmlformats.org/officeDocument/2006/relationships" ref="H83" r:id="rId407"/>
    <hyperlink xmlns:r="http://schemas.openxmlformats.org/officeDocument/2006/relationships" ref="I83" r:id="rId408"/>
    <hyperlink xmlns:r="http://schemas.openxmlformats.org/officeDocument/2006/relationships" ref="J83" r:id="rId409"/>
    <hyperlink xmlns:r="http://schemas.openxmlformats.org/officeDocument/2006/relationships" ref="K83" r:id="rId410"/>
    <hyperlink xmlns:r="http://schemas.openxmlformats.org/officeDocument/2006/relationships" ref="G84" r:id="rId411"/>
    <hyperlink xmlns:r="http://schemas.openxmlformats.org/officeDocument/2006/relationships" ref="H84" r:id="rId412"/>
    <hyperlink xmlns:r="http://schemas.openxmlformats.org/officeDocument/2006/relationships" ref="I84" r:id="rId413"/>
    <hyperlink xmlns:r="http://schemas.openxmlformats.org/officeDocument/2006/relationships" ref="J84" r:id="rId414"/>
    <hyperlink xmlns:r="http://schemas.openxmlformats.org/officeDocument/2006/relationships" ref="K84" r:id="rId415"/>
    <hyperlink xmlns:r="http://schemas.openxmlformats.org/officeDocument/2006/relationships" ref="G85" r:id="rId416"/>
    <hyperlink xmlns:r="http://schemas.openxmlformats.org/officeDocument/2006/relationships" ref="H85" r:id="rId417"/>
    <hyperlink xmlns:r="http://schemas.openxmlformats.org/officeDocument/2006/relationships" ref="I85" r:id="rId418"/>
    <hyperlink xmlns:r="http://schemas.openxmlformats.org/officeDocument/2006/relationships" ref="J85" r:id="rId419"/>
    <hyperlink xmlns:r="http://schemas.openxmlformats.org/officeDocument/2006/relationships" ref="K85" r:id="rId420"/>
    <hyperlink xmlns:r="http://schemas.openxmlformats.org/officeDocument/2006/relationships" ref="G86" r:id="rId421"/>
    <hyperlink xmlns:r="http://schemas.openxmlformats.org/officeDocument/2006/relationships" ref="H86" r:id="rId422"/>
    <hyperlink xmlns:r="http://schemas.openxmlformats.org/officeDocument/2006/relationships" ref="I86" r:id="rId423"/>
    <hyperlink xmlns:r="http://schemas.openxmlformats.org/officeDocument/2006/relationships" ref="J86" r:id="rId424"/>
    <hyperlink xmlns:r="http://schemas.openxmlformats.org/officeDocument/2006/relationships" ref="K86" r:id="rId425"/>
    <hyperlink xmlns:r="http://schemas.openxmlformats.org/officeDocument/2006/relationships" ref="G87" r:id="rId426"/>
    <hyperlink xmlns:r="http://schemas.openxmlformats.org/officeDocument/2006/relationships" ref="H87" r:id="rId427"/>
    <hyperlink xmlns:r="http://schemas.openxmlformats.org/officeDocument/2006/relationships" ref="I87" r:id="rId428"/>
    <hyperlink xmlns:r="http://schemas.openxmlformats.org/officeDocument/2006/relationships" ref="J87" r:id="rId429"/>
    <hyperlink xmlns:r="http://schemas.openxmlformats.org/officeDocument/2006/relationships" ref="K87" r:id="rId430"/>
    <hyperlink xmlns:r="http://schemas.openxmlformats.org/officeDocument/2006/relationships" ref="G88" r:id="rId431"/>
    <hyperlink xmlns:r="http://schemas.openxmlformats.org/officeDocument/2006/relationships" ref="H88" r:id="rId432"/>
    <hyperlink xmlns:r="http://schemas.openxmlformats.org/officeDocument/2006/relationships" ref="I88" r:id="rId433"/>
    <hyperlink xmlns:r="http://schemas.openxmlformats.org/officeDocument/2006/relationships" ref="J88" r:id="rId434"/>
    <hyperlink xmlns:r="http://schemas.openxmlformats.org/officeDocument/2006/relationships" ref="K88" r:id="rId435"/>
    <hyperlink xmlns:r="http://schemas.openxmlformats.org/officeDocument/2006/relationships" ref="G89" r:id="rId436"/>
    <hyperlink xmlns:r="http://schemas.openxmlformats.org/officeDocument/2006/relationships" ref="H89" r:id="rId437"/>
    <hyperlink xmlns:r="http://schemas.openxmlformats.org/officeDocument/2006/relationships" ref="I89" r:id="rId438"/>
    <hyperlink xmlns:r="http://schemas.openxmlformats.org/officeDocument/2006/relationships" ref="J89" r:id="rId439"/>
    <hyperlink xmlns:r="http://schemas.openxmlformats.org/officeDocument/2006/relationships" ref="K89" r:id="rId440"/>
    <hyperlink xmlns:r="http://schemas.openxmlformats.org/officeDocument/2006/relationships" ref="G90" r:id="rId441"/>
    <hyperlink xmlns:r="http://schemas.openxmlformats.org/officeDocument/2006/relationships" ref="H90" r:id="rId442"/>
    <hyperlink xmlns:r="http://schemas.openxmlformats.org/officeDocument/2006/relationships" ref="I90" r:id="rId443"/>
    <hyperlink xmlns:r="http://schemas.openxmlformats.org/officeDocument/2006/relationships" ref="J90" r:id="rId444"/>
    <hyperlink xmlns:r="http://schemas.openxmlformats.org/officeDocument/2006/relationships" ref="K90" r:id="rId445"/>
    <hyperlink xmlns:r="http://schemas.openxmlformats.org/officeDocument/2006/relationships" ref="G91" r:id="rId446"/>
    <hyperlink xmlns:r="http://schemas.openxmlformats.org/officeDocument/2006/relationships" ref="H91" r:id="rId447"/>
    <hyperlink xmlns:r="http://schemas.openxmlformats.org/officeDocument/2006/relationships" ref="I91" r:id="rId448"/>
    <hyperlink xmlns:r="http://schemas.openxmlformats.org/officeDocument/2006/relationships" ref="J91" r:id="rId449"/>
    <hyperlink xmlns:r="http://schemas.openxmlformats.org/officeDocument/2006/relationships" ref="K91" r:id="rId450"/>
    <hyperlink xmlns:r="http://schemas.openxmlformats.org/officeDocument/2006/relationships" ref="G92" r:id="rId451"/>
    <hyperlink xmlns:r="http://schemas.openxmlformats.org/officeDocument/2006/relationships" ref="H92" r:id="rId452"/>
    <hyperlink xmlns:r="http://schemas.openxmlformats.org/officeDocument/2006/relationships" ref="I92" r:id="rId453"/>
    <hyperlink xmlns:r="http://schemas.openxmlformats.org/officeDocument/2006/relationships" ref="J92" r:id="rId454"/>
    <hyperlink xmlns:r="http://schemas.openxmlformats.org/officeDocument/2006/relationships" ref="K92" r:id="rId455"/>
    <hyperlink xmlns:r="http://schemas.openxmlformats.org/officeDocument/2006/relationships" ref="G93" r:id="rId456"/>
    <hyperlink xmlns:r="http://schemas.openxmlformats.org/officeDocument/2006/relationships" ref="H93" r:id="rId457"/>
    <hyperlink xmlns:r="http://schemas.openxmlformats.org/officeDocument/2006/relationships" ref="I93" r:id="rId458"/>
    <hyperlink xmlns:r="http://schemas.openxmlformats.org/officeDocument/2006/relationships" ref="J93" r:id="rId459"/>
    <hyperlink xmlns:r="http://schemas.openxmlformats.org/officeDocument/2006/relationships" ref="K93" r:id="rId460"/>
    <hyperlink xmlns:r="http://schemas.openxmlformats.org/officeDocument/2006/relationships" ref="G94" r:id="rId461"/>
    <hyperlink xmlns:r="http://schemas.openxmlformats.org/officeDocument/2006/relationships" ref="H94" r:id="rId462"/>
    <hyperlink xmlns:r="http://schemas.openxmlformats.org/officeDocument/2006/relationships" ref="I94" r:id="rId463"/>
    <hyperlink xmlns:r="http://schemas.openxmlformats.org/officeDocument/2006/relationships" ref="J94" r:id="rId464"/>
    <hyperlink xmlns:r="http://schemas.openxmlformats.org/officeDocument/2006/relationships" ref="K94" r:id="rId465"/>
    <hyperlink xmlns:r="http://schemas.openxmlformats.org/officeDocument/2006/relationships" ref="G95" r:id="rId466"/>
    <hyperlink xmlns:r="http://schemas.openxmlformats.org/officeDocument/2006/relationships" ref="H95" r:id="rId467"/>
    <hyperlink xmlns:r="http://schemas.openxmlformats.org/officeDocument/2006/relationships" ref="I95" r:id="rId468"/>
    <hyperlink xmlns:r="http://schemas.openxmlformats.org/officeDocument/2006/relationships" ref="J95" r:id="rId469"/>
    <hyperlink xmlns:r="http://schemas.openxmlformats.org/officeDocument/2006/relationships" ref="K95" r:id="rId470"/>
    <hyperlink xmlns:r="http://schemas.openxmlformats.org/officeDocument/2006/relationships" ref="G96" r:id="rId471"/>
    <hyperlink xmlns:r="http://schemas.openxmlformats.org/officeDocument/2006/relationships" ref="H96" r:id="rId472"/>
    <hyperlink xmlns:r="http://schemas.openxmlformats.org/officeDocument/2006/relationships" ref="I96" r:id="rId473"/>
    <hyperlink xmlns:r="http://schemas.openxmlformats.org/officeDocument/2006/relationships" ref="J96" r:id="rId474"/>
    <hyperlink xmlns:r="http://schemas.openxmlformats.org/officeDocument/2006/relationships" ref="K96" r:id="rId475"/>
    <hyperlink xmlns:r="http://schemas.openxmlformats.org/officeDocument/2006/relationships" ref="G97" r:id="rId476"/>
    <hyperlink xmlns:r="http://schemas.openxmlformats.org/officeDocument/2006/relationships" ref="H97" r:id="rId477"/>
    <hyperlink xmlns:r="http://schemas.openxmlformats.org/officeDocument/2006/relationships" ref="I97" r:id="rId478"/>
    <hyperlink xmlns:r="http://schemas.openxmlformats.org/officeDocument/2006/relationships" ref="J97" r:id="rId479"/>
    <hyperlink xmlns:r="http://schemas.openxmlformats.org/officeDocument/2006/relationships" ref="K97" r:id="rId480"/>
    <hyperlink xmlns:r="http://schemas.openxmlformats.org/officeDocument/2006/relationships" ref="G98" r:id="rId481"/>
    <hyperlink xmlns:r="http://schemas.openxmlformats.org/officeDocument/2006/relationships" ref="H98" r:id="rId482"/>
    <hyperlink xmlns:r="http://schemas.openxmlformats.org/officeDocument/2006/relationships" ref="I98" r:id="rId483"/>
    <hyperlink xmlns:r="http://schemas.openxmlformats.org/officeDocument/2006/relationships" ref="J98" r:id="rId484"/>
    <hyperlink xmlns:r="http://schemas.openxmlformats.org/officeDocument/2006/relationships" ref="K98" r:id="rId485"/>
    <hyperlink xmlns:r="http://schemas.openxmlformats.org/officeDocument/2006/relationships" ref="G99" r:id="rId486"/>
    <hyperlink xmlns:r="http://schemas.openxmlformats.org/officeDocument/2006/relationships" ref="H99" r:id="rId487"/>
    <hyperlink xmlns:r="http://schemas.openxmlformats.org/officeDocument/2006/relationships" ref="I99" r:id="rId488"/>
    <hyperlink xmlns:r="http://schemas.openxmlformats.org/officeDocument/2006/relationships" ref="J99" r:id="rId489"/>
    <hyperlink xmlns:r="http://schemas.openxmlformats.org/officeDocument/2006/relationships" ref="K99" r:id="rId490"/>
    <hyperlink xmlns:r="http://schemas.openxmlformats.org/officeDocument/2006/relationships" ref="G100" r:id="rId491"/>
    <hyperlink xmlns:r="http://schemas.openxmlformats.org/officeDocument/2006/relationships" ref="H100" r:id="rId492"/>
    <hyperlink xmlns:r="http://schemas.openxmlformats.org/officeDocument/2006/relationships" ref="I100" r:id="rId493"/>
    <hyperlink xmlns:r="http://schemas.openxmlformats.org/officeDocument/2006/relationships" ref="J100" r:id="rId494"/>
    <hyperlink xmlns:r="http://schemas.openxmlformats.org/officeDocument/2006/relationships" ref="K100" r:id="rId495"/>
    <hyperlink xmlns:r="http://schemas.openxmlformats.org/officeDocument/2006/relationships" ref="G101" r:id="rId496"/>
    <hyperlink xmlns:r="http://schemas.openxmlformats.org/officeDocument/2006/relationships" ref="H101" r:id="rId497"/>
    <hyperlink xmlns:r="http://schemas.openxmlformats.org/officeDocument/2006/relationships" ref="I101" r:id="rId498"/>
    <hyperlink xmlns:r="http://schemas.openxmlformats.org/officeDocument/2006/relationships" ref="J101" r:id="rId499"/>
    <hyperlink xmlns:r="http://schemas.openxmlformats.org/officeDocument/2006/relationships" ref="K101" r:id="rId500"/>
    <hyperlink xmlns:r="http://schemas.openxmlformats.org/officeDocument/2006/relationships" ref="G102" r:id="rId501"/>
    <hyperlink xmlns:r="http://schemas.openxmlformats.org/officeDocument/2006/relationships" ref="H102" r:id="rId502"/>
    <hyperlink xmlns:r="http://schemas.openxmlformats.org/officeDocument/2006/relationships" ref="I102" r:id="rId503"/>
    <hyperlink xmlns:r="http://schemas.openxmlformats.org/officeDocument/2006/relationships" ref="J102" r:id="rId504"/>
    <hyperlink xmlns:r="http://schemas.openxmlformats.org/officeDocument/2006/relationships" ref="K102" r:id="rId505"/>
    <hyperlink xmlns:r="http://schemas.openxmlformats.org/officeDocument/2006/relationships" ref="G103" r:id="rId506"/>
    <hyperlink xmlns:r="http://schemas.openxmlformats.org/officeDocument/2006/relationships" ref="H103" r:id="rId507"/>
    <hyperlink xmlns:r="http://schemas.openxmlformats.org/officeDocument/2006/relationships" ref="I103" r:id="rId508"/>
    <hyperlink xmlns:r="http://schemas.openxmlformats.org/officeDocument/2006/relationships" ref="J103" r:id="rId509"/>
    <hyperlink xmlns:r="http://schemas.openxmlformats.org/officeDocument/2006/relationships" ref="K103" r:id="rId510"/>
    <hyperlink xmlns:r="http://schemas.openxmlformats.org/officeDocument/2006/relationships" ref="G104" r:id="rId511"/>
    <hyperlink xmlns:r="http://schemas.openxmlformats.org/officeDocument/2006/relationships" ref="H104" r:id="rId512"/>
    <hyperlink xmlns:r="http://schemas.openxmlformats.org/officeDocument/2006/relationships" ref="I104" r:id="rId513"/>
    <hyperlink xmlns:r="http://schemas.openxmlformats.org/officeDocument/2006/relationships" ref="J104" r:id="rId514"/>
    <hyperlink xmlns:r="http://schemas.openxmlformats.org/officeDocument/2006/relationships" ref="K104" r:id="rId515"/>
    <hyperlink xmlns:r="http://schemas.openxmlformats.org/officeDocument/2006/relationships" ref="G105" r:id="rId516"/>
    <hyperlink xmlns:r="http://schemas.openxmlformats.org/officeDocument/2006/relationships" ref="H105" r:id="rId517"/>
    <hyperlink xmlns:r="http://schemas.openxmlformats.org/officeDocument/2006/relationships" ref="I105" r:id="rId518"/>
    <hyperlink xmlns:r="http://schemas.openxmlformats.org/officeDocument/2006/relationships" ref="J105" r:id="rId519"/>
    <hyperlink xmlns:r="http://schemas.openxmlformats.org/officeDocument/2006/relationships" ref="K105" r:id="rId520"/>
    <hyperlink xmlns:r="http://schemas.openxmlformats.org/officeDocument/2006/relationships" ref="G106" r:id="rId521"/>
    <hyperlink xmlns:r="http://schemas.openxmlformats.org/officeDocument/2006/relationships" ref="H106" r:id="rId522"/>
    <hyperlink xmlns:r="http://schemas.openxmlformats.org/officeDocument/2006/relationships" ref="I106" r:id="rId523"/>
    <hyperlink xmlns:r="http://schemas.openxmlformats.org/officeDocument/2006/relationships" ref="J106" r:id="rId524"/>
    <hyperlink xmlns:r="http://schemas.openxmlformats.org/officeDocument/2006/relationships" ref="K106" r:id="rId525"/>
    <hyperlink xmlns:r="http://schemas.openxmlformats.org/officeDocument/2006/relationships" ref="G107" r:id="rId526"/>
    <hyperlink xmlns:r="http://schemas.openxmlformats.org/officeDocument/2006/relationships" ref="H107" r:id="rId527"/>
    <hyperlink xmlns:r="http://schemas.openxmlformats.org/officeDocument/2006/relationships" ref="I107" r:id="rId528"/>
    <hyperlink xmlns:r="http://schemas.openxmlformats.org/officeDocument/2006/relationships" ref="J107" r:id="rId529"/>
    <hyperlink xmlns:r="http://schemas.openxmlformats.org/officeDocument/2006/relationships" ref="K107" r:id="rId530"/>
    <hyperlink xmlns:r="http://schemas.openxmlformats.org/officeDocument/2006/relationships" ref="G108" r:id="rId531"/>
    <hyperlink xmlns:r="http://schemas.openxmlformats.org/officeDocument/2006/relationships" ref="H108" r:id="rId532"/>
    <hyperlink xmlns:r="http://schemas.openxmlformats.org/officeDocument/2006/relationships" ref="I108" r:id="rId533"/>
    <hyperlink xmlns:r="http://schemas.openxmlformats.org/officeDocument/2006/relationships" ref="J108" r:id="rId534"/>
    <hyperlink xmlns:r="http://schemas.openxmlformats.org/officeDocument/2006/relationships" ref="K108" r:id="rId535"/>
    <hyperlink xmlns:r="http://schemas.openxmlformats.org/officeDocument/2006/relationships" ref="G109" r:id="rId536"/>
    <hyperlink xmlns:r="http://schemas.openxmlformats.org/officeDocument/2006/relationships" ref="H109" r:id="rId537"/>
    <hyperlink xmlns:r="http://schemas.openxmlformats.org/officeDocument/2006/relationships" ref="I109" r:id="rId538"/>
    <hyperlink xmlns:r="http://schemas.openxmlformats.org/officeDocument/2006/relationships" ref="J109" r:id="rId539"/>
    <hyperlink xmlns:r="http://schemas.openxmlformats.org/officeDocument/2006/relationships" ref="K109" r:id="rId540"/>
    <hyperlink xmlns:r="http://schemas.openxmlformats.org/officeDocument/2006/relationships" ref="G110" r:id="rId541"/>
    <hyperlink xmlns:r="http://schemas.openxmlformats.org/officeDocument/2006/relationships" ref="H110" r:id="rId542"/>
    <hyperlink xmlns:r="http://schemas.openxmlformats.org/officeDocument/2006/relationships" ref="I110" r:id="rId543"/>
    <hyperlink xmlns:r="http://schemas.openxmlformats.org/officeDocument/2006/relationships" ref="J110" r:id="rId544"/>
    <hyperlink xmlns:r="http://schemas.openxmlformats.org/officeDocument/2006/relationships" ref="K110" r:id="rId545"/>
    <hyperlink xmlns:r="http://schemas.openxmlformats.org/officeDocument/2006/relationships" ref="G111" r:id="rId546"/>
    <hyperlink xmlns:r="http://schemas.openxmlformats.org/officeDocument/2006/relationships" ref="H111" r:id="rId547"/>
    <hyperlink xmlns:r="http://schemas.openxmlformats.org/officeDocument/2006/relationships" ref="I111" r:id="rId548"/>
    <hyperlink xmlns:r="http://schemas.openxmlformats.org/officeDocument/2006/relationships" ref="J111" r:id="rId549"/>
    <hyperlink xmlns:r="http://schemas.openxmlformats.org/officeDocument/2006/relationships" ref="K111" r:id="rId550"/>
    <hyperlink xmlns:r="http://schemas.openxmlformats.org/officeDocument/2006/relationships" ref="G112" r:id="rId551"/>
    <hyperlink xmlns:r="http://schemas.openxmlformats.org/officeDocument/2006/relationships" ref="H112" r:id="rId552"/>
    <hyperlink xmlns:r="http://schemas.openxmlformats.org/officeDocument/2006/relationships" ref="I112" r:id="rId553"/>
    <hyperlink xmlns:r="http://schemas.openxmlformats.org/officeDocument/2006/relationships" ref="J112" r:id="rId554"/>
    <hyperlink xmlns:r="http://schemas.openxmlformats.org/officeDocument/2006/relationships" ref="K112" r:id="rId555"/>
    <hyperlink xmlns:r="http://schemas.openxmlformats.org/officeDocument/2006/relationships" ref="G113" r:id="rId556"/>
    <hyperlink xmlns:r="http://schemas.openxmlformats.org/officeDocument/2006/relationships" ref="H113" r:id="rId557"/>
    <hyperlink xmlns:r="http://schemas.openxmlformats.org/officeDocument/2006/relationships" ref="I113" r:id="rId558"/>
    <hyperlink xmlns:r="http://schemas.openxmlformats.org/officeDocument/2006/relationships" ref="J113" r:id="rId559"/>
    <hyperlink xmlns:r="http://schemas.openxmlformats.org/officeDocument/2006/relationships" ref="K113" r:id="rId560"/>
    <hyperlink xmlns:r="http://schemas.openxmlformats.org/officeDocument/2006/relationships" ref="G114" r:id="rId561"/>
    <hyperlink xmlns:r="http://schemas.openxmlformats.org/officeDocument/2006/relationships" ref="H114" r:id="rId562"/>
    <hyperlink xmlns:r="http://schemas.openxmlformats.org/officeDocument/2006/relationships" ref="I114" r:id="rId563"/>
    <hyperlink xmlns:r="http://schemas.openxmlformats.org/officeDocument/2006/relationships" ref="J114" r:id="rId564"/>
    <hyperlink xmlns:r="http://schemas.openxmlformats.org/officeDocument/2006/relationships" ref="K114" r:id="rId565"/>
    <hyperlink xmlns:r="http://schemas.openxmlformats.org/officeDocument/2006/relationships" ref="G115" r:id="rId566"/>
    <hyperlink xmlns:r="http://schemas.openxmlformats.org/officeDocument/2006/relationships" ref="H115" r:id="rId567"/>
    <hyperlink xmlns:r="http://schemas.openxmlformats.org/officeDocument/2006/relationships" ref="I115" r:id="rId568"/>
    <hyperlink xmlns:r="http://schemas.openxmlformats.org/officeDocument/2006/relationships" ref="J115" r:id="rId569"/>
    <hyperlink xmlns:r="http://schemas.openxmlformats.org/officeDocument/2006/relationships" ref="K115" r:id="rId570"/>
    <hyperlink xmlns:r="http://schemas.openxmlformats.org/officeDocument/2006/relationships" ref="G116" r:id="rId571"/>
    <hyperlink xmlns:r="http://schemas.openxmlformats.org/officeDocument/2006/relationships" ref="H116" r:id="rId572"/>
    <hyperlink xmlns:r="http://schemas.openxmlformats.org/officeDocument/2006/relationships" ref="I116" r:id="rId573"/>
    <hyperlink xmlns:r="http://schemas.openxmlformats.org/officeDocument/2006/relationships" ref="J116" r:id="rId574"/>
    <hyperlink xmlns:r="http://schemas.openxmlformats.org/officeDocument/2006/relationships" ref="K116" r:id="rId575"/>
    <hyperlink xmlns:r="http://schemas.openxmlformats.org/officeDocument/2006/relationships" ref="G117" r:id="rId576"/>
    <hyperlink xmlns:r="http://schemas.openxmlformats.org/officeDocument/2006/relationships" ref="H117" r:id="rId577"/>
    <hyperlink xmlns:r="http://schemas.openxmlformats.org/officeDocument/2006/relationships" ref="I117" r:id="rId578"/>
    <hyperlink xmlns:r="http://schemas.openxmlformats.org/officeDocument/2006/relationships" ref="J117" r:id="rId579"/>
    <hyperlink xmlns:r="http://schemas.openxmlformats.org/officeDocument/2006/relationships" ref="K117" r:id="rId580"/>
    <hyperlink xmlns:r="http://schemas.openxmlformats.org/officeDocument/2006/relationships" ref="G118" r:id="rId581"/>
    <hyperlink xmlns:r="http://schemas.openxmlformats.org/officeDocument/2006/relationships" ref="H118" r:id="rId582"/>
    <hyperlink xmlns:r="http://schemas.openxmlformats.org/officeDocument/2006/relationships" ref="I118" r:id="rId583"/>
    <hyperlink xmlns:r="http://schemas.openxmlformats.org/officeDocument/2006/relationships" ref="J118" r:id="rId584"/>
    <hyperlink xmlns:r="http://schemas.openxmlformats.org/officeDocument/2006/relationships" ref="K118" r:id="rId585"/>
    <hyperlink xmlns:r="http://schemas.openxmlformats.org/officeDocument/2006/relationships" ref="G119" r:id="rId586"/>
    <hyperlink xmlns:r="http://schemas.openxmlformats.org/officeDocument/2006/relationships" ref="H119" r:id="rId587"/>
    <hyperlink xmlns:r="http://schemas.openxmlformats.org/officeDocument/2006/relationships" ref="I119" r:id="rId588"/>
    <hyperlink xmlns:r="http://schemas.openxmlformats.org/officeDocument/2006/relationships" ref="J119" r:id="rId589"/>
    <hyperlink xmlns:r="http://schemas.openxmlformats.org/officeDocument/2006/relationships" ref="K119" r:id="rId590"/>
    <hyperlink xmlns:r="http://schemas.openxmlformats.org/officeDocument/2006/relationships" ref="G120" r:id="rId591"/>
    <hyperlink xmlns:r="http://schemas.openxmlformats.org/officeDocument/2006/relationships" ref="H120" r:id="rId592"/>
    <hyperlink xmlns:r="http://schemas.openxmlformats.org/officeDocument/2006/relationships" ref="I120" r:id="rId593"/>
    <hyperlink xmlns:r="http://schemas.openxmlformats.org/officeDocument/2006/relationships" ref="J120" r:id="rId594"/>
    <hyperlink xmlns:r="http://schemas.openxmlformats.org/officeDocument/2006/relationships" ref="K120" r:id="rId595"/>
    <hyperlink xmlns:r="http://schemas.openxmlformats.org/officeDocument/2006/relationships" ref="G121" r:id="rId596"/>
    <hyperlink xmlns:r="http://schemas.openxmlformats.org/officeDocument/2006/relationships" ref="H121" r:id="rId597"/>
    <hyperlink xmlns:r="http://schemas.openxmlformats.org/officeDocument/2006/relationships" ref="I121" r:id="rId598"/>
    <hyperlink xmlns:r="http://schemas.openxmlformats.org/officeDocument/2006/relationships" ref="J121" r:id="rId599"/>
    <hyperlink xmlns:r="http://schemas.openxmlformats.org/officeDocument/2006/relationships" ref="K121" r:id="rId600"/>
    <hyperlink xmlns:r="http://schemas.openxmlformats.org/officeDocument/2006/relationships" ref="G122" r:id="rId601"/>
    <hyperlink xmlns:r="http://schemas.openxmlformats.org/officeDocument/2006/relationships" ref="H122" r:id="rId602"/>
    <hyperlink xmlns:r="http://schemas.openxmlformats.org/officeDocument/2006/relationships" ref="I122" r:id="rId603"/>
    <hyperlink xmlns:r="http://schemas.openxmlformats.org/officeDocument/2006/relationships" ref="J122" r:id="rId604"/>
    <hyperlink xmlns:r="http://schemas.openxmlformats.org/officeDocument/2006/relationships" ref="K122" r:id="rId605"/>
    <hyperlink xmlns:r="http://schemas.openxmlformats.org/officeDocument/2006/relationships" ref="G123" r:id="rId606"/>
    <hyperlink xmlns:r="http://schemas.openxmlformats.org/officeDocument/2006/relationships" ref="H123" r:id="rId607"/>
    <hyperlink xmlns:r="http://schemas.openxmlformats.org/officeDocument/2006/relationships" ref="I123" r:id="rId608"/>
    <hyperlink xmlns:r="http://schemas.openxmlformats.org/officeDocument/2006/relationships" ref="J123" r:id="rId609"/>
    <hyperlink xmlns:r="http://schemas.openxmlformats.org/officeDocument/2006/relationships" ref="K123" r:id="rId610"/>
    <hyperlink xmlns:r="http://schemas.openxmlformats.org/officeDocument/2006/relationships" ref="G124" r:id="rId611"/>
    <hyperlink xmlns:r="http://schemas.openxmlformats.org/officeDocument/2006/relationships" ref="H124" r:id="rId612"/>
    <hyperlink xmlns:r="http://schemas.openxmlformats.org/officeDocument/2006/relationships" ref="I124" r:id="rId613"/>
    <hyperlink xmlns:r="http://schemas.openxmlformats.org/officeDocument/2006/relationships" ref="J124" r:id="rId614"/>
    <hyperlink xmlns:r="http://schemas.openxmlformats.org/officeDocument/2006/relationships" ref="K124" r:id="rId615"/>
    <hyperlink xmlns:r="http://schemas.openxmlformats.org/officeDocument/2006/relationships" ref="G125" r:id="rId616"/>
    <hyperlink xmlns:r="http://schemas.openxmlformats.org/officeDocument/2006/relationships" ref="H125" r:id="rId617"/>
    <hyperlink xmlns:r="http://schemas.openxmlformats.org/officeDocument/2006/relationships" ref="I125" r:id="rId618"/>
    <hyperlink xmlns:r="http://schemas.openxmlformats.org/officeDocument/2006/relationships" ref="J125" r:id="rId619"/>
    <hyperlink xmlns:r="http://schemas.openxmlformats.org/officeDocument/2006/relationships" ref="K125" r:id="rId620"/>
    <hyperlink xmlns:r="http://schemas.openxmlformats.org/officeDocument/2006/relationships" ref="G126" r:id="rId621"/>
    <hyperlink xmlns:r="http://schemas.openxmlformats.org/officeDocument/2006/relationships" ref="H126" r:id="rId622"/>
    <hyperlink xmlns:r="http://schemas.openxmlformats.org/officeDocument/2006/relationships" ref="I126" r:id="rId623"/>
    <hyperlink xmlns:r="http://schemas.openxmlformats.org/officeDocument/2006/relationships" ref="J126" r:id="rId624"/>
    <hyperlink xmlns:r="http://schemas.openxmlformats.org/officeDocument/2006/relationships" ref="K126" r:id="rId625"/>
    <hyperlink xmlns:r="http://schemas.openxmlformats.org/officeDocument/2006/relationships" ref="G127" r:id="rId626"/>
    <hyperlink xmlns:r="http://schemas.openxmlformats.org/officeDocument/2006/relationships" ref="H127" r:id="rId627"/>
    <hyperlink xmlns:r="http://schemas.openxmlformats.org/officeDocument/2006/relationships" ref="I127" r:id="rId628"/>
    <hyperlink xmlns:r="http://schemas.openxmlformats.org/officeDocument/2006/relationships" ref="J127" r:id="rId629"/>
    <hyperlink xmlns:r="http://schemas.openxmlformats.org/officeDocument/2006/relationships" ref="K127" r:id="rId630"/>
    <hyperlink xmlns:r="http://schemas.openxmlformats.org/officeDocument/2006/relationships" ref="G128" r:id="rId631"/>
    <hyperlink xmlns:r="http://schemas.openxmlformats.org/officeDocument/2006/relationships" ref="H128" r:id="rId632"/>
    <hyperlink xmlns:r="http://schemas.openxmlformats.org/officeDocument/2006/relationships" ref="I128" r:id="rId633"/>
    <hyperlink xmlns:r="http://schemas.openxmlformats.org/officeDocument/2006/relationships" ref="J128" r:id="rId634"/>
    <hyperlink xmlns:r="http://schemas.openxmlformats.org/officeDocument/2006/relationships" ref="K128" r:id="rId635"/>
    <hyperlink xmlns:r="http://schemas.openxmlformats.org/officeDocument/2006/relationships" ref="G129" r:id="rId636"/>
    <hyperlink xmlns:r="http://schemas.openxmlformats.org/officeDocument/2006/relationships" ref="H129" r:id="rId637"/>
    <hyperlink xmlns:r="http://schemas.openxmlformats.org/officeDocument/2006/relationships" ref="I129" r:id="rId638"/>
    <hyperlink xmlns:r="http://schemas.openxmlformats.org/officeDocument/2006/relationships" ref="J129" r:id="rId639"/>
    <hyperlink xmlns:r="http://schemas.openxmlformats.org/officeDocument/2006/relationships" ref="K129" r:id="rId640"/>
    <hyperlink xmlns:r="http://schemas.openxmlformats.org/officeDocument/2006/relationships" ref="G130" r:id="rId641"/>
    <hyperlink xmlns:r="http://schemas.openxmlformats.org/officeDocument/2006/relationships" ref="H130" r:id="rId642"/>
    <hyperlink xmlns:r="http://schemas.openxmlformats.org/officeDocument/2006/relationships" ref="I130" r:id="rId643"/>
    <hyperlink xmlns:r="http://schemas.openxmlformats.org/officeDocument/2006/relationships" ref="J130" r:id="rId644"/>
    <hyperlink xmlns:r="http://schemas.openxmlformats.org/officeDocument/2006/relationships" ref="K130" r:id="rId645"/>
    <hyperlink xmlns:r="http://schemas.openxmlformats.org/officeDocument/2006/relationships" ref="G131" r:id="rId646"/>
    <hyperlink xmlns:r="http://schemas.openxmlformats.org/officeDocument/2006/relationships" ref="H131" r:id="rId647"/>
    <hyperlink xmlns:r="http://schemas.openxmlformats.org/officeDocument/2006/relationships" ref="I131" r:id="rId648"/>
    <hyperlink xmlns:r="http://schemas.openxmlformats.org/officeDocument/2006/relationships" ref="J131" r:id="rId649"/>
    <hyperlink xmlns:r="http://schemas.openxmlformats.org/officeDocument/2006/relationships" ref="K131" r:id="rId650"/>
    <hyperlink xmlns:r="http://schemas.openxmlformats.org/officeDocument/2006/relationships" ref="G132" r:id="rId651"/>
    <hyperlink xmlns:r="http://schemas.openxmlformats.org/officeDocument/2006/relationships" ref="H132" r:id="rId652"/>
    <hyperlink xmlns:r="http://schemas.openxmlformats.org/officeDocument/2006/relationships" ref="I132" r:id="rId653"/>
    <hyperlink xmlns:r="http://schemas.openxmlformats.org/officeDocument/2006/relationships" ref="J132" r:id="rId654"/>
    <hyperlink xmlns:r="http://schemas.openxmlformats.org/officeDocument/2006/relationships" ref="K132" r:id="rId655"/>
    <hyperlink xmlns:r="http://schemas.openxmlformats.org/officeDocument/2006/relationships" ref="G133" r:id="rId656"/>
    <hyperlink xmlns:r="http://schemas.openxmlformats.org/officeDocument/2006/relationships" ref="H133" r:id="rId657"/>
    <hyperlink xmlns:r="http://schemas.openxmlformats.org/officeDocument/2006/relationships" ref="I133" r:id="rId658"/>
    <hyperlink xmlns:r="http://schemas.openxmlformats.org/officeDocument/2006/relationships" ref="J133" r:id="rId659"/>
    <hyperlink xmlns:r="http://schemas.openxmlformats.org/officeDocument/2006/relationships" ref="K133" r:id="rId660"/>
    <hyperlink xmlns:r="http://schemas.openxmlformats.org/officeDocument/2006/relationships" ref="G134" r:id="rId661"/>
    <hyperlink xmlns:r="http://schemas.openxmlformats.org/officeDocument/2006/relationships" ref="H134" r:id="rId662"/>
    <hyperlink xmlns:r="http://schemas.openxmlformats.org/officeDocument/2006/relationships" ref="I134" r:id="rId663"/>
    <hyperlink xmlns:r="http://schemas.openxmlformats.org/officeDocument/2006/relationships" ref="J134" r:id="rId664"/>
    <hyperlink xmlns:r="http://schemas.openxmlformats.org/officeDocument/2006/relationships" ref="K134" r:id="rId665"/>
    <hyperlink xmlns:r="http://schemas.openxmlformats.org/officeDocument/2006/relationships" ref="G135" r:id="rId666"/>
    <hyperlink xmlns:r="http://schemas.openxmlformats.org/officeDocument/2006/relationships" ref="H135" r:id="rId667"/>
    <hyperlink xmlns:r="http://schemas.openxmlformats.org/officeDocument/2006/relationships" ref="I135" r:id="rId668"/>
    <hyperlink xmlns:r="http://schemas.openxmlformats.org/officeDocument/2006/relationships" ref="J135" r:id="rId669"/>
    <hyperlink xmlns:r="http://schemas.openxmlformats.org/officeDocument/2006/relationships" ref="K135" r:id="rId670"/>
    <hyperlink xmlns:r="http://schemas.openxmlformats.org/officeDocument/2006/relationships" ref="G136" r:id="rId671"/>
    <hyperlink xmlns:r="http://schemas.openxmlformats.org/officeDocument/2006/relationships" ref="H136" r:id="rId672"/>
    <hyperlink xmlns:r="http://schemas.openxmlformats.org/officeDocument/2006/relationships" ref="I136" r:id="rId673"/>
    <hyperlink xmlns:r="http://schemas.openxmlformats.org/officeDocument/2006/relationships" ref="J136" r:id="rId674"/>
    <hyperlink xmlns:r="http://schemas.openxmlformats.org/officeDocument/2006/relationships" ref="K136" r:id="rId675"/>
    <hyperlink xmlns:r="http://schemas.openxmlformats.org/officeDocument/2006/relationships" ref="G137" r:id="rId676"/>
    <hyperlink xmlns:r="http://schemas.openxmlformats.org/officeDocument/2006/relationships" ref="H137" r:id="rId677"/>
    <hyperlink xmlns:r="http://schemas.openxmlformats.org/officeDocument/2006/relationships" ref="I137" r:id="rId678"/>
    <hyperlink xmlns:r="http://schemas.openxmlformats.org/officeDocument/2006/relationships" ref="J137" r:id="rId679"/>
    <hyperlink xmlns:r="http://schemas.openxmlformats.org/officeDocument/2006/relationships" ref="K137" r:id="rId680"/>
    <hyperlink xmlns:r="http://schemas.openxmlformats.org/officeDocument/2006/relationships" ref="G138" r:id="rId681"/>
    <hyperlink xmlns:r="http://schemas.openxmlformats.org/officeDocument/2006/relationships" ref="H138" r:id="rId682"/>
    <hyperlink xmlns:r="http://schemas.openxmlformats.org/officeDocument/2006/relationships" ref="I138" r:id="rId683"/>
    <hyperlink xmlns:r="http://schemas.openxmlformats.org/officeDocument/2006/relationships" ref="J138" r:id="rId684"/>
    <hyperlink xmlns:r="http://schemas.openxmlformats.org/officeDocument/2006/relationships" ref="K138" r:id="rId685"/>
    <hyperlink xmlns:r="http://schemas.openxmlformats.org/officeDocument/2006/relationships" ref="G139" r:id="rId686"/>
    <hyperlink xmlns:r="http://schemas.openxmlformats.org/officeDocument/2006/relationships" ref="H139" r:id="rId687"/>
    <hyperlink xmlns:r="http://schemas.openxmlformats.org/officeDocument/2006/relationships" ref="I139" r:id="rId688"/>
    <hyperlink xmlns:r="http://schemas.openxmlformats.org/officeDocument/2006/relationships" ref="J139" r:id="rId689"/>
    <hyperlink xmlns:r="http://schemas.openxmlformats.org/officeDocument/2006/relationships" ref="K139" r:id="rId690"/>
    <hyperlink xmlns:r="http://schemas.openxmlformats.org/officeDocument/2006/relationships" ref="G140" r:id="rId691"/>
    <hyperlink xmlns:r="http://schemas.openxmlformats.org/officeDocument/2006/relationships" ref="H140" r:id="rId692"/>
    <hyperlink xmlns:r="http://schemas.openxmlformats.org/officeDocument/2006/relationships" ref="I140" r:id="rId693"/>
    <hyperlink xmlns:r="http://schemas.openxmlformats.org/officeDocument/2006/relationships" ref="J140" r:id="rId694"/>
    <hyperlink xmlns:r="http://schemas.openxmlformats.org/officeDocument/2006/relationships" ref="K140" r:id="rId695"/>
    <hyperlink xmlns:r="http://schemas.openxmlformats.org/officeDocument/2006/relationships" ref="G141" r:id="rId696"/>
    <hyperlink xmlns:r="http://schemas.openxmlformats.org/officeDocument/2006/relationships" ref="H141" r:id="rId697"/>
    <hyperlink xmlns:r="http://schemas.openxmlformats.org/officeDocument/2006/relationships" ref="I141" r:id="rId698"/>
    <hyperlink xmlns:r="http://schemas.openxmlformats.org/officeDocument/2006/relationships" ref="J141" r:id="rId699"/>
    <hyperlink xmlns:r="http://schemas.openxmlformats.org/officeDocument/2006/relationships" ref="K141" r:id="rId700"/>
    <hyperlink xmlns:r="http://schemas.openxmlformats.org/officeDocument/2006/relationships" ref="G142" r:id="rId701"/>
    <hyperlink xmlns:r="http://schemas.openxmlformats.org/officeDocument/2006/relationships" ref="H142" r:id="rId702"/>
    <hyperlink xmlns:r="http://schemas.openxmlformats.org/officeDocument/2006/relationships" ref="I142" r:id="rId703"/>
    <hyperlink xmlns:r="http://schemas.openxmlformats.org/officeDocument/2006/relationships" ref="J142" r:id="rId704"/>
    <hyperlink xmlns:r="http://schemas.openxmlformats.org/officeDocument/2006/relationships" ref="K142" r:id="rId705"/>
    <hyperlink xmlns:r="http://schemas.openxmlformats.org/officeDocument/2006/relationships" ref="G143" r:id="rId706"/>
    <hyperlink xmlns:r="http://schemas.openxmlformats.org/officeDocument/2006/relationships" ref="H143" r:id="rId707"/>
    <hyperlink xmlns:r="http://schemas.openxmlformats.org/officeDocument/2006/relationships" ref="I143" r:id="rId708"/>
    <hyperlink xmlns:r="http://schemas.openxmlformats.org/officeDocument/2006/relationships" ref="J143" r:id="rId709"/>
    <hyperlink xmlns:r="http://schemas.openxmlformats.org/officeDocument/2006/relationships" ref="K143" r:id="rId710"/>
    <hyperlink xmlns:r="http://schemas.openxmlformats.org/officeDocument/2006/relationships" ref="G144" r:id="rId711"/>
    <hyperlink xmlns:r="http://schemas.openxmlformats.org/officeDocument/2006/relationships" ref="H144" r:id="rId712"/>
    <hyperlink xmlns:r="http://schemas.openxmlformats.org/officeDocument/2006/relationships" ref="I144" r:id="rId713"/>
    <hyperlink xmlns:r="http://schemas.openxmlformats.org/officeDocument/2006/relationships" ref="J144" r:id="rId714"/>
    <hyperlink xmlns:r="http://schemas.openxmlformats.org/officeDocument/2006/relationships" ref="K144" r:id="rId715"/>
    <hyperlink xmlns:r="http://schemas.openxmlformats.org/officeDocument/2006/relationships" ref="G145" r:id="rId716"/>
    <hyperlink xmlns:r="http://schemas.openxmlformats.org/officeDocument/2006/relationships" ref="H145" r:id="rId717"/>
    <hyperlink xmlns:r="http://schemas.openxmlformats.org/officeDocument/2006/relationships" ref="I145" r:id="rId718"/>
    <hyperlink xmlns:r="http://schemas.openxmlformats.org/officeDocument/2006/relationships" ref="J145" r:id="rId719"/>
    <hyperlink xmlns:r="http://schemas.openxmlformats.org/officeDocument/2006/relationships" ref="K145" r:id="rId720"/>
    <hyperlink xmlns:r="http://schemas.openxmlformats.org/officeDocument/2006/relationships" ref="G146" r:id="rId721"/>
    <hyperlink xmlns:r="http://schemas.openxmlformats.org/officeDocument/2006/relationships" ref="H146" r:id="rId722"/>
    <hyperlink xmlns:r="http://schemas.openxmlformats.org/officeDocument/2006/relationships" ref="I146" r:id="rId723"/>
    <hyperlink xmlns:r="http://schemas.openxmlformats.org/officeDocument/2006/relationships" ref="J146" r:id="rId724"/>
    <hyperlink xmlns:r="http://schemas.openxmlformats.org/officeDocument/2006/relationships" ref="K146" r:id="rId725"/>
    <hyperlink xmlns:r="http://schemas.openxmlformats.org/officeDocument/2006/relationships" ref="G147" r:id="rId726"/>
    <hyperlink xmlns:r="http://schemas.openxmlformats.org/officeDocument/2006/relationships" ref="H147" r:id="rId727"/>
    <hyperlink xmlns:r="http://schemas.openxmlformats.org/officeDocument/2006/relationships" ref="I147" r:id="rId728"/>
    <hyperlink xmlns:r="http://schemas.openxmlformats.org/officeDocument/2006/relationships" ref="J147" r:id="rId729"/>
    <hyperlink xmlns:r="http://schemas.openxmlformats.org/officeDocument/2006/relationships" ref="K147" r:id="rId730"/>
    <hyperlink xmlns:r="http://schemas.openxmlformats.org/officeDocument/2006/relationships" ref="G148" r:id="rId731"/>
    <hyperlink xmlns:r="http://schemas.openxmlformats.org/officeDocument/2006/relationships" ref="H148" r:id="rId732"/>
    <hyperlink xmlns:r="http://schemas.openxmlformats.org/officeDocument/2006/relationships" ref="I148" r:id="rId733"/>
    <hyperlink xmlns:r="http://schemas.openxmlformats.org/officeDocument/2006/relationships" ref="J148" r:id="rId734"/>
    <hyperlink xmlns:r="http://schemas.openxmlformats.org/officeDocument/2006/relationships" ref="K148" r:id="rId735"/>
    <hyperlink xmlns:r="http://schemas.openxmlformats.org/officeDocument/2006/relationships" ref="G149" r:id="rId736"/>
    <hyperlink xmlns:r="http://schemas.openxmlformats.org/officeDocument/2006/relationships" ref="H149" r:id="rId737"/>
    <hyperlink xmlns:r="http://schemas.openxmlformats.org/officeDocument/2006/relationships" ref="I149" r:id="rId738"/>
    <hyperlink xmlns:r="http://schemas.openxmlformats.org/officeDocument/2006/relationships" ref="J149" r:id="rId739"/>
    <hyperlink xmlns:r="http://schemas.openxmlformats.org/officeDocument/2006/relationships" ref="K149" r:id="rId740"/>
    <hyperlink xmlns:r="http://schemas.openxmlformats.org/officeDocument/2006/relationships" ref="G150" r:id="rId741"/>
    <hyperlink xmlns:r="http://schemas.openxmlformats.org/officeDocument/2006/relationships" ref="H150" r:id="rId742"/>
    <hyperlink xmlns:r="http://schemas.openxmlformats.org/officeDocument/2006/relationships" ref="I150" r:id="rId743"/>
    <hyperlink xmlns:r="http://schemas.openxmlformats.org/officeDocument/2006/relationships" ref="J150" r:id="rId744"/>
    <hyperlink xmlns:r="http://schemas.openxmlformats.org/officeDocument/2006/relationships" ref="K150" r:id="rId745"/>
    <hyperlink xmlns:r="http://schemas.openxmlformats.org/officeDocument/2006/relationships" ref="G151" r:id="rId746"/>
    <hyperlink xmlns:r="http://schemas.openxmlformats.org/officeDocument/2006/relationships" ref="H151" r:id="rId747"/>
    <hyperlink xmlns:r="http://schemas.openxmlformats.org/officeDocument/2006/relationships" ref="I151" r:id="rId748"/>
    <hyperlink xmlns:r="http://schemas.openxmlformats.org/officeDocument/2006/relationships" ref="J151" r:id="rId749"/>
    <hyperlink xmlns:r="http://schemas.openxmlformats.org/officeDocument/2006/relationships" ref="K151" r:id="rId750"/>
    <hyperlink xmlns:r="http://schemas.openxmlformats.org/officeDocument/2006/relationships" ref="G152" r:id="rId751"/>
    <hyperlink xmlns:r="http://schemas.openxmlformats.org/officeDocument/2006/relationships" ref="H152" r:id="rId752"/>
    <hyperlink xmlns:r="http://schemas.openxmlformats.org/officeDocument/2006/relationships" ref="I152" r:id="rId753"/>
    <hyperlink xmlns:r="http://schemas.openxmlformats.org/officeDocument/2006/relationships" ref="J152" r:id="rId754"/>
    <hyperlink xmlns:r="http://schemas.openxmlformats.org/officeDocument/2006/relationships" ref="K152" r:id="rId755"/>
    <hyperlink xmlns:r="http://schemas.openxmlformats.org/officeDocument/2006/relationships" ref="G153" r:id="rId756"/>
    <hyperlink xmlns:r="http://schemas.openxmlformats.org/officeDocument/2006/relationships" ref="H153" r:id="rId757"/>
    <hyperlink xmlns:r="http://schemas.openxmlformats.org/officeDocument/2006/relationships" ref="I153" r:id="rId758"/>
    <hyperlink xmlns:r="http://schemas.openxmlformats.org/officeDocument/2006/relationships" ref="J153" r:id="rId759"/>
    <hyperlink xmlns:r="http://schemas.openxmlformats.org/officeDocument/2006/relationships" ref="K153" r:id="rId760"/>
    <hyperlink xmlns:r="http://schemas.openxmlformats.org/officeDocument/2006/relationships" ref="G154" r:id="rId761"/>
    <hyperlink xmlns:r="http://schemas.openxmlformats.org/officeDocument/2006/relationships" ref="H154" r:id="rId762"/>
    <hyperlink xmlns:r="http://schemas.openxmlformats.org/officeDocument/2006/relationships" ref="I154" r:id="rId763"/>
    <hyperlink xmlns:r="http://schemas.openxmlformats.org/officeDocument/2006/relationships" ref="J154" r:id="rId764"/>
    <hyperlink xmlns:r="http://schemas.openxmlformats.org/officeDocument/2006/relationships" ref="K154" r:id="rId765"/>
    <hyperlink xmlns:r="http://schemas.openxmlformats.org/officeDocument/2006/relationships" ref="G155" r:id="rId766"/>
    <hyperlink xmlns:r="http://schemas.openxmlformats.org/officeDocument/2006/relationships" ref="H155" r:id="rId767"/>
    <hyperlink xmlns:r="http://schemas.openxmlformats.org/officeDocument/2006/relationships" ref="I155" r:id="rId768"/>
    <hyperlink xmlns:r="http://schemas.openxmlformats.org/officeDocument/2006/relationships" ref="J155" r:id="rId769"/>
    <hyperlink xmlns:r="http://schemas.openxmlformats.org/officeDocument/2006/relationships" ref="K155" r:id="rId770"/>
    <hyperlink xmlns:r="http://schemas.openxmlformats.org/officeDocument/2006/relationships" ref="G156" r:id="rId771"/>
    <hyperlink xmlns:r="http://schemas.openxmlformats.org/officeDocument/2006/relationships" ref="H156" r:id="rId772"/>
    <hyperlink xmlns:r="http://schemas.openxmlformats.org/officeDocument/2006/relationships" ref="I156" r:id="rId773"/>
    <hyperlink xmlns:r="http://schemas.openxmlformats.org/officeDocument/2006/relationships" ref="J156" r:id="rId774"/>
    <hyperlink xmlns:r="http://schemas.openxmlformats.org/officeDocument/2006/relationships" ref="K156" r:id="rId775"/>
    <hyperlink xmlns:r="http://schemas.openxmlformats.org/officeDocument/2006/relationships" ref="G157" r:id="rId776"/>
    <hyperlink xmlns:r="http://schemas.openxmlformats.org/officeDocument/2006/relationships" ref="H157" r:id="rId777"/>
    <hyperlink xmlns:r="http://schemas.openxmlformats.org/officeDocument/2006/relationships" ref="I157" r:id="rId778"/>
    <hyperlink xmlns:r="http://schemas.openxmlformats.org/officeDocument/2006/relationships" ref="J157" r:id="rId779"/>
    <hyperlink xmlns:r="http://schemas.openxmlformats.org/officeDocument/2006/relationships" ref="K157" r:id="rId780"/>
    <hyperlink xmlns:r="http://schemas.openxmlformats.org/officeDocument/2006/relationships" ref="G158" r:id="rId781"/>
    <hyperlink xmlns:r="http://schemas.openxmlformats.org/officeDocument/2006/relationships" ref="H158" r:id="rId782"/>
    <hyperlink xmlns:r="http://schemas.openxmlformats.org/officeDocument/2006/relationships" ref="I158" r:id="rId783"/>
    <hyperlink xmlns:r="http://schemas.openxmlformats.org/officeDocument/2006/relationships" ref="J158" r:id="rId784"/>
    <hyperlink xmlns:r="http://schemas.openxmlformats.org/officeDocument/2006/relationships" ref="K158" r:id="rId785"/>
    <hyperlink xmlns:r="http://schemas.openxmlformats.org/officeDocument/2006/relationships" ref="G159" r:id="rId786"/>
    <hyperlink xmlns:r="http://schemas.openxmlformats.org/officeDocument/2006/relationships" ref="H159" r:id="rId787"/>
    <hyperlink xmlns:r="http://schemas.openxmlformats.org/officeDocument/2006/relationships" ref="I159" r:id="rId788"/>
    <hyperlink xmlns:r="http://schemas.openxmlformats.org/officeDocument/2006/relationships" ref="J159" r:id="rId789"/>
    <hyperlink xmlns:r="http://schemas.openxmlformats.org/officeDocument/2006/relationships" ref="K159" r:id="rId790"/>
    <hyperlink xmlns:r="http://schemas.openxmlformats.org/officeDocument/2006/relationships" ref="G160" r:id="rId791"/>
    <hyperlink xmlns:r="http://schemas.openxmlformats.org/officeDocument/2006/relationships" ref="H160" r:id="rId792"/>
    <hyperlink xmlns:r="http://schemas.openxmlformats.org/officeDocument/2006/relationships" ref="I160" r:id="rId793"/>
    <hyperlink xmlns:r="http://schemas.openxmlformats.org/officeDocument/2006/relationships" ref="J160" r:id="rId794"/>
    <hyperlink xmlns:r="http://schemas.openxmlformats.org/officeDocument/2006/relationships" ref="K160" r:id="rId795"/>
    <hyperlink xmlns:r="http://schemas.openxmlformats.org/officeDocument/2006/relationships" ref="G161" r:id="rId796"/>
    <hyperlink xmlns:r="http://schemas.openxmlformats.org/officeDocument/2006/relationships" ref="H161" r:id="rId797"/>
    <hyperlink xmlns:r="http://schemas.openxmlformats.org/officeDocument/2006/relationships" ref="I161" r:id="rId798"/>
    <hyperlink xmlns:r="http://schemas.openxmlformats.org/officeDocument/2006/relationships" ref="J161" r:id="rId799"/>
    <hyperlink xmlns:r="http://schemas.openxmlformats.org/officeDocument/2006/relationships" ref="K161" r:id="rId800"/>
    <hyperlink xmlns:r="http://schemas.openxmlformats.org/officeDocument/2006/relationships" ref="G162" r:id="rId801"/>
    <hyperlink xmlns:r="http://schemas.openxmlformats.org/officeDocument/2006/relationships" ref="H162" r:id="rId802"/>
    <hyperlink xmlns:r="http://schemas.openxmlformats.org/officeDocument/2006/relationships" ref="I162" r:id="rId803"/>
    <hyperlink xmlns:r="http://schemas.openxmlformats.org/officeDocument/2006/relationships" ref="J162" r:id="rId804"/>
    <hyperlink xmlns:r="http://schemas.openxmlformats.org/officeDocument/2006/relationships" ref="K162" r:id="rId805"/>
    <hyperlink xmlns:r="http://schemas.openxmlformats.org/officeDocument/2006/relationships" ref="G163" r:id="rId806"/>
    <hyperlink xmlns:r="http://schemas.openxmlformats.org/officeDocument/2006/relationships" ref="H163" r:id="rId807"/>
    <hyperlink xmlns:r="http://schemas.openxmlformats.org/officeDocument/2006/relationships" ref="I163" r:id="rId808"/>
    <hyperlink xmlns:r="http://schemas.openxmlformats.org/officeDocument/2006/relationships" ref="J163" r:id="rId809"/>
    <hyperlink xmlns:r="http://schemas.openxmlformats.org/officeDocument/2006/relationships" ref="K163" r:id="rId810"/>
    <hyperlink xmlns:r="http://schemas.openxmlformats.org/officeDocument/2006/relationships" ref="G164" r:id="rId811"/>
    <hyperlink xmlns:r="http://schemas.openxmlformats.org/officeDocument/2006/relationships" ref="H164" r:id="rId812"/>
    <hyperlink xmlns:r="http://schemas.openxmlformats.org/officeDocument/2006/relationships" ref="I164" r:id="rId813"/>
    <hyperlink xmlns:r="http://schemas.openxmlformats.org/officeDocument/2006/relationships" ref="J164" r:id="rId814"/>
    <hyperlink xmlns:r="http://schemas.openxmlformats.org/officeDocument/2006/relationships" ref="K164" r:id="rId815"/>
    <hyperlink xmlns:r="http://schemas.openxmlformats.org/officeDocument/2006/relationships" ref="G165" r:id="rId816"/>
    <hyperlink xmlns:r="http://schemas.openxmlformats.org/officeDocument/2006/relationships" ref="H165" r:id="rId817"/>
    <hyperlink xmlns:r="http://schemas.openxmlformats.org/officeDocument/2006/relationships" ref="I165" r:id="rId818"/>
    <hyperlink xmlns:r="http://schemas.openxmlformats.org/officeDocument/2006/relationships" ref="J165" r:id="rId819"/>
    <hyperlink xmlns:r="http://schemas.openxmlformats.org/officeDocument/2006/relationships" ref="K165" r:id="rId820"/>
    <hyperlink xmlns:r="http://schemas.openxmlformats.org/officeDocument/2006/relationships" ref="G166" r:id="rId821"/>
    <hyperlink xmlns:r="http://schemas.openxmlformats.org/officeDocument/2006/relationships" ref="H166" r:id="rId822"/>
    <hyperlink xmlns:r="http://schemas.openxmlformats.org/officeDocument/2006/relationships" ref="I166" r:id="rId823"/>
    <hyperlink xmlns:r="http://schemas.openxmlformats.org/officeDocument/2006/relationships" ref="J166" r:id="rId824"/>
    <hyperlink xmlns:r="http://schemas.openxmlformats.org/officeDocument/2006/relationships" ref="K166" r:id="rId825"/>
    <hyperlink xmlns:r="http://schemas.openxmlformats.org/officeDocument/2006/relationships" ref="G167" r:id="rId826"/>
    <hyperlink xmlns:r="http://schemas.openxmlformats.org/officeDocument/2006/relationships" ref="H167" r:id="rId827"/>
    <hyperlink xmlns:r="http://schemas.openxmlformats.org/officeDocument/2006/relationships" ref="I167" r:id="rId828"/>
    <hyperlink xmlns:r="http://schemas.openxmlformats.org/officeDocument/2006/relationships" ref="J167" r:id="rId829"/>
    <hyperlink xmlns:r="http://schemas.openxmlformats.org/officeDocument/2006/relationships" ref="K167" r:id="rId830"/>
    <hyperlink xmlns:r="http://schemas.openxmlformats.org/officeDocument/2006/relationships" ref="G168" r:id="rId831"/>
    <hyperlink xmlns:r="http://schemas.openxmlformats.org/officeDocument/2006/relationships" ref="H168" r:id="rId832"/>
    <hyperlink xmlns:r="http://schemas.openxmlformats.org/officeDocument/2006/relationships" ref="I168" r:id="rId833"/>
    <hyperlink xmlns:r="http://schemas.openxmlformats.org/officeDocument/2006/relationships" ref="J168" r:id="rId834"/>
    <hyperlink xmlns:r="http://schemas.openxmlformats.org/officeDocument/2006/relationships" ref="K168" r:id="rId835"/>
    <hyperlink xmlns:r="http://schemas.openxmlformats.org/officeDocument/2006/relationships" ref="G169" r:id="rId836"/>
    <hyperlink xmlns:r="http://schemas.openxmlformats.org/officeDocument/2006/relationships" ref="H169" r:id="rId837"/>
    <hyperlink xmlns:r="http://schemas.openxmlformats.org/officeDocument/2006/relationships" ref="I169" r:id="rId838"/>
    <hyperlink xmlns:r="http://schemas.openxmlformats.org/officeDocument/2006/relationships" ref="J169" r:id="rId839"/>
    <hyperlink xmlns:r="http://schemas.openxmlformats.org/officeDocument/2006/relationships" ref="K169" r:id="rId840"/>
    <hyperlink xmlns:r="http://schemas.openxmlformats.org/officeDocument/2006/relationships" ref="G170" r:id="rId841"/>
    <hyperlink xmlns:r="http://schemas.openxmlformats.org/officeDocument/2006/relationships" ref="H170" r:id="rId842"/>
    <hyperlink xmlns:r="http://schemas.openxmlformats.org/officeDocument/2006/relationships" ref="I170" r:id="rId843"/>
    <hyperlink xmlns:r="http://schemas.openxmlformats.org/officeDocument/2006/relationships" ref="J170" r:id="rId844"/>
    <hyperlink xmlns:r="http://schemas.openxmlformats.org/officeDocument/2006/relationships" ref="K170" r:id="rId845"/>
    <hyperlink xmlns:r="http://schemas.openxmlformats.org/officeDocument/2006/relationships" ref="G171" r:id="rId846"/>
    <hyperlink xmlns:r="http://schemas.openxmlformats.org/officeDocument/2006/relationships" ref="H171" r:id="rId847"/>
    <hyperlink xmlns:r="http://schemas.openxmlformats.org/officeDocument/2006/relationships" ref="I171" r:id="rId848"/>
    <hyperlink xmlns:r="http://schemas.openxmlformats.org/officeDocument/2006/relationships" ref="J171" r:id="rId849"/>
    <hyperlink xmlns:r="http://schemas.openxmlformats.org/officeDocument/2006/relationships" ref="K171" r:id="rId850"/>
    <hyperlink xmlns:r="http://schemas.openxmlformats.org/officeDocument/2006/relationships" ref="G172" r:id="rId851"/>
    <hyperlink xmlns:r="http://schemas.openxmlformats.org/officeDocument/2006/relationships" ref="H172" r:id="rId852"/>
    <hyperlink xmlns:r="http://schemas.openxmlformats.org/officeDocument/2006/relationships" ref="I172" r:id="rId853"/>
    <hyperlink xmlns:r="http://schemas.openxmlformats.org/officeDocument/2006/relationships" ref="J172" r:id="rId854"/>
    <hyperlink xmlns:r="http://schemas.openxmlformats.org/officeDocument/2006/relationships" ref="K172" r:id="rId855"/>
    <hyperlink xmlns:r="http://schemas.openxmlformats.org/officeDocument/2006/relationships" ref="G173" r:id="rId856"/>
    <hyperlink xmlns:r="http://schemas.openxmlformats.org/officeDocument/2006/relationships" ref="H173" r:id="rId857"/>
    <hyperlink xmlns:r="http://schemas.openxmlformats.org/officeDocument/2006/relationships" ref="I173" r:id="rId858"/>
    <hyperlink xmlns:r="http://schemas.openxmlformats.org/officeDocument/2006/relationships" ref="J173" r:id="rId859"/>
    <hyperlink xmlns:r="http://schemas.openxmlformats.org/officeDocument/2006/relationships" ref="K173" r:id="rId860"/>
    <hyperlink xmlns:r="http://schemas.openxmlformats.org/officeDocument/2006/relationships" ref="G174" r:id="rId861"/>
    <hyperlink xmlns:r="http://schemas.openxmlformats.org/officeDocument/2006/relationships" ref="H174" r:id="rId862"/>
    <hyperlink xmlns:r="http://schemas.openxmlformats.org/officeDocument/2006/relationships" ref="I174" r:id="rId863"/>
    <hyperlink xmlns:r="http://schemas.openxmlformats.org/officeDocument/2006/relationships" ref="J174" r:id="rId864"/>
    <hyperlink xmlns:r="http://schemas.openxmlformats.org/officeDocument/2006/relationships" ref="K174" r:id="rId865"/>
    <hyperlink xmlns:r="http://schemas.openxmlformats.org/officeDocument/2006/relationships" ref="G175" r:id="rId866"/>
    <hyperlink xmlns:r="http://schemas.openxmlformats.org/officeDocument/2006/relationships" ref="H175" r:id="rId867"/>
    <hyperlink xmlns:r="http://schemas.openxmlformats.org/officeDocument/2006/relationships" ref="I175" r:id="rId868"/>
    <hyperlink xmlns:r="http://schemas.openxmlformats.org/officeDocument/2006/relationships" ref="J175" r:id="rId869"/>
    <hyperlink xmlns:r="http://schemas.openxmlformats.org/officeDocument/2006/relationships" ref="K175" r:id="rId870"/>
    <hyperlink xmlns:r="http://schemas.openxmlformats.org/officeDocument/2006/relationships" ref="G176" r:id="rId871"/>
    <hyperlink xmlns:r="http://schemas.openxmlformats.org/officeDocument/2006/relationships" ref="H176" r:id="rId872"/>
    <hyperlink xmlns:r="http://schemas.openxmlformats.org/officeDocument/2006/relationships" ref="I176" r:id="rId873"/>
    <hyperlink xmlns:r="http://schemas.openxmlformats.org/officeDocument/2006/relationships" ref="J176" r:id="rId874"/>
    <hyperlink xmlns:r="http://schemas.openxmlformats.org/officeDocument/2006/relationships" ref="K176" r:id="rId875"/>
    <hyperlink xmlns:r="http://schemas.openxmlformats.org/officeDocument/2006/relationships" ref="G177" r:id="rId876"/>
    <hyperlink xmlns:r="http://schemas.openxmlformats.org/officeDocument/2006/relationships" ref="H177" r:id="rId877"/>
    <hyperlink xmlns:r="http://schemas.openxmlformats.org/officeDocument/2006/relationships" ref="I177" r:id="rId878"/>
    <hyperlink xmlns:r="http://schemas.openxmlformats.org/officeDocument/2006/relationships" ref="J177" r:id="rId879"/>
    <hyperlink xmlns:r="http://schemas.openxmlformats.org/officeDocument/2006/relationships" ref="K177" r:id="rId880"/>
    <hyperlink xmlns:r="http://schemas.openxmlformats.org/officeDocument/2006/relationships" ref="G178" r:id="rId881"/>
    <hyperlink xmlns:r="http://schemas.openxmlformats.org/officeDocument/2006/relationships" ref="H178" r:id="rId882"/>
    <hyperlink xmlns:r="http://schemas.openxmlformats.org/officeDocument/2006/relationships" ref="I178" r:id="rId883"/>
    <hyperlink xmlns:r="http://schemas.openxmlformats.org/officeDocument/2006/relationships" ref="J178" r:id="rId884"/>
    <hyperlink xmlns:r="http://schemas.openxmlformats.org/officeDocument/2006/relationships" ref="K178" r:id="rId885"/>
    <hyperlink xmlns:r="http://schemas.openxmlformats.org/officeDocument/2006/relationships" ref="G179" r:id="rId886"/>
    <hyperlink xmlns:r="http://schemas.openxmlformats.org/officeDocument/2006/relationships" ref="H179" r:id="rId887"/>
    <hyperlink xmlns:r="http://schemas.openxmlformats.org/officeDocument/2006/relationships" ref="I179" r:id="rId888"/>
    <hyperlink xmlns:r="http://schemas.openxmlformats.org/officeDocument/2006/relationships" ref="J179" r:id="rId889"/>
    <hyperlink xmlns:r="http://schemas.openxmlformats.org/officeDocument/2006/relationships" ref="K179" r:id="rId890"/>
    <hyperlink xmlns:r="http://schemas.openxmlformats.org/officeDocument/2006/relationships" ref="G180" r:id="rId891"/>
    <hyperlink xmlns:r="http://schemas.openxmlformats.org/officeDocument/2006/relationships" ref="H180" r:id="rId892"/>
    <hyperlink xmlns:r="http://schemas.openxmlformats.org/officeDocument/2006/relationships" ref="I180" r:id="rId893"/>
    <hyperlink xmlns:r="http://schemas.openxmlformats.org/officeDocument/2006/relationships" ref="J180" r:id="rId894"/>
    <hyperlink xmlns:r="http://schemas.openxmlformats.org/officeDocument/2006/relationships" ref="K180" r:id="rId895"/>
    <hyperlink xmlns:r="http://schemas.openxmlformats.org/officeDocument/2006/relationships" ref="G181" r:id="rId896"/>
    <hyperlink xmlns:r="http://schemas.openxmlformats.org/officeDocument/2006/relationships" ref="H181" r:id="rId897"/>
    <hyperlink xmlns:r="http://schemas.openxmlformats.org/officeDocument/2006/relationships" ref="I181" r:id="rId898"/>
    <hyperlink xmlns:r="http://schemas.openxmlformats.org/officeDocument/2006/relationships" ref="J181" r:id="rId899"/>
    <hyperlink xmlns:r="http://schemas.openxmlformats.org/officeDocument/2006/relationships" ref="K181" r:id="rId900"/>
    <hyperlink xmlns:r="http://schemas.openxmlformats.org/officeDocument/2006/relationships" ref="G182" r:id="rId901"/>
    <hyperlink xmlns:r="http://schemas.openxmlformats.org/officeDocument/2006/relationships" ref="H182" r:id="rId902"/>
    <hyperlink xmlns:r="http://schemas.openxmlformats.org/officeDocument/2006/relationships" ref="I182" r:id="rId903"/>
    <hyperlink xmlns:r="http://schemas.openxmlformats.org/officeDocument/2006/relationships" ref="J182" r:id="rId904"/>
    <hyperlink xmlns:r="http://schemas.openxmlformats.org/officeDocument/2006/relationships" ref="K182" r:id="rId905"/>
    <hyperlink xmlns:r="http://schemas.openxmlformats.org/officeDocument/2006/relationships" ref="G183" r:id="rId906"/>
    <hyperlink xmlns:r="http://schemas.openxmlformats.org/officeDocument/2006/relationships" ref="H183" r:id="rId907"/>
    <hyperlink xmlns:r="http://schemas.openxmlformats.org/officeDocument/2006/relationships" ref="I183" r:id="rId908"/>
    <hyperlink xmlns:r="http://schemas.openxmlformats.org/officeDocument/2006/relationships" ref="J183" r:id="rId909"/>
    <hyperlink xmlns:r="http://schemas.openxmlformats.org/officeDocument/2006/relationships" ref="K183" r:id="rId910"/>
    <hyperlink xmlns:r="http://schemas.openxmlformats.org/officeDocument/2006/relationships" ref="G184" r:id="rId911"/>
    <hyperlink xmlns:r="http://schemas.openxmlformats.org/officeDocument/2006/relationships" ref="H184" r:id="rId912"/>
    <hyperlink xmlns:r="http://schemas.openxmlformats.org/officeDocument/2006/relationships" ref="I184" r:id="rId913"/>
    <hyperlink xmlns:r="http://schemas.openxmlformats.org/officeDocument/2006/relationships" ref="J184" r:id="rId914"/>
    <hyperlink xmlns:r="http://schemas.openxmlformats.org/officeDocument/2006/relationships" ref="K184" r:id="rId915"/>
    <hyperlink xmlns:r="http://schemas.openxmlformats.org/officeDocument/2006/relationships" ref="G185" r:id="rId916"/>
    <hyperlink xmlns:r="http://schemas.openxmlformats.org/officeDocument/2006/relationships" ref="H185" r:id="rId917"/>
    <hyperlink xmlns:r="http://schemas.openxmlformats.org/officeDocument/2006/relationships" ref="I185" r:id="rId918"/>
    <hyperlink xmlns:r="http://schemas.openxmlformats.org/officeDocument/2006/relationships" ref="J185" r:id="rId919"/>
    <hyperlink xmlns:r="http://schemas.openxmlformats.org/officeDocument/2006/relationships" ref="K185" r:id="rId920"/>
    <hyperlink xmlns:r="http://schemas.openxmlformats.org/officeDocument/2006/relationships" ref="G186" r:id="rId921"/>
    <hyperlink xmlns:r="http://schemas.openxmlformats.org/officeDocument/2006/relationships" ref="H186" r:id="rId922"/>
    <hyperlink xmlns:r="http://schemas.openxmlformats.org/officeDocument/2006/relationships" ref="I186" r:id="rId923"/>
    <hyperlink xmlns:r="http://schemas.openxmlformats.org/officeDocument/2006/relationships" ref="J186" r:id="rId924"/>
    <hyperlink xmlns:r="http://schemas.openxmlformats.org/officeDocument/2006/relationships" ref="K186" r:id="rId925"/>
    <hyperlink xmlns:r="http://schemas.openxmlformats.org/officeDocument/2006/relationships" ref="G187" r:id="rId926"/>
    <hyperlink xmlns:r="http://schemas.openxmlformats.org/officeDocument/2006/relationships" ref="H187" r:id="rId927"/>
    <hyperlink xmlns:r="http://schemas.openxmlformats.org/officeDocument/2006/relationships" ref="I187" r:id="rId928"/>
    <hyperlink xmlns:r="http://schemas.openxmlformats.org/officeDocument/2006/relationships" ref="J187" r:id="rId929"/>
    <hyperlink xmlns:r="http://schemas.openxmlformats.org/officeDocument/2006/relationships" ref="K187" r:id="rId930"/>
    <hyperlink xmlns:r="http://schemas.openxmlformats.org/officeDocument/2006/relationships" ref="G188" r:id="rId931"/>
    <hyperlink xmlns:r="http://schemas.openxmlformats.org/officeDocument/2006/relationships" ref="H188" r:id="rId932"/>
    <hyperlink xmlns:r="http://schemas.openxmlformats.org/officeDocument/2006/relationships" ref="I188" r:id="rId933"/>
    <hyperlink xmlns:r="http://schemas.openxmlformats.org/officeDocument/2006/relationships" ref="J188" r:id="rId934"/>
    <hyperlink xmlns:r="http://schemas.openxmlformats.org/officeDocument/2006/relationships" ref="K188" r:id="rId935"/>
    <hyperlink xmlns:r="http://schemas.openxmlformats.org/officeDocument/2006/relationships" ref="G189" r:id="rId936"/>
    <hyperlink xmlns:r="http://schemas.openxmlformats.org/officeDocument/2006/relationships" ref="H189" r:id="rId937"/>
    <hyperlink xmlns:r="http://schemas.openxmlformats.org/officeDocument/2006/relationships" ref="I189" r:id="rId938"/>
    <hyperlink xmlns:r="http://schemas.openxmlformats.org/officeDocument/2006/relationships" ref="J189" r:id="rId939"/>
    <hyperlink xmlns:r="http://schemas.openxmlformats.org/officeDocument/2006/relationships" ref="K189" r:id="rId940"/>
    <hyperlink xmlns:r="http://schemas.openxmlformats.org/officeDocument/2006/relationships" ref="G190" r:id="rId941"/>
    <hyperlink xmlns:r="http://schemas.openxmlformats.org/officeDocument/2006/relationships" ref="H190" r:id="rId942"/>
    <hyperlink xmlns:r="http://schemas.openxmlformats.org/officeDocument/2006/relationships" ref="I190" r:id="rId943"/>
    <hyperlink xmlns:r="http://schemas.openxmlformats.org/officeDocument/2006/relationships" ref="J190" r:id="rId944"/>
    <hyperlink xmlns:r="http://schemas.openxmlformats.org/officeDocument/2006/relationships" ref="K190" r:id="rId945"/>
    <hyperlink xmlns:r="http://schemas.openxmlformats.org/officeDocument/2006/relationships" ref="G191" r:id="rId946"/>
    <hyperlink xmlns:r="http://schemas.openxmlformats.org/officeDocument/2006/relationships" ref="H191" r:id="rId947"/>
    <hyperlink xmlns:r="http://schemas.openxmlformats.org/officeDocument/2006/relationships" ref="I191" r:id="rId948"/>
    <hyperlink xmlns:r="http://schemas.openxmlformats.org/officeDocument/2006/relationships" ref="J191" r:id="rId949"/>
    <hyperlink xmlns:r="http://schemas.openxmlformats.org/officeDocument/2006/relationships" ref="K191" r:id="rId950"/>
    <hyperlink xmlns:r="http://schemas.openxmlformats.org/officeDocument/2006/relationships" ref="G192" r:id="rId951"/>
    <hyperlink xmlns:r="http://schemas.openxmlformats.org/officeDocument/2006/relationships" ref="H192" r:id="rId952"/>
    <hyperlink xmlns:r="http://schemas.openxmlformats.org/officeDocument/2006/relationships" ref="I192" r:id="rId953"/>
    <hyperlink xmlns:r="http://schemas.openxmlformats.org/officeDocument/2006/relationships" ref="J192" r:id="rId954"/>
    <hyperlink xmlns:r="http://schemas.openxmlformats.org/officeDocument/2006/relationships" ref="K192" r:id="rId955"/>
    <hyperlink xmlns:r="http://schemas.openxmlformats.org/officeDocument/2006/relationships" ref="G193" r:id="rId956"/>
    <hyperlink xmlns:r="http://schemas.openxmlformats.org/officeDocument/2006/relationships" ref="H193" r:id="rId957"/>
    <hyperlink xmlns:r="http://schemas.openxmlformats.org/officeDocument/2006/relationships" ref="I193" r:id="rId958"/>
    <hyperlink xmlns:r="http://schemas.openxmlformats.org/officeDocument/2006/relationships" ref="J193" r:id="rId959"/>
    <hyperlink xmlns:r="http://schemas.openxmlformats.org/officeDocument/2006/relationships" ref="K193" r:id="rId960"/>
    <hyperlink xmlns:r="http://schemas.openxmlformats.org/officeDocument/2006/relationships" ref="G194" r:id="rId961"/>
    <hyperlink xmlns:r="http://schemas.openxmlformats.org/officeDocument/2006/relationships" ref="H194" r:id="rId962"/>
    <hyperlink xmlns:r="http://schemas.openxmlformats.org/officeDocument/2006/relationships" ref="I194" r:id="rId963"/>
    <hyperlink xmlns:r="http://schemas.openxmlformats.org/officeDocument/2006/relationships" ref="J194" r:id="rId964"/>
    <hyperlink xmlns:r="http://schemas.openxmlformats.org/officeDocument/2006/relationships" ref="K194" r:id="rId965"/>
    <hyperlink xmlns:r="http://schemas.openxmlformats.org/officeDocument/2006/relationships" ref="G195" r:id="rId966"/>
    <hyperlink xmlns:r="http://schemas.openxmlformats.org/officeDocument/2006/relationships" ref="H195" r:id="rId967"/>
    <hyperlink xmlns:r="http://schemas.openxmlformats.org/officeDocument/2006/relationships" ref="I195" r:id="rId968"/>
    <hyperlink xmlns:r="http://schemas.openxmlformats.org/officeDocument/2006/relationships" ref="J195" r:id="rId969"/>
    <hyperlink xmlns:r="http://schemas.openxmlformats.org/officeDocument/2006/relationships" ref="K195" r:id="rId970"/>
    <hyperlink xmlns:r="http://schemas.openxmlformats.org/officeDocument/2006/relationships" ref="G196" r:id="rId971"/>
    <hyperlink xmlns:r="http://schemas.openxmlformats.org/officeDocument/2006/relationships" ref="H196" r:id="rId972"/>
    <hyperlink xmlns:r="http://schemas.openxmlformats.org/officeDocument/2006/relationships" ref="I196" r:id="rId973"/>
    <hyperlink xmlns:r="http://schemas.openxmlformats.org/officeDocument/2006/relationships" ref="J196" r:id="rId974"/>
    <hyperlink xmlns:r="http://schemas.openxmlformats.org/officeDocument/2006/relationships" ref="K196" r:id="rId975"/>
    <hyperlink xmlns:r="http://schemas.openxmlformats.org/officeDocument/2006/relationships" ref="G197" r:id="rId976"/>
    <hyperlink xmlns:r="http://schemas.openxmlformats.org/officeDocument/2006/relationships" ref="H197" r:id="rId977"/>
    <hyperlink xmlns:r="http://schemas.openxmlformats.org/officeDocument/2006/relationships" ref="I197" r:id="rId978"/>
    <hyperlink xmlns:r="http://schemas.openxmlformats.org/officeDocument/2006/relationships" ref="J197" r:id="rId979"/>
    <hyperlink xmlns:r="http://schemas.openxmlformats.org/officeDocument/2006/relationships" ref="K197" r:id="rId980"/>
    <hyperlink xmlns:r="http://schemas.openxmlformats.org/officeDocument/2006/relationships" ref="G198" r:id="rId981"/>
    <hyperlink xmlns:r="http://schemas.openxmlformats.org/officeDocument/2006/relationships" ref="H198" r:id="rId982"/>
    <hyperlink xmlns:r="http://schemas.openxmlformats.org/officeDocument/2006/relationships" ref="I198" r:id="rId983"/>
    <hyperlink xmlns:r="http://schemas.openxmlformats.org/officeDocument/2006/relationships" ref="J198" r:id="rId984"/>
    <hyperlink xmlns:r="http://schemas.openxmlformats.org/officeDocument/2006/relationships" ref="K198" r:id="rId985"/>
    <hyperlink xmlns:r="http://schemas.openxmlformats.org/officeDocument/2006/relationships" ref="G199" r:id="rId986"/>
    <hyperlink xmlns:r="http://schemas.openxmlformats.org/officeDocument/2006/relationships" ref="H199" r:id="rId987"/>
    <hyperlink xmlns:r="http://schemas.openxmlformats.org/officeDocument/2006/relationships" ref="I199" r:id="rId988"/>
    <hyperlink xmlns:r="http://schemas.openxmlformats.org/officeDocument/2006/relationships" ref="J199" r:id="rId989"/>
    <hyperlink xmlns:r="http://schemas.openxmlformats.org/officeDocument/2006/relationships" ref="K199" r:id="rId990"/>
    <hyperlink xmlns:r="http://schemas.openxmlformats.org/officeDocument/2006/relationships" ref="G200" r:id="rId991"/>
    <hyperlink xmlns:r="http://schemas.openxmlformats.org/officeDocument/2006/relationships" ref="H200" r:id="rId992"/>
    <hyperlink xmlns:r="http://schemas.openxmlformats.org/officeDocument/2006/relationships" ref="I200" r:id="rId993"/>
    <hyperlink xmlns:r="http://schemas.openxmlformats.org/officeDocument/2006/relationships" ref="J200" r:id="rId994"/>
    <hyperlink xmlns:r="http://schemas.openxmlformats.org/officeDocument/2006/relationships" ref="K200" r:id="rId995"/>
    <hyperlink xmlns:r="http://schemas.openxmlformats.org/officeDocument/2006/relationships" ref="G201" r:id="rId996"/>
    <hyperlink xmlns:r="http://schemas.openxmlformats.org/officeDocument/2006/relationships" ref="H201" r:id="rId997"/>
    <hyperlink xmlns:r="http://schemas.openxmlformats.org/officeDocument/2006/relationships" ref="I201" r:id="rId998"/>
    <hyperlink xmlns:r="http://schemas.openxmlformats.org/officeDocument/2006/relationships" ref="J201" r:id="rId999"/>
    <hyperlink xmlns:r="http://schemas.openxmlformats.org/officeDocument/2006/relationships" ref="K201" r:id="rId1000"/>
    <hyperlink xmlns:r="http://schemas.openxmlformats.org/officeDocument/2006/relationships" ref="G202" r:id="rId1001"/>
    <hyperlink xmlns:r="http://schemas.openxmlformats.org/officeDocument/2006/relationships" ref="H202" r:id="rId1002"/>
    <hyperlink xmlns:r="http://schemas.openxmlformats.org/officeDocument/2006/relationships" ref="I202" r:id="rId1003"/>
    <hyperlink xmlns:r="http://schemas.openxmlformats.org/officeDocument/2006/relationships" ref="J202" r:id="rId1004"/>
    <hyperlink xmlns:r="http://schemas.openxmlformats.org/officeDocument/2006/relationships" ref="K202" r:id="rId1005"/>
    <hyperlink xmlns:r="http://schemas.openxmlformats.org/officeDocument/2006/relationships" ref="G203" r:id="rId1006"/>
    <hyperlink xmlns:r="http://schemas.openxmlformats.org/officeDocument/2006/relationships" ref="H203" r:id="rId1007"/>
    <hyperlink xmlns:r="http://schemas.openxmlformats.org/officeDocument/2006/relationships" ref="I203" r:id="rId1008"/>
    <hyperlink xmlns:r="http://schemas.openxmlformats.org/officeDocument/2006/relationships" ref="J203" r:id="rId1009"/>
    <hyperlink xmlns:r="http://schemas.openxmlformats.org/officeDocument/2006/relationships" ref="K203" r:id="rId1010"/>
    <hyperlink xmlns:r="http://schemas.openxmlformats.org/officeDocument/2006/relationships" ref="G204" r:id="rId1011"/>
    <hyperlink xmlns:r="http://schemas.openxmlformats.org/officeDocument/2006/relationships" ref="H204" r:id="rId1012"/>
    <hyperlink xmlns:r="http://schemas.openxmlformats.org/officeDocument/2006/relationships" ref="I204" r:id="rId1013"/>
    <hyperlink xmlns:r="http://schemas.openxmlformats.org/officeDocument/2006/relationships" ref="J204" r:id="rId1014"/>
    <hyperlink xmlns:r="http://schemas.openxmlformats.org/officeDocument/2006/relationships" ref="K204" r:id="rId1015"/>
    <hyperlink xmlns:r="http://schemas.openxmlformats.org/officeDocument/2006/relationships" ref="G205" r:id="rId1016"/>
    <hyperlink xmlns:r="http://schemas.openxmlformats.org/officeDocument/2006/relationships" ref="H205" r:id="rId1017"/>
    <hyperlink xmlns:r="http://schemas.openxmlformats.org/officeDocument/2006/relationships" ref="I205" r:id="rId1018"/>
    <hyperlink xmlns:r="http://schemas.openxmlformats.org/officeDocument/2006/relationships" ref="J205" r:id="rId1019"/>
    <hyperlink xmlns:r="http://schemas.openxmlformats.org/officeDocument/2006/relationships" ref="K205" r:id="rId1020"/>
    <hyperlink xmlns:r="http://schemas.openxmlformats.org/officeDocument/2006/relationships" ref="G206" r:id="rId1021"/>
    <hyperlink xmlns:r="http://schemas.openxmlformats.org/officeDocument/2006/relationships" ref="H206" r:id="rId1022"/>
    <hyperlink xmlns:r="http://schemas.openxmlformats.org/officeDocument/2006/relationships" ref="I206" r:id="rId1023"/>
    <hyperlink xmlns:r="http://schemas.openxmlformats.org/officeDocument/2006/relationships" ref="J206" r:id="rId1024"/>
    <hyperlink xmlns:r="http://schemas.openxmlformats.org/officeDocument/2006/relationships" ref="K206" r:id="rId1025"/>
    <hyperlink xmlns:r="http://schemas.openxmlformats.org/officeDocument/2006/relationships" ref="G207" r:id="rId1026"/>
    <hyperlink xmlns:r="http://schemas.openxmlformats.org/officeDocument/2006/relationships" ref="H207" r:id="rId1027"/>
    <hyperlink xmlns:r="http://schemas.openxmlformats.org/officeDocument/2006/relationships" ref="I207" r:id="rId1028"/>
    <hyperlink xmlns:r="http://schemas.openxmlformats.org/officeDocument/2006/relationships" ref="J207" r:id="rId1029"/>
    <hyperlink xmlns:r="http://schemas.openxmlformats.org/officeDocument/2006/relationships" ref="K207" r:id="rId1030"/>
    <hyperlink xmlns:r="http://schemas.openxmlformats.org/officeDocument/2006/relationships" ref="G208" r:id="rId1031"/>
    <hyperlink xmlns:r="http://schemas.openxmlformats.org/officeDocument/2006/relationships" ref="H208" r:id="rId1032"/>
    <hyperlink xmlns:r="http://schemas.openxmlformats.org/officeDocument/2006/relationships" ref="I208" r:id="rId1033"/>
    <hyperlink xmlns:r="http://schemas.openxmlformats.org/officeDocument/2006/relationships" ref="J208" r:id="rId1034"/>
    <hyperlink xmlns:r="http://schemas.openxmlformats.org/officeDocument/2006/relationships" ref="K208" r:id="rId1035"/>
    <hyperlink xmlns:r="http://schemas.openxmlformats.org/officeDocument/2006/relationships" ref="G209" r:id="rId1036"/>
    <hyperlink xmlns:r="http://schemas.openxmlformats.org/officeDocument/2006/relationships" ref="H209" r:id="rId1037"/>
    <hyperlink xmlns:r="http://schemas.openxmlformats.org/officeDocument/2006/relationships" ref="I209" r:id="rId1038"/>
    <hyperlink xmlns:r="http://schemas.openxmlformats.org/officeDocument/2006/relationships" ref="J209" r:id="rId1039"/>
    <hyperlink xmlns:r="http://schemas.openxmlformats.org/officeDocument/2006/relationships" ref="K209" r:id="rId1040"/>
    <hyperlink xmlns:r="http://schemas.openxmlformats.org/officeDocument/2006/relationships" ref="G210" r:id="rId1041"/>
    <hyperlink xmlns:r="http://schemas.openxmlformats.org/officeDocument/2006/relationships" ref="H210" r:id="rId1042"/>
    <hyperlink xmlns:r="http://schemas.openxmlformats.org/officeDocument/2006/relationships" ref="I210" r:id="rId1043"/>
    <hyperlink xmlns:r="http://schemas.openxmlformats.org/officeDocument/2006/relationships" ref="J210" r:id="rId1044"/>
    <hyperlink xmlns:r="http://schemas.openxmlformats.org/officeDocument/2006/relationships" ref="K210" r:id="rId1045"/>
    <hyperlink xmlns:r="http://schemas.openxmlformats.org/officeDocument/2006/relationships" ref="G211" r:id="rId1046"/>
    <hyperlink xmlns:r="http://schemas.openxmlformats.org/officeDocument/2006/relationships" ref="H211" r:id="rId1047"/>
    <hyperlink xmlns:r="http://schemas.openxmlformats.org/officeDocument/2006/relationships" ref="I211" r:id="rId1048"/>
    <hyperlink xmlns:r="http://schemas.openxmlformats.org/officeDocument/2006/relationships" ref="J211" r:id="rId1049"/>
    <hyperlink xmlns:r="http://schemas.openxmlformats.org/officeDocument/2006/relationships" ref="K211" r:id="rId10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rightToLeft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55" customWidth="1" min="3" max="3"/>
    <col width="14" customWidth="1" min="4" max="4"/>
    <col width="12" customWidth="1" min="5" max="5"/>
    <col width="10" customWidth="1" min="6" max="6"/>
    <col width="14" customWidth="1" min="7" max="7"/>
    <col width="12" customWidth="1" min="8" max="8"/>
    <col width="12" customWidth="1" min="9" max="9"/>
    <col width="20" customWidth="1" min="10" max="10"/>
    <col width="12" customWidth="1" min="11" max="11"/>
  </cols>
  <sheetData>
    <row r="1">
      <c r="A1" s="19" t="inlineStr">
        <is>
          <t>Rank</t>
        </is>
      </c>
      <c r="B1" s="19" t="inlineStr">
        <is>
          <t>SKU</t>
        </is>
      </c>
      <c r="C1" s="19" t="inlineStr">
        <is>
          <t>Product</t>
        </is>
      </c>
      <c r="D1" s="19" t="inlineStr">
        <is>
          <t>Current Sale</t>
        </is>
      </c>
      <c r="E1" s="19" t="inlineStr">
        <is>
          <t>AliExp URL</t>
        </is>
      </c>
      <c r="F1" s="19" t="inlineStr">
        <is>
          <t>eBay URL</t>
        </is>
      </c>
      <c r="G1" s="19" t="inlineStr">
        <is>
          <t>Amazon.sa URL</t>
        </is>
      </c>
      <c r="H1" s="19" t="inlineStr">
        <is>
          <t>Noon URL</t>
        </is>
      </c>
      <c r="I1" s="19" t="inlineStr">
        <is>
          <t>Jarir URL</t>
        </is>
      </c>
      <c r="J1" s="19" t="inlineStr">
        <is>
          <t>Estimated Best Cost (SAR)</t>
        </is>
      </c>
      <c r="K1" s="19" t="inlineStr">
        <is>
          <t>Est Margin %</t>
        </is>
      </c>
    </row>
    <row r="2">
      <c r="A2" t="n">
        <v>1</v>
      </c>
      <c r="B2" t="inlineStr">
        <is>
          <t>GM-GPU-GIG-001</t>
        </is>
      </c>
      <c r="C2" t="inlineStr">
        <is>
          <t>Gigabyte AORUS RTX 5090 Master 32GB</t>
        </is>
      </c>
      <c r="D2" s="13" t="n">
        <v>27999</v>
      </c>
      <c r="E2" s="20" t="inlineStr">
        <is>
          <t>🔗 Search</t>
        </is>
      </c>
      <c r="F2" s="20" t="inlineStr">
        <is>
          <t>🔗 Search</t>
        </is>
      </c>
      <c r="G2" s="20" t="inlineStr">
        <is>
          <t>🔗 Search</t>
        </is>
      </c>
      <c r="H2" s="20" t="inlineStr">
        <is>
          <t>🔗 Search</t>
        </is>
      </c>
      <c r="I2" s="20" t="inlineStr">
        <is>
          <t>🔗 Search</t>
        </is>
      </c>
      <c r="J2" s="13" t="n">
        <v>23904</v>
      </c>
      <c r="K2" s="21" t="n">
        <v>0.171301053424217</v>
      </c>
    </row>
    <row r="3">
      <c r="A3" t="n">
        <v>2</v>
      </c>
      <c r="B3" t="inlineStr">
        <is>
          <t>GM-GPU-NVD-001</t>
        </is>
      </c>
      <c r="C3" t="inlineStr">
        <is>
          <t>NVIDIA RTX 5090 Founders Edition (32GB)</t>
        </is>
      </c>
      <c r="D3" s="13" t="n">
        <v>22999</v>
      </c>
      <c r="E3" s="20" t="inlineStr">
        <is>
          <t>🔗 Search</t>
        </is>
      </c>
      <c r="F3" s="20" t="inlineStr">
        <is>
          <t>🔗 Search</t>
        </is>
      </c>
      <c r="G3" s="20" t="inlineStr">
        <is>
          <t>🔗 Search</t>
        </is>
      </c>
      <c r="H3" s="20" t="inlineStr">
        <is>
          <t>🔗 Search</t>
        </is>
      </c>
      <c r="I3" s="20" t="inlineStr">
        <is>
          <t>🔗 Search</t>
        </is>
      </c>
      <c r="J3" s="13" t="n">
        <v>20579</v>
      </c>
      <c r="K3" s="21" t="n">
        <v>0.1175934348735412</v>
      </c>
    </row>
    <row r="4">
      <c r="A4" t="n">
        <v>3</v>
      </c>
      <c r="B4" t="inlineStr">
        <is>
          <t>NG-ENT-001</t>
        </is>
      </c>
      <c r="C4" t="inlineStr">
        <is>
          <t>Dell PowerEdge R730 Refurbished Server - Enterprise Power, Smart Investment</t>
        </is>
      </c>
      <c r="D4" s="13" t="n">
        <v>8099</v>
      </c>
      <c r="E4" s="20" t="inlineStr">
        <is>
          <t>🔗 Search</t>
        </is>
      </c>
      <c r="F4" s="20" t="inlineStr">
        <is>
          <t>🔗 Search</t>
        </is>
      </c>
      <c r="G4" s="20" t="inlineStr">
        <is>
          <t>🔗 Search</t>
        </is>
      </c>
      <c r="H4" s="20" t="inlineStr">
        <is>
          <t>🔗 Search</t>
        </is>
      </c>
      <c r="I4" s="20" t="inlineStr">
        <is>
          <t>🔗 Search</t>
        </is>
      </c>
      <c r="J4" s="13" t="n">
        <v>4755</v>
      </c>
      <c r="K4" s="21" t="n">
        <v>0.7030878060679471</v>
      </c>
    </row>
    <row r="5">
      <c r="A5" t="n">
        <v>4</v>
      </c>
      <c r="B5" t="inlineStr">
        <is>
          <t>GM-MON-SAM-001</t>
        </is>
      </c>
      <c r="C5" t="inlineStr">
        <is>
          <t>Samsung Odyssey OLED G8 (34" UWQHD 175Hz)</t>
        </is>
      </c>
      <c r="D5" s="13" t="n">
        <v>7799</v>
      </c>
      <c r="E5" s="20" t="inlineStr">
        <is>
          <t>🔗 Search</t>
        </is>
      </c>
      <c r="F5" s="20" t="inlineStr">
        <is>
          <t>🔗 Search</t>
        </is>
      </c>
      <c r="G5" s="20" t="inlineStr">
        <is>
          <t>🔗 Search</t>
        </is>
      </c>
      <c r="H5" s="20" t="inlineStr">
        <is>
          <t>🔗 Search</t>
        </is>
      </c>
      <c r="I5" s="20" t="inlineStr">
        <is>
          <t>🔗 Search</t>
        </is>
      </c>
      <c r="J5" s="13" t="n">
        <v>6097</v>
      </c>
      <c r="K5" s="21" t="n">
        <v>0.2791956436163233</v>
      </c>
    </row>
    <row r="6">
      <c r="A6" t="n">
        <v>5</v>
      </c>
      <c r="B6" t="inlineStr">
        <is>
          <t>NG-DRN-007</t>
        </is>
      </c>
      <c r="C6" t="inlineStr">
        <is>
          <t>Roborock S8 MaxV Ultra - Smart Robot Vacuum with 10,000Pa Suction</t>
        </is>
      </c>
      <c r="D6" s="13" t="n">
        <v>7699</v>
      </c>
      <c r="E6" s="20" t="inlineStr">
        <is>
          <t>🔗 Search</t>
        </is>
      </c>
      <c r="F6" s="20" t="inlineStr">
        <is>
          <t>🔗 Search</t>
        </is>
      </c>
      <c r="G6" s="20" t="inlineStr">
        <is>
          <t>🔗 Search</t>
        </is>
      </c>
      <c r="H6" s="20" t="inlineStr">
        <is>
          <t>🔗 Search</t>
        </is>
      </c>
      <c r="I6" s="20" t="inlineStr">
        <is>
          <t>🔗 Search</t>
        </is>
      </c>
      <c r="J6" s="13" t="n">
        <v>6874</v>
      </c>
      <c r="K6" s="21" t="n">
        <v>0.1200533040044925</v>
      </c>
    </row>
    <row r="7">
      <c r="A7" t="n">
        <v>6</v>
      </c>
      <c r="B7" t="inlineStr">
        <is>
          <t>GM-GPU-NVD-002</t>
        </is>
      </c>
      <c r="C7" t="inlineStr">
        <is>
          <t>NVIDIA RTX 5080 Founders Edition (16GB)</t>
        </is>
      </c>
      <c r="D7" s="13" t="n">
        <v>6499</v>
      </c>
      <c r="E7" s="20" t="inlineStr">
        <is>
          <t>🔗 Search</t>
        </is>
      </c>
      <c r="F7" s="20" t="inlineStr">
        <is>
          <t>🔗 Search</t>
        </is>
      </c>
      <c r="G7" s="20" t="inlineStr">
        <is>
          <t>🔗 Search</t>
        </is>
      </c>
      <c r="H7" s="20" t="inlineStr">
        <is>
          <t>🔗 Search</t>
        </is>
      </c>
      <c r="I7" s="20" t="inlineStr">
        <is>
          <t>🔗 Search</t>
        </is>
      </c>
      <c r="J7" s="13" t="n">
        <v>5614</v>
      </c>
      <c r="K7" s="21" t="n">
        <v>0.1577323480999579</v>
      </c>
    </row>
    <row r="8">
      <c r="A8" t="n">
        <v>7</v>
      </c>
      <c r="B8" t="inlineStr">
        <is>
          <t>NG-ENT-009</t>
        </is>
      </c>
      <c r="C8" t="inlineStr">
        <is>
          <t>HPE ProLiant DL380 Gen10 Server (Refurbished) - Data Center Power at Smart Pricing</t>
        </is>
      </c>
      <c r="D8" s="13" t="n">
        <v>6499</v>
      </c>
      <c r="E8" s="20" t="inlineStr">
        <is>
          <t>🔗 Search</t>
        </is>
      </c>
      <c r="F8" s="20" t="inlineStr">
        <is>
          <t>🔗 Search</t>
        </is>
      </c>
      <c r="G8" s="20" t="inlineStr">
        <is>
          <t>🔗 Search</t>
        </is>
      </c>
      <c r="H8" s="20" t="inlineStr">
        <is>
          <t>🔗 Search</t>
        </is>
      </c>
      <c r="I8" s="20" t="inlineStr">
        <is>
          <t>🔗 Search</t>
        </is>
      </c>
      <c r="J8" s="13" t="n">
        <v>4466</v>
      </c>
      <c r="K8" s="21" t="n">
        <v>0.4551552889599414</v>
      </c>
    </row>
    <row r="9">
      <c r="A9" t="n">
        <v>8</v>
      </c>
      <c r="B9" t="inlineStr">
        <is>
          <t>NG-DRN-001</t>
        </is>
      </c>
      <c r="C9" t="inlineStr">
        <is>
          <t>DJI Mini 4 Pro - Sub-249g Drone with 4K/60fps Camera</t>
        </is>
      </c>
      <c r="D9" s="13" t="n">
        <v>6099</v>
      </c>
      <c r="E9" s="20" t="inlineStr">
        <is>
          <t>🔗 Search</t>
        </is>
      </c>
      <c r="F9" s="20" t="inlineStr">
        <is>
          <t>🔗 Search</t>
        </is>
      </c>
      <c r="G9" s="20" t="inlineStr">
        <is>
          <t>🔗 Search</t>
        </is>
      </c>
      <c r="H9" s="20" t="inlineStr">
        <is>
          <t>🔗 Search</t>
        </is>
      </c>
      <c r="I9" s="20" t="inlineStr">
        <is>
          <t>🔗 Search</t>
        </is>
      </c>
      <c r="J9" s="13" t="n">
        <v>5229</v>
      </c>
      <c r="K9" s="21" t="n">
        <v>0.166471266632113</v>
      </c>
    </row>
    <row r="10">
      <c r="A10" t="n">
        <v>9</v>
      </c>
      <c r="B10" t="inlineStr">
        <is>
          <t>SH-RVC-ECVX-001</t>
        </is>
      </c>
      <c r="C10" t="inlineStr">
        <is>
          <t>Ecovacs Deebot X9 Pro Omni</t>
        </is>
      </c>
      <c r="D10" s="13" t="n">
        <v>5699</v>
      </c>
      <c r="E10" s="20" t="inlineStr">
        <is>
          <t>🔗 Search</t>
        </is>
      </c>
      <c r="F10" s="20" t="inlineStr">
        <is>
          <t>🔗 Search</t>
        </is>
      </c>
      <c r="G10" s="20" t="inlineStr">
        <is>
          <t>🔗 Search</t>
        </is>
      </c>
      <c r="H10" s="20" t="inlineStr">
        <is>
          <t>🔗 Search</t>
        </is>
      </c>
      <c r="I10" s="20" t="inlineStr">
        <is>
          <t>🔗 Search</t>
        </is>
      </c>
      <c r="J10" s="13" t="n">
        <v>2798</v>
      </c>
      <c r="K10" s="21" t="n">
        <v>1.037015855768268</v>
      </c>
    </row>
    <row r="11">
      <c r="A11" t="n">
        <v>10</v>
      </c>
      <c r="B11" t="inlineStr">
        <is>
          <t>GM-MON-DEL-001</t>
        </is>
      </c>
      <c r="C11" t="inlineStr">
        <is>
          <t>Dell Alienware AW2725DF (27" QD-OLED 360Hz)</t>
        </is>
      </c>
      <c r="D11" s="13" t="n">
        <v>5599</v>
      </c>
      <c r="E11" s="20" t="inlineStr">
        <is>
          <t>🔗 Search</t>
        </is>
      </c>
      <c r="F11" s="20" t="inlineStr">
        <is>
          <t>🔗 Search</t>
        </is>
      </c>
      <c r="G11" s="20" t="inlineStr">
        <is>
          <t>🔗 Search</t>
        </is>
      </c>
      <c r="H11" s="20" t="inlineStr">
        <is>
          <t>🔗 Search</t>
        </is>
      </c>
      <c r="I11" s="20" t="inlineStr">
        <is>
          <t>🔗 Search</t>
        </is>
      </c>
      <c r="J11" s="13" t="n">
        <v>4115</v>
      </c>
      <c r="K11" s="21" t="n">
        <v>0.3606946614789017</v>
      </c>
    </row>
    <row r="12">
      <c r="A12" t="n">
        <v>11</v>
      </c>
      <c r="B12" t="inlineStr">
        <is>
          <t>NG-ENT-006</t>
        </is>
      </c>
      <c r="C12" t="inlineStr">
        <is>
          <t>Synology DiskStation DS1621+ 6-Bay NAS - Enterprise Storage Powerhouse</t>
        </is>
      </c>
      <c r="D12" s="13" t="n">
        <v>5599</v>
      </c>
      <c r="E12" s="20" t="inlineStr">
        <is>
          <t>🔗 Search</t>
        </is>
      </c>
      <c r="F12" s="20" t="inlineStr">
        <is>
          <t>🔗 Search</t>
        </is>
      </c>
      <c r="G12" s="20" t="inlineStr">
        <is>
          <t>🔗 Search</t>
        </is>
      </c>
      <c r="H12" s="20" t="inlineStr">
        <is>
          <t>🔗 Search</t>
        </is>
      </c>
      <c r="I12" s="20" t="inlineStr">
        <is>
          <t>🔗 Search</t>
        </is>
      </c>
      <c r="J12" s="13" t="n">
        <v>3432</v>
      </c>
      <c r="K12" s="21" t="n">
        <v>0.6315053324785825</v>
      </c>
    </row>
    <row r="13">
      <c r="A13" t="n">
        <v>12</v>
      </c>
      <c r="B13" t="inlineStr">
        <is>
          <t>NT-FWL-FTN-001</t>
        </is>
      </c>
      <c r="C13" t="inlineStr">
        <is>
          <t>Fortinet FortiGate 60F</t>
        </is>
      </c>
      <c r="D13" s="13" t="n">
        <v>5499</v>
      </c>
      <c r="E13" s="20" t="inlineStr">
        <is>
          <t>🔗 Search</t>
        </is>
      </c>
      <c r="F13" s="20" t="inlineStr">
        <is>
          <t>🔗 Search</t>
        </is>
      </c>
      <c r="G13" s="20" t="inlineStr">
        <is>
          <t>🔗 Search</t>
        </is>
      </c>
      <c r="H13" s="20" t="inlineStr">
        <is>
          <t>🔗 Search</t>
        </is>
      </c>
      <c r="I13" s="20" t="inlineStr">
        <is>
          <t>🔗 Search</t>
        </is>
      </c>
      <c r="J13" s="13" t="n">
        <v>3594</v>
      </c>
      <c r="K13" s="21" t="n">
        <v>0.530101171992387</v>
      </c>
    </row>
    <row r="14">
      <c r="A14" t="n">
        <v>13</v>
      </c>
      <c r="B14" t="inlineStr">
        <is>
          <t>GM-MON-ASU-001</t>
        </is>
      </c>
      <c r="C14" t="inlineStr">
        <is>
          <t>ASUS ROG Swift OLED PG27AQDM (27" QHD 240Hz)</t>
        </is>
      </c>
      <c r="D14" s="13" t="n">
        <v>5399</v>
      </c>
      <c r="E14" s="20" t="inlineStr">
        <is>
          <t>🔗 Search</t>
        </is>
      </c>
      <c r="F14" s="20" t="inlineStr">
        <is>
          <t>🔗 Search</t>
        </is>
      </c>
      <c r="G14" s="20" t="inlineStr">
        <is>
          <t>🔗 Search</t>
        </is>
      </c>
      <c r="H14" s="20" t="inlineStr">
        <is>
          <t>🔗 Search</t>
        </is>
      </c>
      <c r="I14" s="20" t="inlineStr">
        <is>
          <t>🔗 Search</t>
        </is>
      </c>
      <c r="J14" s="13" t="n">
        <v>4581</v>
      </c>
      <c r="K14" s="21" t="n">
        <v>0.1786485383142641</v>
      </c>
    </row>
    <row r="15">
      <c r="A15" t="n">
        <v>14</v>
      </c>
      <c r="B15" t="inlineStr">
        <is>
          <t>NG-3DP-001</t>
        </is>
      </c>
      <c r="C15" t="inlineStr">
        <is>
          <t>Bambu Lab P1S 3D Printer - Blazing Speed and Pro Quality in an Enclosed Design</t>
        </is>
      </c>
      <c r="D15" s="13" t="n">
        <v>5099</v>
      </c>
      <c r="E15" s="20" t="inlineStr">
        <is>
          <t>🔗 Search</t>
        </is>
      </c>
      <c r="F15" s="20" t="inlineStr">
        <is>
          <t>🔗 Search</t>
        </is>
      </c>
      <c r="G15" s="20" t="inlineStr">
        <is>
          <t>🔗 Search</t>
        </is>
      </c>
      <c r="H15" s="20" t="inlineStr">
        <is>
          <t>🔗 Search</t>
        </is>
      </c>
      <c r="I15" s="20" t="inlineStr">
        <is>
          <t>🔗 Search</t>
        </is>
      </c>
      <c r="J15" s="13" t="n">
        <v>3548</v>
      </c>
      <c r="K15" s="21" t="n">
        <v>0.4371831323348589</v>
      </c>
    </row>
    <row r="16">
      <c r="A16" t="n">
        <v>15</v>
      </c>
      <c r="B16" t="inlineStr">
        <is>
          <t>GM-MON-LGE-001</t>
        </is>
      </c>
      <c r="C16" t="inlineStr">
        <is>
          <t>LG UltraGear OLED 27GR95QE-B (27" QHD 240Hz)</t>
        </is>
      </c>
      <c r="D16" s="13" t="n">
        <v>4899</v>
      </c>
      <c r="E16" s="20" t="inlineStr">
        <is>
          <t>🔗 Search</t>
        </is>
      </c>
      <c r="F16" s="20" t="inlineStr">
        <is>
          <t>🔗 Search</t>
        </is>
      </c>
      <c r="G16" s="20" t="inlineStr">
        <is>
          <t>🔗 Search</t>
        </is>
      </c>
      <c r="H16" s="20" t="inlineStr">
        <is>
          <t>🔗 Search</t>
        </is>
      </c>
      <c r="I16" s="20" t="inlineStr">
        <is>
          <t>🔗 Search</t>
        </is>
      </c>
      <c r="J16" s="13" t="n">
        <v>3584</v>
      </c>
      <c r="K16" s="21" t="n">
        <v>0.3667788212055775</v>
      </c>
    </row>
    <row r="17">
      <c r="A17" t="n">
        <v>16</v>
      </c>
      <c r="B17" t="inlineStr">
        <is>
          <t>NT-UPS-APC-001</t>
        </is>
      </c>
      <c r="C17" t="inlineStr">
        <is>
          <t>APC Smart-UPS SMT1500RM2UC (1500VA Rack)</t>
        </is>
      </c>
      <c r="D17" s="13" t="n">
        <v>4899</v>
      </c>
      <c r="E17" s="20" t="inlineStr">
        <is>
          <t>🔗 Search</t>
        </is>
      </c>
      <c r="F17" s="20" t="inlineStr">
        <is>
          <t>🔗 Search</t>
        </is>
      </c>
      <c r="G17" s="20" t="inlineStr">
        <is>
          <t>🔗 Search</t>
        </is>
      </c>
      <c r="H17" s="20" t="inlineStr">
        <is>
          <t>🔗 Search</t>
        </is>
      </c>
      <c r="I17" s="20" t="inlineStr">
        <is>
          <t>🔗 Search</t>
        </is>
      </c>
      <c r="J17" s="13" t="n">
        <v>3024</v>
      </c>
      <c r="K17" s="21" t="n">
        <v>0.6200718268219607</v>
      </c>
    </row>
    <row r="18">
      <c r="A18" t="n">
        <v>17</v>
      </c>
      <c r="B18" t="inlineStr">
        <is>
          <t>NG-ENT-008</t>
        </is>
      </c>
      <c r="C18" t="inlineStr">
        <is>
          <t>APC Smart-UPS 1500VA LCD RM 2U (SMT1500RMI2U) - Pure Sine Wave Rack UPS</t>
        </is>
      </c>
      <c r="D18" s="13" t="n">
        <v>4899</v>
      </c>
      <c r="E18" s="20" t="inlineStr">
        <is>
          <t>🔗 Search</t>
        </is>
      </c>
      <c r="F18" s="20" t="inlineStr">
        <is>
          <t>🔗 Search</t>
        </is>
      </c>
      <c r="G18" s="20" t="inlineStr">
        <is>
          <t>🔗 Search</t>
        </is>
      </c>
      <c r="H18" s="20" t="inlineStr">
        <is>
          <t>🔗 Search</t>
        </is>
      </c>
      <c r="I18" s="20" t="inlineStr">
        <is>
          <t>🔗 Search</t>
        </is>
      </c>
      <c r="J18" s="13" t="n">
        <v>3162</v>
      </c>
      <c r="K18" s="21" t="n">
        <v>0.5493505630983218</v>
      </c>
    </row>
    <row r="19">
      <c r="A19" t="n">
        <v>18</v>
      </c>
      <c r="B19" t="inlineStr">
        <is>
          <t>GM-RTR-ASU-001</t>
        </is>
      </c>
      <c r="C19" t="inlineStr">
        <is>
          <t>ASUS ROG Rapture GT-BE19000AI (WiFi 7)</t>
        </is>
      </c>
      <c r="D19" s="13" t="n">
        <v>4799</v>
      </c>
      <c r="E19" s="20" t="inlineStr">
        <is>
          <t>🔗 Search</t>
        </is>
      </c>
      <c r="F19" s="20" t="inlineStr">
        <is>
          <t>🔗 Search</t>
        </is>
      </c>
      <c r="G19" s="20" t="inlineStr">
        <is>
          <t>🔗 Search</t>
        </is>
      </c>
      <c r="H19" s="20" t="inlineStr">
        <is>
          <t>🔗 Search</t>
        </is>
      </c>
      <c r="I19" s="20" t="inlineStr">
        <is>
          <t>🔗 Search</t>
        </is>
      </c>
      <c r="J19" s="13" t="n">
        <v>4072</v>
      </c>
      <c r="K19" s="21" t="n">
        <v>0.1785334515386749</v>
      </c>
    </row>
    <row r="20">
      <c r="A20" t="n">
        <v>19</v>
      </c>
      <c r="B20" t="inlineStr">
        <is>
          <t>SH-RVC-DREM-001</t>
        </is>
      </c>
      <c r="C20" t="inlineStr">
        <is>
          <t>Dreame L50 Ultra</t>
        </is>
      </c>
      <c r="D20" s="13" t="n">
        <v>4599</v>
      </c>
      <c r="E20" s="20" t="inlineStr">
        <is>
          <t>🔗 Search</t>
        </is>
      </c>
      <c r="F20" s="20" t="inlineStr">
        <is>
          <t>🔗 Search</t>
        </is>
      </c>
      <c r="G20" s="20" t="inlineStr">
        <is>
          <t>🔗 Search</t>
        </is>
      </c>
      <c r="H20" s="20" t="inlineStr">
        <is>
          <t>🔗 Search</t>
        </is>
      </c>
      <c r="I20" s="20" t="inlineStr">
        <is>
          <t>🔗 Search</t>
        </is>
      </c>
      <c r="J20" s="13" t="n">
        <v>1711</v>
      </c>
      <c r="K20" s="21" t="n">
        <v>1.688671799638704</v>
      </c>
    </row>
    <row r="21">
      <c r="A21" t="n">
        <v>20</v>
      </c>
      <c r="B21" t="inlineStr">
        <is>
          <t>SH-RVC-RBRC-001</t>
        </is>
      </c>
      <c r="C21" t="inlineStr">
        <is>
          <t>Roborock Qrevo CurvX</t>
        </is>
      </c>
      <c r="D21" s="13" t="n">
        <v>4599</v>
      </c>
      <c r="E21" s="20" t="inlineStr">
        <is>
          <t>🔗 Search</t>
        </is>
      </c>
      <c r="F21" s="20" t="inlineStr">
        <is>
          <t>🔗 Search</t>
        </is>
      </c>
      <c r="G21" s="20" t="inlineStr">
        <is>
          <t>🔗 Search</t>
        </is>
      </c>
      <c r="H21" s="20" t="inlineStr">
        <is>
          <t>🔗 Search</t>
        </is>
      </c>
      <c r="I21" s="20" t="inlineStr">
        <is>
          <t>🔗 Search</t>
        </is>
      </c>
      <c r="J21" s="13" t="n">
        <v>1961</v>
      </c>
      <c r="K21" s="21" t="n">
        <v>1.345638713494436</v>
      </c>
    </row>
    <row r="22">
      <c r="A22" t="n">
        <v>21</v>
      </c>
      <c r="B22" t="inlineStr">
        <is>
          <t>NG-3DP-003</t>
        </is>
      </c>
      <c r="C22" t="inlineStr">
        <is>
          <t>Creality K1 Max - Large Format 3D Printer at 600mm/s</t>
        </is>
      </c>
      <c r="D22" s="13" t="n">
        <v>4199</v>
      </c>
      <c r="E22" s="20" t="inlineStr">
        <is>
          <t>🔗 Search</t>
        </is>
      </c>
      <c r="F22" s="20" t="inlineStr">
        <is>
          <t>🔗 Search</t>
        </is>
      </c>
      <c r="G22" s="20" t="inlineStr">
        <is>
          <t>🔗 Search</t>
        </is>
      </c>
      <c r="H22" s="20" t="inlineStr">
        <is>
          <t>🔗 Search</t>
        </is>
      </c>
      <c r="I22" s="20" t="inlineStr">
        <is>
          <t>🔗 Search</t>
        </is>
      </c>
      <c r="J22" s="13" t="n">
        <v>2319</v>
      </c>
      <c r="K22" s="21" t="n">
        <v>0.8106239947565639</v>
      </c>
    </row>
    <row r="23">
      <c r="A23" t="n">
        <v>22</v>
      </c>
      <c r="B23" t="inlineStr">
        <is>
          <t>NG-ENT-010</t>
        </is>
      </c>
      <c r="C23" t="inlineStr">
        <is>
          <t>Ubiquiti UniFi Switch Pro 24 PoE (USW-Pro-24-PoE) - Smart Managed PoE+ Switch</t>
        </is>
      </c>
      <c r="D23" s="13" t="n">
        <v>4199</v>
      </c>
      <c r="E23" s="20" t="inlineStr">
        <is>
          <t>🔗 Search</t>
        </is>
      </c>
      <c r="F23" s="20" t="inlineStr">
        <is>
          <t>🔗 Search</t>
        </is>
      </c>
      <c r="G23" s="20" t="inlineStr">
        <is>
          <t>🔗 Search</t>
        </is>
      </c>
      <c r="H23" s="20" t="inlineStr">
        <is>
          <t>🔗 Search</t>
        </is>
      </c>
      <c r="I23" s="20" t="inlineStr">
        <is>
          <t>🔗 Search</t>
        </is>
      </c>
      <c r="J23" s="13" t="n">
        <v>2767</v>
      </c>
      <c r="K23" s="21" t="n">
        <v>0.5175334930737011</v>
      </c>
    </row>
    <row r="24">
      <c r="A24" t="n">
        <v>23</v>
      </c>
      <c r="B24" t="inlineStr">
        <is>
          <t>NG-DRN-002</t>
        </is>
      </c>
      <c r="C24" t="inlineStr">
        <is>
          <t>DJI Avata 2 - Immersive FPV Drone with Goggles</t>
        </is>
      </c>
      <c r="D24" s="13" t="n">
        <v>4099</v>
      </c>
      <c r="E24" s="20" t="inlineStr">
        <is>
          <t>🔗 Search</t>
        </is>
      </c>
      <c r="F24" s="20" t="inlineStr">
        <is>
          <t>🔗 Search</t>
        </is>
      </c>
      <c r="G24" s="20" t="inlineStr">
        <is>
          <t>🔗 Search</t>
        </is>
      </c>
      <c r="H24" s="20" t="inlineStr">
        <is>
          <t>🔗 Search</t>
        </is>
      </c>
      <c r="I24" s="20" t="inlineStr">
        <is>
          <t>🔗 Search</t>
        </is>
      </c>
      <c r="J24" s="13" t="n">
        <v>3534</v>
      </c>
      <c r="K24" s="21" t="n">
        <v>0.1599001110663072</v>
      </c>
    </row>
    <row r="25">
      <c r="A25" t="n">
        <v>24</v>
      </c>
      <c r="B25" t="inlineStr">
        <is>
          <t>NT-MPC-MNF-001</t>
        </is>
      </c>
      <c r="C25" t="inlineStr">
        <is>
          <t>MinisForum MS-01 (Homelab Server)</t>
        </is>
      </c>
      <c r="D25" s="13" t="n">
        <v>3999</v>
      </c>
      <c r="E25" s="20" t="inlineStr">
        <is>
          <t>🔗 Search</t>
        </is>
      </c>
      <c r="F25" s="20" t="inlineStr">
        <is>
          <t>🔗 Search</t>
        </is>
      </c>
      <c r="G25" s="20" t="inlineStr">
        <is>
          <t>🔗 Search</t>
        </is>
      </c>
      <c r="H25" s="20" t="inlineStr">
        <is>
          <t>🔗 Search</t>
        </is>
      </c>
      <c r="I25" s="20" t="inlineStr">
        <is>
          <t>🔗 Search</t>
        </is>
      </c>
      <c r="J25" s="13" t="n">
        <v>2791</v>
      </c>
      <c r="K25" s="21" t="n">
        <v>0.4326914464845499</v>
      </c>
    </row>
    <row r="26">
      <c r="A26" t="n">
        <v>25</v>
      </c>
      <c r="B26" t="inlineStr">
        <is>
          <t>NT-NET-UBQ-001</t>
        </is>
      </c>
      <c r="C26" t="inlineStr">
        <is>
          <t>Ubiquiti USW-Pro-24-PoE</t>
        </is>
      </c>
      <c r="D26" s="13" t="n">
        <v>3999</v>
      </c>
      <c r="E26" s="20" t="inlineStr">
        <is>
          <t>🔗 Search</t>
        </is>
      </c>
      <c r="F26" s="20" t="inlineStr">
        <is>
          <t>🔗 Search</t>
        </is>
      </c>
      <c r="G26" s="20" t="inlineStr">
        <is>
          <t>🔗 Search</t>
        </is>
      </c>
      <c r="H26" s="20" t="inlineStr">
        <is>
          <t>🔗 Search</t>
        </is>
      </c>
      <c r="I26" s="20" t="inlineStr">
        <is>
          <t>🔗 Search</t>
        </is>
      </c>
      <c r="J26" s="13" t="n">
        <v>2948</v>
      </c>
      <c r="K26" s="21" t="n">
        <v>0.3563886618254095</v>
      </c>
    </row>
    <row r="27">
      <c r="A27" t="n">
        <v>26</v>
      </c>
      <c r="B27" t="inlineStr">
        <is>
          <t>GM-CHR-SEC-001</t>
        </is>
      </c>
      <c r="C27" t="inlineStr">
        <is>
          <t>Secretlab Titan Evo</t>
        </is>
      </c>
      <c r="D27" s="13" t="n">
        <v>3499</v>
      </c>
      <c r="E27" s="20" t="inlineStr">
        <is>
          <t>🔗 Search</t>
        </is>
      </c>
      <c r="F27" s="20" t="inlineStr">
        <is>
          <t>🔗 Search</t>
        </is>
      </c>
      <c r="G27" s="20" t="inlineStr">
        <is>
          <t>🔗 Search</t>
        </is>
      </c>
      <c r="H27" s="20" t="inlineStr">
        <is>
          <t>🔗 Search</t>
        </is>
      </c>
      <c r="I27" s="20" t="inlineStr">
        <is>
          <t>🔗 Search</t>
        </is>
      </c>
      <c r="J27" s="13" t="n">
        <v>2619</v>
      </c>
      <c r="K27" s="21" t="n">
        <v>0.335786793309995</v>
      </c>
    </row>
    <row r="28">
      <c r="A28" t="n">
        <v>27</v>
      </c>
      <c r="B28" t="inlineStr">
        <is>
          <t>GM-MON-SAM-002</t>
        </is>
      </c>
      <c r="C28" t="inlineStr">
        <is>
          <t>Samsung Odyssey G7 G70D (32" 4K 144Hz)</t>
        </is>
      </c>
      <c r="D28" s="13" t="n">
        <v>3499</v>
      </c>
      <c r="E28" s="20" t="inlineStr">
        <is>
          <t>🔗 Search</t>
        </is>
      </c>
      <c r="F28" s="20" t="inlineStr">
        <is>
          <t>🔗 Search</t>
        </is>
      </c>
      <c r="G28" s="20" t="inlineStr">
        <is>
          <t>🔗 Search</t>
        </is>
      </c>
      <c r="H28" s="20" t="inlineStr">
        <is>
          <t>🔗 Search</t>
        </is>
      </c>
      <c r="I28" s="20" t="inlineStr">
        <is>
          <t>🔗 Search</t>
        </is>
      </c>
      <c r="J28" s="13" t="n">
        <v>2611</v>
      </c>
      <c r="K28" s="21" t="n">
        <v>0.3402535718389705</v>
      </c>
    </row>
    <row r="29">
      <c r="A29" t="n">
        <v>28</v>
      </c>
      <c r="B29" t="inlineStr">
        <is>
          <t>NT-NAS-SYN-002</t>
        </is>
      </c>
      <c r="C29" t="inlineStr">
        <is>
          <t>Synology DS925+ (4-Bay)</t>
        </is>
      </c>
      <c r="D29" s="13" t="n">
        <v>3499</v>
      </c>
      <c r="E29" s="20" t="inlineStr">
        <is>
          <t>🔗 Search</t>
        </is>
      </c>
      <c r="F29" s="20" t="inlineStr">
        <is>
          <t>🔗 Search</t>
        </is>
      </c>
      <c r="G29" s="20" t="inlineStr">
        <is>
          <t>🔗 Search</t>
        </is>
      </c>
      <c r="H29" s="20" t="inlineStr">
        <is>
          <t>🔗 Search</t>
        </is>
      </c>
      <c r="I29" s="20" t="inlineStr">
        <is>
          <t>🔗 Search</t>
        </is>
      </c>
      <c r="J29" s="13" t="n">
        <v>2214</v>
      </c>
      <c r="K29" s="21" t="n">
        <v>0.5807330372753022</v>
      </c>
    </row>
    <row r="30">
      <c r="A30" t="n">
        <v>29</v>
      </c>
      <c r="B30" t="inlineStr">
        <is>
          <t>NG-DRN-005</t>
        </is>
      </c>
      <c r="C30" t="inlineStr">
        <is>
          <t>Insta360 X4 - 8K 360-Degree Camera</t>
        </is>
      </c>
      <c r="D30" s="13" t="n">
        <v>3499</v>
      </c>
      <c r="E30" s="20" t="inlineStr">
        <is>
          <t>🔗 Search</t>
        </is>
      </c>
      <c r="F30" s="20" t="inlineStr">
        <is>
          <t>🔗 Search</t>
        </is>
      </c>
      <c r="G30" s="20" t="inlineStr">
        <is>
          <t>🔗 Search</t>
        </is>
      </c>
      <c r="H30" s="20" t="inlineStr">
        <is>
          <t>🔗 Search</t>
        </is>
      </c>
      <c r="I30" s="20" t="inlineStr">
        <is>
          <t>🔗 Search</t>
        </is>
      </c>
      <c r="J30" s="13" t="n">
        <v>2962</v>
      </c>
      <c r="K30" s="21" t="n">
        <v>0.1812804688660518</v>
      </c>
    </row>
    <row r="31">
      <c r="A31" t="n">
        <v>30</v>
      </c>
      <c r="B31" t="inlineStr">
        <is>
          <t>NG-3DP-005</t>
        </is>
      </c>
      <c r="C31" t="inlineStr">
        <is>
          <t>Elegoo Saturn 3 Ultra - 12K Resin 3D Printer with 10-inch Screen</t>
        </is>
      </c>
      <c r="D31" s="13" t="n">
        <v>3499</v>
      </c>
      <c r="E31" s="20" t="inlineStr">
        <is>
          <t>🔗 Search</t>
        </is>
      </c>
      <c r="F31" s="20" t="inlineStr">
        <is>
          <t>🔗 Search</t>
        </is>
      </c>
      <c r="G31" s="20" t="inlineStr">
        <is>
          <t>🔗 Search</t>
        </is>
      </c>
      <c r="H31" s="20" t="inlineStr">
        <is>
          <t>🔗 Search</t>
        </is>
      </c>
      <c r="I31" s="20" t="inlineStr">
        <is>
          <t>🔗 Search</t>
        </is>
      </c>
      <c r="J31" s="13" t="n">
        <v>2073</v>
      </c>
      <c r="K31" s="21" t="n">
        <v>0.6881606816328696</v>
      </c>
    </row>
    <row r="32">
      <c r="A32" t="n">
        <v>31</v>
      </c>
      <c r="B32" t="inlineStr">
        <is>
          <t>NT-FWL-NGT-001</t>
        </is>
      </c>
      <c r="C32" t="inlineStr">
        <is>
          <t>Netgate 4200 MAX pfSense+ Gateway</t>
        </is>
      </c>
      <c r="D32" s="13" t="n">
        <v>3399</v>
      </c>
      <c r="E32" s="20" t="inlineStr">
        <is>
          <t>🔗 Search</t>
        </is>
      </c>
      <c r="F32" s="20" t="inlineStr">
        <is>
          <t>🔗 Search</t>
        </is>
      </c>
      <c r="G32" s="20" t="inlineStr">
        <is>
          <t>🔗 Search</t>
        </is>
      </c>
      <c r="H32" s="20" t="inlineStr">
        <is>
          <t>🔗 Search</t>
        </is>
      </c>
      <c r="I32" s="20" t="inlineStr">
        <is>
          <t>🔗 Search</t>
        </is>
      </c>
      <c r="J32" s="13" t="n">
        <v>2444</v>
      </c>
      <c r="K32" s="21" t="n">
        <v>0.3904797748396387</v>
      </c>
    </row>
    <row r="33">
      <c r="A33" t="n">
        <v>32</v>
      </c>
      <c r="B33" t="inlineStr">
        <is>
          <t>NG-MKR-007</t>
        </is>
      </c>
      <c r="C33" t="inlineStr">
        <is>
          <t>Prusa Mini+ 3D Printer - Professional Precision in a Compact Package</t>
        </is>
      </c>
      <c r="D33" s="13" t="n">
        <v>3299</v>
      </c>
      <c r="E33" s="20" t="inlineStr">
        <is>
          <t>🔗 Search</t>
        </is>
      </c>
      <c r="F33" s="20" t="inlineStr">
        <is>
          <t>🔗 Search</t>
        </is>
      </c>
      <c r="G33" s="20" t="inlineStr">
        <is>
          <t>🔗 Search</t>
        </is>
      </c>
      <c r="H33" s="20" t="inlineStr">
        <is>
          <t>🔗 Search</t>
        </is>
      </c>
      <c r="I33" s="20" t="inlineStr">
        <is>
          <t>🔗 Search</t>
        </is>
      </c>
      <c r="J33" s="13" t="n">
        <v>1963</v>
      </c>
      <c r="K33" s="21" t="n">
        <v>0.6808392477747603</v>
      </c>
    </row>
    <row r="34">
      <c r="A34" t="n">
        <v>33</v>
      </c>
      <c r="B34" t="inlineStr">
        <is>
          <t>NG-MKR-004</t>
        </is>
      </c>
      <c r="C34" t="inlineStr">
        <is>
          <t>Meta Quest 3 128GB - The Most Powerful Mixed Reality Headset</t>
        </is>
      </c>
      <c r="D34" s="13" t="n">
        <v>3299</v>
      </c>
      <c r="E34" s="20" t="inlineStr">
        <is>
          <t>🔗 Search</t>
        </is>
      </c>
      <c r="F34" s="20" t="inlineStr">
        <is>
          <t>🔗 Search</t>
        </is>
      </c>
      <c r="G34" s="20" t="inlineStr">
        <is>
          <t>🔗 Search</t>
        </is>
      </c>
      <c r="H34" s="20" t="inlineStr">
        <is>
          <t>🔗 Search</t>
        </is>
      </c>
      <c r="I34" s="20" t="inlineStr">
        <is>
          <t>🔗 Search</t>
        </is>
      </c>
      <c r="J34" s="13" t="n">
        <v>1696</v>
      </c>
      <c r="K34" s="21" t="n">
        <v>0.9447752219484302</v>
      </c>
    </row>
    <row r="35">
      <c r="A35" t="n">
        <v>34</v>
      </c>
      <c r="B35" t="inlineStr">
        <is>
          <t>GM-CHR-RAZ-001</t>
        </is>
      </c>
      <c r="C35" t="inlineStr">
        <is>
          <t>Razer Iskur V2 NewGen</t>
        </is>
      </c>
      <c r="D35" s="13" t="n">
        <v>3199</v>
      </c>
      <c r="E35" s="20" t="inlineStr">
        <is>
          <t>🔗 Search</t>
        </is>
      </c>
      <c r="F35" s="20" t="inlineStr">
        <is>
          <t>🔗 Search</t>
        </is>
      </c>
      <c r="G35" s="20" t="inlineStr">
        <is>
          <t>🔗 Search</t>
        </is>
      </c>
      <c r="H35" s="20" t="inlineStr">
        <is>
          <t>🔗 Search</t>
        </is>
      </c>
      <c r="I35" s="20" t="inlineStr">
        <is>
          <t>🔗 Search</t>
        </is>
      </c>
      <c r="J35" s="13" t="n">
        <v>2273</v>
      </c>
      <c r="K35" s="21" t="n">
        <v>0.4072053842431706</v>
      </c>
    </row>
    <row r="36">
      <c r="A36" t="n">
        <v>35</v>
      </c>
      <c r="B36" t="inlineStr">
        <is>
          <t>NG-DRN-004</t>
        </is>
      </c>
      <c r="C36" t="inlineStr">
        <is>
          <t>DJI RS 4 - 3-Axis Gimbal Stabilizer for Professional Cameras</t>
        </is>
      </c>
      <c r="D36" s="13" t="n">
        <v>3099</v>
      </c>
      <c r="E36" s="20" t="inlineStr">
        <is>
          <t>🔗 Search</t>
        </is>
      </c>
      <c r="F36" s="20" t="inlineStr">
        <is>
          <t>🔗 Search</t>
        </is>
      </c>
      <c r="G36" s="20" t="inlineStr">
        <is>
          <t>🔗 Search</t>
        </is>
      </c>
      <c r="H36" s="20" t="inlineStr">
        <is>
          <t>🔗 Search</t>
        </is>
      </c>
      <c r="I36" s="20" t="inlineStr">
        <is>
          <t>🔗 Search</t>
        </is>
      </c>
      <c r="J36" s="13" t="n">
        <v>2823</v>
      </c>
      <c r="K36" s="21" t="n">
        <v>0.0977294463532996</v>
      </c>
    </row>
    <row r="37">
      <c r="A37" t="n">
        <v>36</v>
      </c>
      <c r="B37" t="inlineStr">
        <is>
          <t>NG-ENT-005</t>
        </is>
      </c>
      <c r="C37" t="inlineStr">
        <is>
          <t>Asustor Flashstor 6 (FS6706T) - All-NVMe SSD NAS for Extreme Performance</t>
        </is>
      </c>
      <c r="D37" s="13" t="n">
        <v>3099</v>
      </c>
      <c r="E37" s="20" t="inlineStr">
        <is>
          <t>🔗 Search</t>
        </is>
      </c>
      <c r="F37" s="20" t="inlineStr">
        <is>
          <t>🔗 Search</t>
        </is>
      </c>
      <c r="G37" s="20" t="inlineStr">
        <is>
          <t>🔗 Search</t>
        </is>
      </c>
      <c r="H37" s="20" t="inlineStr">
        <is>
          <t>🔗 Search</t>
        </is>
      </c>
      <c r="I37" s="20" t="inlineStr">
        <is>
          <t>🔗 Search</t>
        </is>
      </c>
      <c r="J37" s="13" t="n">
        <v>1805</v>
      </c>
      <c r="K37" s="21" t="n">
        <v>0.7171258228240874</v>
      </c>
    </row>
    <row r="38">
      <c r="A38" t="n">
        <v>37</v>
      </c>
      <c r="B38" t="inlineStr">
        <is>
          <t>NG-ENT-003</t>
        </is>
      </c>
      <c r="C38" t="inlineStr">
        <is>
          <t>Ubiquiti UniFi Dream Machine Pro (UDM-Pro) - All-in-One Enterprise Network Console</t>
        </is>
      </c>
      <c r="D38" s="13" t="n">
        <v>3099</v>
      </c>
      <c r="E38" s="20" t="inlineStr">
        <is>
          <t>🔗 Search</t>
        </is>
      </c>
      <c r="F38" s="20" t="inlineStr">
        <is>
          <t>🔗 Search</t>
        </is>
      </c>
      <c r="G38" s="20" t="inlineStr">
        <is>
          <t>🔗 Search</t>
        </is>
      </c>
      <c r="H38" s="20" t="inlineStr">
        <is>
          <t>🔗 Search</t>
        </is>
      </c>
      <c r="I38" s="20" t="inlineStr">
        <is>
          <t>🔗 Search</t>
        </is>
      </c>
      <c r="J38" s="13" t="n">
        <v>2089</v>
      </c>
      <c r="K38" s="21" t="n">
        <v>0.4838045533982905</v>
      </c>
    </row>
    <row r="39">
      <c r="A39" t="n">
        <v>38</v>
      </c>
      <c r="B39" t="inlineStr">
        <is>
          <t>NG-ENT-002</t>
        </is>
      </c>
      <c r="C39" t="inlineStr">
        <is>
          <t>Asustor Lockerstor 4 (AS6604T) - Professional 4-Bay NAS for Creators</t>
        </is>
      </c>
      <c r="D39" s="13" t="n">
        <v>3099</v>
      </c>
      <c r="E39" s="20" t="inlineStr">
        <is>
          <t>🔗 Search</t>
        </is>
      </c>
      <c r="F39" s="20" t="inlineStr">
        <is>
          <t>🔗 Search</t>
        </is>
      </c>
      <c r="G39" s="20" t="inlineStr">
        <is>
          <t>🔗 Search</t>
        </is>
      </c>
      <c r="H39" s="20" t="inlineStr">
        <is>
          <t>🔗 Search</t>
        </is>
      </c>
      <c r="I39" s="20" t="inlineStr">
        <is>
          <t>🔗 Search</t>
        </is>
      </c>
      <c r="J39" s="13" t="n">
        <v>1883</v>
      </c>
      <c r="K39" s="21" t="n">
        <v>0.6456032285471538</v>
      </c>
    </row>
    <row r="40">
      <c r="A40" t="n">
        <v>39</v>
      </c>
      <c r="B40" t="inlineStr">
        <is>
          <t>NG-DRN-008</t>
        </is>
      </c>
      <c r="C40" t="inlineStr">
        <is>
          <t>DJI Pocket 3 - Pocket-Sized Gimbal Camera with 1-Inch Sensor</t>
        </is>
      </c>
      <c r="D40" s="13" t="n">
        <v>2999</v>
      </c>
      <c r="E40" s="20" t="inlineStr">
        <is>
          <t>🔗 Search</t>
        </is>
      </c>
      <c r="F40" s="20" t="inlineStr">
        <is>
          <t>🔗 Search</t>
        </is>
      </c>
      <c r="G40" s="20" t="inlineStr">
        <is>
          <t>🔗 Search</t>
        </is>
      </c>
      <c r="H40" s="20" t="inlineStr">
        <is>
          <t>🔗 Search</t>
        </is>
      </c>
      <c r="I40" s="20" t="inlineStr">
        <is>
          <t>🔗 Search</t>
        </is>
      </c>
      <c r="J40" s="13" t="n">
        <v>2516</v>
      </c>
      <c r="K40" s="21" t="n">
        <v>0.1918055914320345</v>
      </c>
    </row>
    <row r="41">
      <c r="A41" t="n">
        <v>40</v>
      </c>
      <c r="B41" t="inlineStr">
        <is>
          <t>NG-GAM-010</t>
        </is>
      </c>
      <c r="C41" t="inlineStr">
        <is>
          <t>BenQ Zowie XL2546K - 240Hz Esports Gaming Monitor</t>
        </is>
      </c>
      <c r="D41" s="13" t="n">
        <v>2999</v>
      </c>
      <c r="E41" s="20" t="inlineStr">
        <is>
          <t>🔗 Search</t>
        </is>
      </c>
      <c r="F41" s="20" t="inlineStr">
        <is>
          <t>🔗 Search</t>
        </is>
      </c>
      <c r="G41" s="20" t="inlineStr">
        <is>
          <t>🔗 Search</t>
        </is>
      </c>
      <c r="H41" s="20" t="inlineStr">
        <is>
          <t>🔗 Search</t>
        </is>
      </c>
      <c r="I41" s="20" t="inlineStr">
        <is>
          <t>🔗 Search</t>
        </is>
      </c>
      <c r="J41" s="13" t="n">
        <v>2487</v>
      </c>
      <c r="K41" s="21" t="n">
        <v>0.2059772074731178</v>
      </c>
    </row>
    <row r="42">
      <c r="A42" t="n">
        <v>41</v>
      </c>
      <c r="B42" t="inlineStr">
        <is>
          <t>NG-3DP-008</t>
        </is>
      </c>
      <c r="C42" t="inlineStr">
        <is>
          <t>Phrozen Sonic Mini 8K S - 22-Micron Pixel Resin 3D Printer</t>
        </is>
      </c>
      <c r="D42" s="13" t="n">
        <v>2899</v>
      </c>
      <c r="E42" s="20" t="inlineStr">
        <is>
          <t>🔗 Search</t>
        </is>
      </c>
      <c r="F42" s="20" t="inlineStr">
        <is>
          <t>🔗 Search</t>
        </is>
      </c>
      <c r="G42" s="20" t="inlineStr">
        <is>
          <t>🔗 Search</t>
        </is>
      </c>
      <c r="H42" s="20" t="inlineStr">
        <is>
          <t>🔗 Search</t>
        </is>
      </c>
      <c r="I42" s="20" t="inlineStr">
        <is>
          <t>🔗 Search</t>
        </is>
      </c>
      <c r="J42" s="13" t="n">
        <v>2156</v>
      </c>
      <c r="K42" s="21" t="n">
        <v>0.3444512978430345</v>
      </c>
    </row>
    <row r="43">
      <c r="A43" t="n">
        <v>42</v>
      </c>
      <c r="B43" t="inlineStr">
        <is>
          <t>NG-ACC-008</t>
        </is>
      </c>
      <c r="C43" t="inlineStr">
        <is>
          <t>CalDigit TS4 Thunderbolt 4 Dock - 18-Port Professional Docking Station</t>
        </is>
      </c>
      <c r="D43" s="13" t="n">
        <v>2899</v>
      </c>
      <c r="E43" s="20" t="inlineStr">
        <is>
          <t>🔗 Search</t>
        </is>
      </c>
      <c r="F43" s="20" t="inlineStr">
        <is>
          <t>🔗 Search</t>
        </is>
      </c>
      <c r="G43" s="20" t="inlineStr">
        <is>
          <t>🔗 Search</t>
        </is>
      </c>
      <c r="H43" s="20" t="inlineStr">
        <is>
          <t>🔗 Search</t>
        </is>
      </c>
      <c r="I43" s="20" t="inlineStr">
        <is>
          <t>🔗 Search</t>
        </is>
      </c>
      <c r="J43" s="13" t="n">
        <v>627</v>
      </c>
      <c r="K43" s="21" t="n">
        <v>3.622424899547165</v>
      </c>
    </row>
    <row r="44">
      <c r="A44" t="n">
        <v>43</v>
      </c>
      <c r="B44" t="inlineStr">
        <is>
          <t>NG-SH-002</t>
        </is>
      </c>
      <c r="C44" t="inlineStr">
        <is>
          <t>UniFi Protect G4 Pro Camera - 4K Ultra HD Surveillance Excellence</t>
        </is>
      </c>
      <c r="D44" s="13" t="n">
        <v>2899</v>
      </c>
      <c r="E44" s="20" t="inlineStr">
        <is>
          <t>🔗 Search</t>
        </is>
      </c>
      <c r="F44" s="20" t="inlineStr">
        <is>
          <t>🔗 Search</t>
        </is>
      </c>
      <c r="G44" s="20" t="inlineStr">
        <is>
          <t>🔗 Search</t>
        </is>
      </c>
      <c r="H44" s="20" t="inlineStr">
        <is>
          <t>🔗 Search</t>
        </is>
      </c>
      <c r="I44" s="20" t="inlineStr">
        <is>
          <t>🔗 Search</t>
        </is>
      </c>
      <c r="J44" s="13" t="n">
        <v>1878</v>
      </c>
      <c r="K44" s="21" t="n">
        <v>0.5438361052087827</v>
      </c>
    </row>
    <row r="45">
      <c r="A45" t="n">
        <v>44</v>
      </c>
      <c r="B45" t="inlineStr">
        <is>
          <t>NT-NAS-QNP-001</t>
        </is>
      </c>
      <c r="C45" t="inlineStr">
        <is>
          <t>QNAP TS-464-8G (4-Bay)</t>
        </is>
      </c>
      <c r="D45" s="13" t="n">
        <v>2799</v>
      </c>
      <c r="E45" s="20" t="inlineStr">
        <is>
          <t>🔗 Search</t>
        </is>
      </c>
      <c r="F45" s="20" t="inlineStr">
        <is>
          <t>🔗 Search</t>
        </is>
      </c>
      <c r="G45" s="20" t="inlineStr">
        <is>
          <t>🔗 Search</t>
        </is>
      </c>
      <c r="H45" s="20" t="inlineStr">
        <is>
          <t>🔗 Search</t>
        </is>
      </c>
      <c r="I45" s="20" t="inlineStr">
        <is>
          <t>🔗 Search</t>
        </is>
      </c>
      <c r="J45" s="13" t="n">
        <v>2013</v>
      </c>
      <c r="K45" s="21" t="n">
        <v>0.390392926332522</v>
      </c>
    </row>
    <row r="46">
      <c r="A46" t="n">
        <v>45</v>
      </c>
      <c r="B46" t="inlineStr">
        <is>
          <t>NT-NET-MKT-004</t>
        </is>
      </c>
      <c r="C46" t="inlineStr">
        <is>
          <t>MikroTik CRS312-4C+8XG-RM</t>
        </is>
      </c>
      <c r="D46" s="13" t="n">
        <v>2799</v>
      </c>
      <c r="E46" s="20" t="inlineStr">
        <is>
          <t>🔗 Search</t>
        </is>
      </c>
      <c r="F46" s="20" t="inlineStr">
        <is>
          <t>🔗 Search</t>
        </is>
      </c>
      <c r="G46" s="20" t="inlineStr">
        <is>
          <t>🔗 Search</t>
        </is>
      </c>
      <c r="H46" s="20" t="inlineStr">
        <is>
          <t>🔗 Search</t>
        </is>
      </c>
      <c r="I46" s="20" t="inlineStr">
        <is>
          <t>🔗 Search</t>
        </is>
      </c>
      <c r="J46" s="13" t="n">
        <v>2167</v>
      </c>
      <c r="K46" s="21" t="n">
        <v>0.2913733125409465</v>
      </c>
    </row>
    <row r="47">
      <c r="A47" t="n">
        <v>46</v>
      </c>
      <c r="B47" t="inlineStr">
        <is>
          <t>NT-NET-MKT-003</t>
        </is>
      </c>
      <c r="C47" t="inlineStr">
        <is>
          <t>MikroTik CRS328-24P-4S+RM (PoE)</t>
        </is>
      </c>
      <c r="D47" s="13" t="n">
        <v>2699</v>
      </c>
      <c r="E47" s="20" t="inlineStr">
        <is>
          <t>🔗 Search</t>
        </is>
      </c>
      <c r="F47" s="20" t="inlineStr">
        <is>
          <t>🔗 Search</t>
        </is>
      </c>
      <c r="G47" s="20" t="inlineStr">
        <is>
          <t>🔗 Search</t>
        </is>
      </c>
      <c r="H47" s="20" t="inlineStr">
        <is>
          <t>🔗 Search</t>
        </is>
      </c>
      <c r="I47" s="20" t="inlineStr">
        <is>
          <t>🔗 Search</t>
        </is>
      </c>
      <c r="J47" s="13" t="n">
        <v>1903</v>
      </c>
      <c r="K47" s="21" t="n">
        <v>0.4181304217611299</v>
      </c>
    </row>
    <row r="48">
      <c r="A48" t="n">
        <v>47</v>
      </c>
      <c r="B48" t="inlineStr">
        <is>
          <t>NG-ACC-004</t>
        </is>
      </c>
      <c r="C48" t="inlineStr">
        <is>
          <t>Seagate IronWolf 18TB NAS Internal Hard Drive - Built for 24/7 Performance</t>
        </is>
      </c>
      <c r="D48" s="13" t="n">
        <v>2699</v>
      </c>
      <c r="E48" s="20" t="inlineStr">
        <is>
          <t>🔗 Search</t>
        </is>
      </c>
      <c r="F48" s="20" t="inlineStr">
        <is>
          <t>🔗 Search</t>
        </is>
      </c>
      <c r="G48" s="20" t="inlineStr">
        <is>
          <t>🔗 Search</t>
        </is>
      </c>
      <c r="H48" s="20" t="inlineStr">
        <is>
          <t>🔗 Search</t>
        </is>
      </c>
      <c r="I48" s="20" t="inlineStr">
        <is>
          <t>🔗 Search</t>
        </is>
      </c>
      <c r="J48" s="13" t="n">
        <v>2241</v>
      </c>
      <c r="K48" s="21" t="n">
        <v>0.2042172141936117</v>
      </c>
    </row>
    <row r="49">
      <c r="A49" t="n">
        <v>48</v>
      </c>
      <c r="B49" t="inlineStr">
        <is>
          <t>NT-FWL-NGT-002</t>
        </is>
      </c>
      <c r="C49" t="inlineStr">
        <is>
          <t>Netgate 2100 MAX pfSense+ Gateway</t>
        </is>
      </c>
      <c r="D49" s="13" t="n">
        <v>2499</v>
      </c>
      <c r="E49" s="20" t="inlineStr">
        <is>
          <t>🔗 Search</t>
        </is>
      </c>
      <c r="F49" s="20" t="inlineStr">
        <is>
          <t>🔗 Search</t>
        </is>
      </c>
      <c r="G49" s="20" t="inlineStr">
        <is>
          <t>🔗 Search</t>
        </is>
      </c>
      <c r="H49" s="20" t="inlineStr">
        <is>
          <t>🔗 Search</t>
        </is>
      </c>
      <c r="I49" s="20" t="inlineStr">
        <is>
          <t>🔗 Search</t>
        </is>
      </c>
      <c r="J49" s="13" t="n">
        <v>1425</v>
      </c>
      <c r="K49" s="21" t="n">
        <v>0.7532166860766952</v>
      </c>
    </row>
    <row r="50">
      <c r="A50" t="n">
        <v>49</v>
      </c>
      <c r="B50" t="inlineStr">
        <is>
          <t>NG-SEC-006</t>
        </is>
      </c>
      <c r="C50" t="inlineStr">
        <is>
          <t>Ajax Hub 2 Plus - Professional Wireless Smart Alarm System</t>
        </is>
      </c>
      <c r="D50" s="13" t="n">
        <v>2499</v>
      </c>
      <c r="E50" s="20" t="inlineStr">
        <is>
          <t>🔗 Search</t>
        </is>
      </c>
      <c r="F50" s="20" t="inlineStr">
        <is>
          <t>🔗 Search</t>
        </is>
      </c>
      <c r="G50" s="20" t="inlineStr">
        <is>
          <t>🔗 Search</t>
        </is>
      </c>
      <c r="H50" s="20" t="inlineStr">
        <is>
          <t>🔗 Search</t>
        </is>
      </c>
      <c r="I50" s="20" t="inlineStr">
        <is>
          <t>🔗 Search</t>
        </is>
      </c>
      <c r="J50" s="13" t="n">
        <v>1334</v>
      </c>
      <c r="K50" s="21" t="n">
        <v>0.8732010074358361</v>
      </c>
    </row>
    <row r="51">
      <c r="A51" t="n">
        <v>50</v>
      </c>
      <c r="B51" t="inlineStr">
        <is>
          <t>NG-DRN-003</t>
        </is>
      </c>
      <c r="C51" t="inlineStr">
        <is>
          <t>DJI Osmo Action 5 Pro - 4K/120fps Waterproof Action Camera</t>
        </is>
      </c>
      <c r="D51" s="13" t="n">
        <v>2499</v>
      </c>
      <c r="E51" s="20" t="inlineStr">
        <is>
          <t>🔗 Search</t>
        </is>
      </c>
      <c r="F51" s="20" t="inlineStr">
        <is>
          <t>🔗 Search</t>
        </is>
      </c>
      <c r="G51" s="20" t="inlineStr">
        <is>
          <t>🔗 Search</t>
        </is>
      </c>
      <c r="H51" s="20" t="inlineStr">
        <is>
          <t>🔗 Search</t>
        </is>
      </c>
      <c r="I51" s="20" t="inlineStr">
        <is>
          <t>🔗 Search</t>
        </is>
      </c>
      <c r="J51" s="13" t="n">
        <v>2145</v>
      </c>
      <c r="K51" s="21" t="n">
        <v>0.1652386780905753</v>
      </c>
    </row>
  </sheetData>
  <conditionalFormatting sqref="K2:K51">
    <cfRule type="colorScale" priority="1">
      <colorScale>
        <cfvo type="num" val="0"/>
        <cfvo type="num" val="0.3"/>
        <cfvo type="num" val="1"/>
        <color rgb="00E8734A"/>
        <color rgb="00FFCC00"/>
        <color rgb="003FE88F"/>
      </colorScale>
    </cfRule>
  </conditionalFormatting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H2" r:id="rId4"/>
    <hyperlink xmlns:r="http://schemas.openxmlformats.org/officeDocument/2006/relationships" ref="I2" r:id="rId5"/>
    <hyperlink xmlns:r="http://schemas.openxmlformats.org/officeDocument/2006/relationships" ref="E3" r:id="rId6"/>
    <hyperlink xmlns:r="http://schemas.openxmlformats.org/officeDocument/2006/relationships" ref="F3" r:id="rId7"/>
    <hyperlink xmlns:r="http://schemas.openxmlformats.org/officeDocument/2006/relationships" ref="G3" r:id="rId8"/>
    <hyperlink xmlns:r="http://schemas.openxmlformats.org/officeDocument/2006/relationships" ref="H3" r:id="rId9"/>
    <hyperlink xmlns:r="http://schemas.openxmlformats.org/officeDocument/2006/relationships" ref="I3" r:id="rId10"/>
    <hyperlink xmlns:r="http://schemas.openxmlformats.org/officeDocument/2006/relationships" ref="E4" r:id="rId11"/>
    <hyperlink xmlns:r="http://schemas.openxmlformats.org/officeDocument/2006/relationships" ref="F4" r:id="rId12"/>
    <hyperlink xmlns:r="http://schemas.openxmlformats.org/officeDocument/2006/relationships" ref="G4" r:id="rId13"/>
    <hyperlink xmlns:r="http://schemas.openxmlformats.org/officeDocument/2006/relationships" ref="H4" r:id="rId14"/>
    <hyperlink xmlns:r="http://schemas.openxmlformats.org/officeDocument/2006/relationships" ref="I4" r:id="rId15"/>
    <hyperlink xmlns:r="http://schemas.openxmlformats.org/officeDocument/2006/relationships" ref="E5" r:id="rId16"/>
    <hyperlink xmlns:r="http://schemas.openxmlformats.org/officeDocument/2006/relationships" ref="F5" r:id="rId17"/>
    <hyperlink xmlns:r="http://schemas.openxmlformats.org/officeDocument/2006/relationships" ref="G5" r:id="rId18"/>
    <hyperlink xmlns:r="http://schemas.openxmlformats.org/officeDocument/2006/relationships" ref="H5" r:id="rId19"/>
    <hyperlink xmlns:r="http://schemas.openxmlformats.org/officeDocument/2006/relationships" ref="I5" r:id="rId20"/>
    <hyperlink xmlns:r="http://schemas.openxmlformats.org/officeDocument/2006/relationships" ref="E6" r:id="rId21"/>
    <hyperlink xmlns:r="http://schemas.openxmlformats.org/officeDocument/2006/relationships" ref="F6" r:id="rId22"/>
    <hyperlink xmlns:r="http://schemas.openxmlformats.org/officeDocument/2006/relationships" ref="G6" r:id="rId23"/>
    <hyperlink xmlns:r="http://schemas.openxmlformats.org/officeDocument/2006/relationships" ref="H6" r:id="rId24"/>
    <hyperlink xmlns:r="http://schemas.openxmlformats.org/officeDocument/2006/relationships" ref="I6" r:id="rId25"/>
    <hyperlink xmlns:r="http://schemas.openxmlformats.org/officeDocument/2006/relationships" ref="E7" r:id="rId26"/>
    <hyperlink xmlns:r="http://schemas.openxmlformats.org/officeDocument/2006/relationships" ref="F7" r:id="rId27"/>
    <hyperlink xmlns:r="http://schemas.openxmlformats.org/officeDocument/2006/relationships" ref="G7" r:id="rId28"/>
    <hyperlink xmlns:r="http://schemas.openxmlformats.org/officeDocument/2006/relationships" ref="H7" r:id="rId29"/>
    <hyperlink xmlns:r="http://schemas.openxmlformats.org/officeDocument/2006/relationships" ref="I7" r:id="rId30"/>
    <hyperlink xmlns:r="http://schemas.openxmlformats.org/officeDocument/2006/relationships" ref="E8" r:id="rId31"/>
    <hyperlink xmlns:r="http://schemas.openxmlformats.org/officeDocument/2006/relationships" ref="F8" r:id="rId32"/>
    <hyperlink xmlns:r="http://schemas.openxmlformats.org/officeDocument/2006/relationships" ref="G8" r:id="rId33"/>
    <hyperlink xmlns:r="http://schemas.openxmlformats.org/officeDocument/2006/relationships" ref="H8" r:id="rId34"/>
    <hyperlink xmlns:r="http://schemas.openxmlformats.org/officeDocument/2006/relationships" ref="I8" r:id="rId35"/>
    <hyperlink xmlns:r="http://schemas.openxmlformats.org/officeDocument/2006/relationships" ref="E9" r:id="rId36"/>
    <hyperlink xmlns:r="http://schemas.openxmlformats.org/officeDocument/2006/relationships" ref="F9" r:id="rId37"/>
    <hyperlink xmlns:r="http://schemas.openxmlformats.org/officeDocument/2006/relationships" ref="G9" r:id="rId38"/>
    <hyperlink xmlns:r="http://schemas.openxmlformats.org/officeDocument/2006/relationships" ref="H9" r:id="rId39"/>
    <hyperlink xmlns:r="http://schemas.openxmlformats.org/officeDocument/2006/relationships" ref="I9" r:id="rId40"/>
    <hyperlink xmlns:r="http://schemas.openxmlformats.org/officeDocument/2006/relationships" ref="E10" r:id="rId41"/>
    <hyperlink xmlns:r="http://schemas.openxmlformats.org/officeDocument/2006/relationships" ref="F10" r:id="rId42"/>
    <hyperlink xmlns:r="http://schemas.openxmlformats.org/officeDocument/2006/relationships" ref="G10" r:id="rId43"/>
    <hyperlink xmlns:r="http://schemas.openxmlformats.org/officeDocument/2006/relationships" ref="H10" r:id="rId44"/>
    <hyperlink xmlns:r="http://schemas.openxmlformats.org/officeDocument/2006/relationships" ref="I10" r:id="rId45"/>
    <hyperlink xmlns:r="http://schemas.openxmlformats.org/officeDocument/2006/relationships" ref="E11" r:id="rId46"/>
    <hyperlink xmlns:r="http://schemas.openxmlformats.org/officeDocument/2006/relationships" ref="F11" r:id="rId47"/>
    <hyperlink xmlns:r="http://schemas.openxmlformats.org/officeDocument/2006/relationships" ref="G11" r:id="rId48"/>
    <hyperlink xmlns:r="http://schemas.openxmlformats.org/officeDocument/2006/relationships" ref="H11" r:id="rId49"/>
    <hyperlink xmlns:r="http://schemas.openxmlformats.org/officeDocument/2006/relationships" ref="I11" r:id="rId50"/>
    <hyperlink xmlns:r="http://schemas.openxmlformats.org/officeDocument/2006/relationships" ref="E12" r:id="rId51"/>
    <hyperlink xmlns:r="http://schemas.openxmlformats.org/officeDocument/2006/relationships" ref="F12" r:id="rId52"/>
    <hyperlink xmlns:r="http://schemas.openxmlformats.org/officeDocument/2006/relationships" ref="G12" r:id="rId53"/>
    <hyperlink xmlns:r="http://schemas.openxmlformats.org/officeDocument/2006/relationships" ref="H12" r:id="rId54"/>
    <hyperlink xmlns:r="http://schemas.openxmlformats.org/officeDocument/2006/relationships" ref="I12" r:id="rId55"/>
    <hyperlink xmlns:r="http://schemas.openxmlformats.org/officeDocument/2006/relationships" ref="E13" r:id="rId56"/>
    <hyperlink xmlns:r="http://schemas.openxmlformats.org/officeDocument/2006/relationships" ref="F13" r:id="rId57"/>
    <hyperlink xmlns:r="http://schemas.openxmlformats.org/officeDocument/2006/relationships" ref="G13" r:id="rId58"/>
    <hyperlink xmlns:r="http://schemas.openxmlformats.org/officeDocument/2006/relationships" ref="H13" r:id="rId59"/>
    <hyperlink xmlns:r="http://schemas.openxmlformats.org/officeDocument/2006/relationships" ref="I13" r:id="rId60"/>
    <hyperlink xmlns:r="http://schemas.openxmlformats.org/officeDocument/2006/relationships" ref="E14" r:id="rId61"/>
    <hyperlink xmlns:r="http://schemas.openxmlformats.org/officeDocument/2006/relationships" ref="F14" r:id="rId62"/>
    <hyperlink xmlns:r="http://schemas.openxmlformats.org/officeDocument/2006/relationships" ref="G14" r:id="rId63"/>
    <hyperlink xmlns:r="http://schemas.openxmlformats.org/officeDocument/2006/relationships" ref="H14" r:id="rId64"/>
    <hyperlink xmlns:r="http://schemas.openxmlformats.org/officeDocument/2006/relationships" ref="I14" r:id="rId65"/>
    <hyperlink xmlns:r="http://schemas.openxmlformats.org/officeDocument/2006/relationships" ref="E15" r:id="rId66"/>
    <hyperlink xmlns:r="http://schemas.openxmlformats.org/officeDocument/2006/relationships" ref="F15" r:id="rId67"/>
    <hyperlink xmlns:r="http://schemas.openxmlformats.org/officeDocument/2006/relationships" ref="G15" r:id="rId68"/>
    <hyperlink xmlns:r="http://schemas.openxmlformats.org/officeDocument/2006/relationships" ref="H15" r:id="rId69"/>
    <hyperlink xmlns:r="http://schemas.openxmlformats.org/officeDocument/2006/relationships" ref="I15" r:id="rId70"/>
    <hyperlink xmlns:r="http://schemas.openxmlformats.org/officeDocument/2006/relationships" ref="E16" r:id="rId71"/>
    <hyperlink xmlns:r="http://schemas.openxmlformats.org/officeDocument/2006/relationships" ref="F16" r:id="rId72"/>
    <hyperlink xmlns:r="http://schemas.openxmlformats.org/officeDocument/2006/relationships" ref="G16" r:id="rId73"/>
    <hyperlink xmlns:r="http://schemas.openxmlformats.org/officeDocument/2006/relationships" ref="H16" r:id="rId74"/>
    <hyperlink xmlns:r="http://schemas.openxmlformats.org/officeDocument/2006/relationships" ref="I16" r:id="rId75"/>
    <hyperlink xmlns:r="http://schemas.openxmlformats.org/officeDocument/2006/relationships" ref="E17" r:id="rId76"/>
    <hyperlink xmlns:r="http://schemas.openxmlformats.org/officeDocument/2006/relationships" ref="F17" r:id="rId77"/>
    <hyperlink xmlns:r="http://schemas.openxmlformats.org/officeDocument/2006/relationships" ref="G17" r:id="rId78"/>
    <hyperlink xmlns:r="http://schemas.openxmlformats.org/officeDocument/2006/relationships" ref="H17" r:id="rId79"/>
    <hyperlink xmlns:r="http://schemas.openxmlformats.org/officeDocument/2006/relationships" ref="I17" r:id="rId80"/>
    <hyperlink xmlns:r="http://schemas.openxmlformats.org/officeDocument/2006/relationships" ref="E18" r:id="rId81"/>
    <hyperlink xmlns:r="http://schemas.openxmlformats.org/officeDocument/2006/relationships" ref="F18" r:id="rId82"/>
    <hyperlink xmlns:r="http://schemas.openxmlformats.org/officeDocument/2006/relationships" ref="G18" r:id="rId83"/>
    <hyperlink xmlns:r="http://schemas.openxmlformats.org/officeDocument/2006/relationships" ref="H18" r:id="rId84"/>
    <hyperlink xmlns:r="http://schemas.openxmlformats.org/officeDocument/2006/relationships" ref="I18" r:id="rId85"/>
    <hyperlink xmlns:r="http://schemas.openxmlformats.org/officeDocument/2006/relationships" ref="E19" r:id="rId86"/>
    <hyperlink xmlns:r="http://schemas.openxmlformats.org/officeDocument/2006/relationships" ref="F19" r:id="rId87"/>
    <hyperlink xmlns:r="http://schemas.openxmlformats.org/officeDocument/2006/relationships" ref="G19" r:id="rId88"/>
    <hyperlink xmlns:r="http://schemas.openxmlformats.org/officeDocument/2006/relationships" ref="H19" r:id="rId89"/>
    <hyperlink xmlns:r="http://schemas.openxmlformats.org/officeDocument/2006/relationships" ref="I19" r:id="rId90"/>
    <hyperlink xmlns:r="http://schemas.openxmlformats.org/officeDocument/2006/relationships" ref="E20" r:id="rId91"/>
    <hyperlink xmlns:r="http://schemas.openxmlformats.org/officeDocument/2006/relationships" ref="F20" r:id="rId92"/>
    <hyperlink xmlns:r="http://schemas.openxmlformats.org/officeDocument/2006/relationships" ref="G20" r:id="rId93"/>
    <hyperlink xmlns:r="http://schemas.openxmlformats.org/officeDocument/2006/relationships" ref="H20" r:id="rId94"/>
    <hyperlink xmlns:r="http://schemas.openxmlformats.org/officeDocument/2006/relationships" ref="I20" r:id="rId95"/>
    <hyperlink xmlns:r="http://schemas.openxmlformats.org/officeDocument/2006/relationships" ref="E21" r:id="rId96"/>
    <hyperlink xmlns:r="http://schemas.openxmlformats.org/officeDocument/2006/relationships" ref="F21" r:id="rId97"/>
    <hyperlink xmlns:r="http://schemas.openxmlformats.org/officeDocument/2006/relationships" ref="G21" r:id="rId98"/>
    <hyperlink xmlns:r="http://schemas.openxmlformats.org/officeDocument/2006/relationships" ref="H21" r:id="rId99"/>
    <hyperlink xmlns:r="http://schemas.openxmlformats.org/officeDocument/2006/relationships" ref="I21" r:id="rId100"/>
    <hyperlink xmlns:r="http://schemas.openxmlformats.org/officeDocument/2006/relationships" ref="E22" r:id="rId101"/>
    <hyperlink xmlns:r="http://schemas.openxmlformats.org/officeDocument/2006/relationships" ref="F22" r:id="rId102"/>
    <hyperlink xmlns:r="http://schemas.openxmlformats.org/officeDocument/2006/relationships" ref="G22" r:id="rId103"/>
    <hyperlink xmlns:r="http://schemas.openxmlformats.org/officeDocument/2006/relationships" ref="H22" r:id="rId104"/>
    <hyperlink xmlns:r="http://schemas.openxmlformats.org/officeDocument/2006/relationships" ref="I22" r:id="rId105"/>
    <hyperlink xmlns:r="http://schemas.openxmlformats.org/officeDocument/2006/relationships" ref="E23" r:id="rId106"/>
    <hyperlink xmlns:r="http://schemas.openxmlformats.org/officeDocument/2006/relationships" ref="F23" r:id="rId107"/>
    <hyperlink xmlns:r="http://schemas.openxmlformats.org/officeDocument/2006/relationships" ref="G23" r:id="rId108"/>
    <hyperlink xmlns:r="http://schemas.openxmlformats.org/officeDocument/2006/relationships" ref="H23" r:id="rId109"/>
    <hyperlink xmlns:r="http://schemas.openxmlformats.org/officeDocument/2006/relationships" ref="I23" r:id="rId110"/>
    <hyperlink xmlns:r="http://schemas.openxmlformats.org/officeDocument/2006/relationships" ref="E24" r:id="rId111"/>
    <hyperlink xmlns:r="http://schemas.openxmlformats.org/officeDocument/2006/relationships" ref="F24" r:id="rId112"/>
    <hyperlink xmlns:r="http://schemas.openxmlformats.org/officeDocument/2006/relationships" ref="G24" r:id="rId113"/>
    <hyperlink xmlns:r="http://schemas.openxmlformats.org/officeDocument/2006/relationships" ref="H24" r:id="rId114"/>
    <hyperlink xmlns:r="http://schemas.openxmlformats.org/officeDocument/2006/relationships" ref="I24" r:id="rId115"/>
    <hyperlink xmlns:r="http://schemas.openxmlformats.org/officeDocument/2006/relationships" ref="E25" r:id="rId116"/>
    <hyperlink xmlns:r="http://schemas.openxmlformats.org/officeDocument/2006/relationships" ref="F25" r:id="rId117"/>
    <hyperlink xmlns:r="http://schemas.openxmlformats.org/officeDocument/2006/relationships" ref="G25" r:id="rId118"/>
    <hyperlink xmlns:r="http://schemas.openxmlformats.org/officeDocument/2006/relationships" ref="H25" r:id="rId119"/>
    <hyperlink xmlns:r="http://schemas.openxmlformats.org/officeDocument/2006/relationships" ref="I25" r:id="rId120"/>
    <hyperlink xmlns:r="http://schemas.openxmlformats.org/officeDocument/2006/relationships" ref="E26" r:id="rId121"/>
    <hyperlink xmlns:r="http://schemas.openxmlformats.org/officeDocument/2006/relationships" ref="F26" r:id="rId122"/>
    <hyperlink xmlns:r="http://schemas.openxmlformats.org/officeDocument/2006/relationships" ref="G26" r:id="rId123"/>
    <hyperlink xmlns:r="http://schemas.openxmlformats.org/officeDocument/2006/relationships" ref="H26" r:id="rId124"/>
    <hyperlink xmlns:r="http://schemas.openxmlformats.org/officeDocument/2006/relationships" ref="I26" r:id="rId125"/>
    <hyperlink xmlns:r="http://schemas.openxmlformats.org/officeDocument/2006/relationships" ref="E27" r:id="rId126"/>
    <hyperlink xmlns:r="http://schemas.openxmlformats.org/officeDocument/2006/relationships" ref="F27" r:id="rId127"/>
    <hyperlink xmlns:r="http://schemas.openxmlformats.org/officeDocument/2006/relationships" ref="G27" r:id="rId128"/>
    <hyperlink xmlns:r="http://schemas.openxmlformats.org/officeDocument/2006/relationships" ref="H27" r:id="rId129"/>
    <hyperlink xmlns:r="http://schemas.openxmlformats.org/officeDocument/2006/relationships" ref="I27" r:id="rId130"/>
    <hyperlink xmlns:r="http://schemas.openxmlformats.org/officeDocument/2006/relationships" ref="E28" r:id="rId131"/>
    <hyperlink xmlns:r="http://schemas.openxmlformats.org/officeDocument/2006/relationships" ref="F28" r:id="rId132"/>
    <hyperlink xmlns:r="http://schemas.openxmlformats.org/officeDocument/2006/relationships" ref="G28" r:id="rId133"/>
    <hyperlink xmlns:r="http://schemas.openxmlformats.org/officeDocument/2006/relationships" ref="H28" r:id="rId134"/>
    <hyperlink xmlns:r="http://schemas.openxmlformats.org/officeDocument/2006/relationships" ref="I28" r:id="rId135"/>
    <hyperlink xmlns:r="http://schemas.openxmlformats.org/officeDocument/2006/relationships" ref="E29" r:id="rId136"/>
    <hyperlink xmlns:r="http://schemas.openxmlformats.org/officeDocument/2006/relationships" ref="F29" r:id="rId137"/>
    <hyperlink xmlns:r="http://schemas.openxmlformats.org/officeDocument/2006/relationships" ref="G29" r:id="rId138"/>
    <hyperlink xmlns:r="http://schemas.openxmlformats.org/officeDocument/2006/relationships" ref="H29" r:id="rId139"/>
    <hyperlink xmlns:r="http://schemas.openxmlformats.org/officeDocument/2006/relationships" ref="I29" r:id="rId140"/>
    <hyperlink xmlns:r="http://schemas.openxmlformats.org/officeDocument/2006/relationships" ref="E30" r:id="rId141"/>
    <hyperlink xmlns:r="http://schemas.openxmlformats.org/officeDocument/2006/relationships" ref="F30" r:id="rId142"/>
    <hyperlink xmlns:r="http://schemas.openxmlformats.org/officeDocument/2006/relationships" ref="G30" r:id="rId143"/>
    <hyperlink xmlns:r="http://schemas.openxmlformats.org/officeDocument/2006/relationships" ref="H30" r:id="rId144"/>
    <hyperlink xmlns:r="http://schemas.openxmlformats.org/officeDocument/2006/relationships" ref="I30" r:id="rId145"/>
    <hyperlink xmlns:r="http://schemas.openxmlformats.org/officeDocument/2006/relationships" ref="E31" r:id="rId146"/>
    <hyperlink xmlns:r="http://schemas.openxmlformats.org/officeDocument/2006/relationships" ref="F31" r:id="rId147"/>
    <hyperlink xmlns:r="http://schemas.openxmlformats.org/officeDocument/2006/relationships" ref="G31" r:id="rId148"/>
    <hyperlink xmlns:r="http://schemas.openxmlformats.org/officeDocument/2006/relationships" ref="H31" r:id="rId149"/>
    <hyperlink xmlns:r="http://schemas.openxmlformats.org/officeDocument/2006/relationships" ref="I31" r:id="rId150"/>
    <hyperlink xmlns:r="http://schemas.openxmlformats.org/officeDocument/2006/relationships" ref="E32" r:id="rId151"/>
    <hyperlink xmlns:r="http://schemas.openxmlformats.org/officeDocument/2006/relationships" ref="F32" r:id="rId152"/>
    <hyperlink xmlns:r="http://schemas.openxmlformats.org/officeDocument/2006/relationships" ref="G32" r:id="rId153"/>
    <hyperlink xmlns:r="http://schemas.openxmlformats.org/officeDocument/2006/relationships" ref="H32" r:id="rId154"/>
    <hyperlink xmlns:r="http://schemas.openxmlformats.org/officeDocument/2006/relationships" ref="I32" r:id="rId155"/>
    <hyperlink xmlns:r="http://schemas.openxmlformats.org/officeDocument/2006/relationships" ref="E33" r:id="rId156"/>
    <hyperlink xmlns:r="http://schemas.openxmlformats.org/officeDocument/2006/relationships" ref="F33" r:id="rId157"/>
    <hyperlink xmlns:r="http://schemas.openxmlformats.org/officeDocument/2006/relationships" ref="G33" r:id="rId158"/>
    <hyperlink xmlns:r="http://schemas.openxmlformats.org/officeDocument/2006/relationships" ref="H33" r:id="rId159"/>
    <hyperlink xmlns:r="http://schemas.openxmlformats.org/officeDocument/2006/relationships" ref="I33" r:id="rId160"/>
    <hyperlink xmlns:r="http://schemas.openxmlformats.org/officeDocument/2006/relationships" ref="E34" r:id="rId161"/>
    <hyperlink xmlns:r="http://schemas.openxmlformats.org/officeDocument/2006/relationships" ref="F34" r:id="rId162"/>
    <hyperlink xmlns:r="http://schemas.openxmlformats.org/officeDocument/2006/relationships" ref="G34" r:id="rId163"/>
    <hyperlink xmlns:r="http://schemas.openxmlformats.org/officeDocument/2006/relationships" ref="H34" r:id="rId164"/>
    <hyperlink xmlns:r="http://schemas.openxmlformats.org/officeDocument/2006/relationships" ref="I34" r:id="rId165"/>
    <hyperlink xmlns:r="http://schemas.openxmlformats.org/officeDocument/2006/relationships" ref="E35" r:id="rId166"/>
    <hyperlink xmlns:r="http://schemas.openxmlformats.org/officeDocument/2006/relationships" ref="F35" r:id="rId167"/>
    <hyperlink xmlns:r="http://schemas.openxmlformats.org/officeDocument/2006/relationships" ref="G35" r:id="rId168"/>
    <hyperlink xmlns:r="http://schemas.openxmlformats.org/officeDocument/2006/relationships" ref="H35" r:id="rId169"/>
    <hyperlink xmlns:r="http://schemas.openxmlformats.org/officeDocument/2006/relationships" ref="I35" r:id="rId170"/>
    <hyperlink xmlns:r="http://schemas.openxmlformats.org/officeDocument/2006/relationships" ref="E36" r:id="rId171"/>
    <hyperlink xmlns:r="http://schemas.openxmlformats.org/officeDocument/2006/relationships" ref="F36" r:id="rId172"/>
    <hyperlink xmlns:r="http://schemas.openxmlformats.org/officeDocument/2006/relationships" ref="G36" r:id="rId173"/>
    <hyperlink xmlns:r="http://schemas.openxmlformats.org/officeDocument/2006/relationships" ref="H36" r:id="rId174"/>
    <hyperlink xmlns:r="http://schemas.openxmlformats.org/officeDocument/2006/relationships" ref="I36" r:id="rId175"/>
    <hyperlink xmlns:r="http://schemas.openxmlformats.org/officeDocument/2006/relationships" ref="E37" r:id="rId176"/>
    <hyperlink xmlns:r="http://schemas.openxmlformats.org/officeDocument/2006/relationships" ref="F37" r:id="rId177"/>
    <hyperlink xmlns:r="http://schemas.openxmlformats.org/officeDocument/2006/relationships" ref="G37" r:id="rId178"/>
    <hyperlink xmlns:r="http://schemas.openxmlformats.org/officeDocument/2006/relationships" ref="H37" r:id="rId179"/>
    <hyperlink xmlns:r="http://schemas.openxmlformats.org/officeDocument/2006/relationships" ref="I37" r:id="rId180"/>
    <hyperlink xmlns:r="http://schemas.openxmlformats.org/officeDocument/2006/relationships" ref="E38" r:id="rId181"/>
    <hyperlink xmlns:r="http://schemas.openxmlformats.org/officeDocument/2006/relationships" ref="F38" r:id="rId182"/>
    <hyperlink xmlns:r="http://schemas.openxmlformats.org/officeDocument/2006/relationships" ref="G38" r:id="rId183"/>
    <hyperlink xmlns:r="http://schemas.openxmlformats.org/officeDocument/2006/relationships" ref="H38" r:id="rId184"/>
    <hyperlink xmlns:r="http://schemas.openxmlformats.org/officeDocument/2006/relationships" ref="I38" r:id="rId185"/>
    <hyperlink xmlns:r="http://schemas.openxmlformats.org/officeDocument/2006/relationships" ref="E39" r:id="rId186"/>
    <hyperlink xmlns:r="http://schemas.openxmlformats.org/officeDocument/2006/relationships" ref="F39" r:id="rId187"/>
    <hyperlink xmlns:r="http://schemas.openxmlformats.org/officeDocument/2006/relationships" ref="G39" r:id="rId188"/>
    <hyperlink xmlns:r="http://schemas.openxmlformats.org/officeDocument/2006/relationships" ref="H39" r:id="rId189"/>
    <hyperlink xmlns:r="http://schemas.openxmlformats.org/officeDocument/2006/relationships" ref="I39" r:id="rId190"/>
    <hyperlink xmlns:r="http://schemas.openxmlformats.org/officeDocument/2006/relationships" ref="E40" r:id="rId191"/>
    <hyperlink xmlns:r="http://schemas.openxmlformats.org/officeDocument/2006/relationships" ref="F40" r:id="rId192"/>
    <hyperlink xmlns:r="http://schemas.openxmlformats.org/officeDocument/2006/relationships" ref="G40" r:id="rId193"/>
    <hyperlink xmlns:r="http://schemas.openxmlformats.org/officeDocument/2006/relationships" ref="H40" r:id="rId194"/>
    <hyperlink xmlns:r="http://schemas.openxmlformats.org/officeDocument/2006/relationships" ref="I40" r:id="rId195"/>
    <hyperlink xmlns:r="http://schemas.openxmlformats.org/officeDocument/2006/relationships" ref="E41" r:id="rId196"/>
    <hyperlink xmlns:r="http://schemas.openxmlformats.org/officeDocument/2006/relationships" ref="F41" r:id="rId197"/>
    <hyperlink xmlns:r="http://schemas.openxmlformats.org/officeDocument/2006/relationships" ref="G41" r:id="rId198"/>
    <hyperlink xmlns:r="http://schemas.openxmlformats.org/officeDocument/2006/relationships" ref="H41" r:id="rId199"/>
    <hyperlink xmlns:r="http://schemas.openxmlformats.org/officeDocument/2006/relationships" ref="I41" r:id="rId200"/>
    <hyperlink xmlns:r="http://schemas.openxmlformats.org/officeDocument/2006/relationships" ref="E42" r:id="rId201"/>
    <hyperlink xmlns:r="http://schemas.openxmlformats.org/officeDocument/2006/relationships" ref="F42" r:id="rId202"/>
    <hyperlink xmlns:r="http://schemas.openxmlformats.org/officeDocument/2006/relationships" ref="G42" r:id="rId203"/>
    <hyperlink xmlns:r="http://schemas.openxmlformats.org/officeDocument/2006/relationships" ref="H42" r:id="rId204"/>
    <hyperlink xmlns:r="http://schemas.openxmlformats.org/officeDocument/2006/relationships" ref="I42" r:id="rId205"/>
    <hyperlink xmlns:r="http://schemas.openxmlformats.org/officeDocument/2006/relationships" ref="E43" r:id="rId206"/>
    <hyperlink xmlns:r="http://schemas.openxmlformats.org/officeDocument/2006/relationships" ref="F43" r:id="rId207"/>
    <hyperlink xmlns:r="http://schemas.openxmlformats.org/officeDocument/2006/relationships" ref="G43" r:id="rId208"/>
    <hyperlink xmlns:r="http://schemas.openxmlformats.org/officeDocument/2006/relationships" ref="H43" r:id="rId209"/>
    <hyperlink xmlns:r="http://schemas.openxmlformats.org/officeDocument/2006/relationships" ref="I43" r:id="rId210"/>
    <hyperlink xmlns:r="http://schemas.openxmlformats.org/officeDocument/2006/relationships" ref="E44" r:id="rId211"/>
    <hyperlink xmlns:r="http://schemas.openxmlformats.org/officeDocument/2006/relationships" ref="F44" r:id="rId212"/>
    <hyperlink xmlns:r="http://schemas.openxmlformats.org/officeDocument/2006/relationships" ref="G44" r:id="rId213"/>
    <hyperlink xmlns:r="http://schemas.openxmlformats.org/officeDocument/2006/relationships" ref="H44" r:id="rId214"/>
    <hyperlink xmlns:r="http://schemas.openxmlformats.org/officeDocument/2006/relationships" ref="I44" r:id="rId215"/>
    <hyperlink xmlns:r="http://schemas.openxmlformats.org/officeDocument/2006/relationships" ref="E45" r:id="rId216"/>
    <hyperlink xmlns:r="http://schemas.openxmlformats.org/officeDocument/2006/relationships" ref="F45" r:id="rId217"/>
    <hyperlink xmlns:r="http://schemas.openxmlformats.org/officeDocument/2006/relationships" ref="G45" r:id="rId218"/>
    <hyperlink xmlns:r="http://schemas.openxmlformats.org/officeDocument/2006/relationships" ref="H45" r:id="rId219"/>
    <hyperlink xmlns:r="http://schemas.openxmlformats.org/officeDocument/2006/relationships" ref="I45" r:id="rId220"/>
    <hyperlink xmlns:r="http://schemas.openxmlformats.org/officeDocument/2006/relationships" ref="E46" r:id="rId221"/>
    <hyperlink xmlns:r="http://schemas.openxmlformats.org/officeDocument/2006/relationships" ref="F46" r:id="rId222"/>
    <hyperlink xmlns:r="http://schemas.openxmlformats.org/officeDocument/2006/relationships" ref="G46" r:id="rId223"/>
    <hyperlink xmlns:r="http://schemas.openxmlformats.org/officeDocument/2006/relationships" ref="H46" r:id="rId224"/>
    <hyperlink xmlns:r="http://schemas.openxmlformats.org/officeDocument/2006/relationships" ref="I46" r:id="rId225"/>
    <hyperlink xmlns:r="http://schemas.openxmlformats.org/officeDocument/2006/relationships" ref="E47" r:id="rId226"/>
    <hyperlink xmlns:r="http://schemas.openxmlformats.org/officeDocument/2006/relationships" ref="F47" r:id="rId227"/>
    <hyperlink xmlns:r="http://schemas.openxmlformats.org/officeDocument/2006/relationships" ref="G47" r:id="rId228"/>
    <hyperlink xmlns:r="http://schemas.openxmlformats.org/officeDocument/2006/relationships" ref="H47" r:id="rId229"/>
    <hyperlink xmlns:r="http://schemas.openxmlformats.org/officeDocument/2006/relationships" ref="I47" r:id="rId230"/>
    <hyperlink xmlns:r="http://schemas.openxmlformats.org/officeDocument/2006/relationships" ref="E48" r:id="rId231"/>
    <hyperlink xmlns:r="http://schemas.openxmlformats.org/officeDocument/2006/relationships" ref="F48" r:id="rId232"/>
    <hyperlink xmlns:r="http://schemas.openxmlformats.org/officeDocument/2006/relationships" ref="G48" r:id="rId233"/>
    <hyperlink xmlns:r="http://schemas.openxmlformats.org/officeDocument/2006/relationships" ref="H48" r:id="rId234"/>
    <hyperlink xmlns:r="http://schemas.openxmlformats.org/officeDocument/2006/relationships" ref="I48" r:id="rId235"/>
    <hyperlink xmlns:r="http://schemas.openxmlformats.org/officeDocument/2006/relationships" ref="E49" r:id="rId236"/>
    <hyperlink xmlns:r="http://schemas.openxmlformats.org/officeDocument/2006/relationships" ref="F49" r:id="rId237"/>
    <hyperlink xmlns:r="http://schemas.openxmlformats.org/officeDocument/2006/relationships" ref="G49" r:id="rId238"/>
    <hyperlink xmlns:r="http://schemas.openxmlformats.org/officeDocument/2006/relationships" ref="H49" r:id="rId239"/>
    <hyperlink xmlns:r="http://schemas.openxmlformats.org/officeDocument/2006/relationships" ref="I49" r:id="rId240"/>
    <hyperlink xmlns:r="http://schemas.openxmlformats.org/officeDocument/2006/relationships" ref="E50" r:id="rId241"/>
    <hyperlink xmlns:r="http://schemas.openxmlformats.org/officeDocument/2006/relationships" ref="F50" r:id="rId242"/>
    <hyperlink xmlns:r="http://schemas.openxmlformats.org/officeDocument/2006/relationships" ref="G50" r:id="rId243"/>
    <hyperlink xmlns:r="http://schemas.openxmlformats.org/officeDocument/2006/relationships" ref="H50" r:id="rId244"/>
    <hyperlink xmlns:r="http://schemas.openxmlformats.org/officeDocument/2006/relationships" ref="I50" r:id="rId245"/>
    <hyperlink xmlns:r="http://schemas.openxmlformats.org/officeDocument/2006/relationships" ref="E51" r:id="rId246"/>
    <hyperlink xmlns:r="http://schemas.openxmlformats.org/officeDocument/2006/relationships" ref="F51" r:id="rId247"/>
    <hyperlink xmlns:r="http://schemas.openxmlformats.org/officeDocument/2006/relationships" ref="G51" r:id="rId248"/>
    <hyperlink xmlns:r="http://schemas.openxmlformats.org/officeDocument/2006/relationships" ref="H51" r:id="rId249"/>
    <hyperlink xmlns:r="http://schemas.openxmlformats.org/officeDocument/2006/relationships" ref="I51" r:id="rId2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45" customWidth="1" min="4" max="4"/>
    <col width="45" customWidth="1" min="5" max="5"/>
    <col width="28" customWidth="1" min="6" max="6"/>
    <col width="55" customWidth="1" min="7" max="7"/>
  </cols>
  <sheetData>
    <row r="1" ht="40" customHeight="1">
      <c r="A1" s="19" t="inlineStr">
        <is>
          <t>Supplier</t>
        </is>
      </c>
      <c r="B1" s="19" t="inlineStr">
        <is>
          <t>Best For</t>
        </is>
      </c>
      <c r="C1" s="19" t="inlineStr">
        <is>
          <t>Typical Price Range</t>
        </is>
      </c>
      <c r="D1" s="19" t="inlineStr">
        <is>
          <t>Pros</t>
        </is>
      </c>
      <c r="E1" s="19" t="inlineStr">
        <is>
          <t>Cons</t>
        </is>
      </c>
      <c r="F1" s="19" t="inlineStr">
        <is>
          <t>Shipping to KSA</t>
        </is>
      </c>
      <c r="G1" s="19" t="inlineStr">
        <is>
          <t>Notes</t>
        </is>
      </c>
    </row>
    <row r="2" ht="120" customHeight="1">
      <c r="A2" s="22" t="inlineStr">
        <is>
          <t>AliExpress</t>
        </is>
      </c>
      <c r="B2" s="22" t="inlineStr">
        <is>
          <t>Smart home, cables, LED, small electronics, mini PCs</t>
        </is>
      </c>
      <c r="C2" s="22" t="inlineStr">
        <is>
          <t>Lowest (40-80% below Saudi retail)</t>
        </is>
      </c>
      <c r="D2" s="22" t="inlineStr">
        <is>
          <t>Cheapest prices · huge catalog · DSers integration · bulk discounts</t>
        </is>
      </c>
      <c r="E2" s="22" t="inlineStr">
        <is>
          <t>Counterfeit risk for branded networking/GPU gear · long shipping (15-45d) · no local returns</t>
        </is>
      </c>
      <c r="F2" s="22" t="inlineStr">
        <is>
          <t>15-45 days via AliExpress Standard (free over $5); Choice shipping 10-20d</t>
        </is>
      </c>
      <c r="G2" s="22" t="inlineStr">
        <is>
          <t>Core dropshipping source. Best for #1 margin. Watch for fake UniFi / fake AirPods.</t>
        </is>
      </c>
    </row>
    <row r="3" ht="120" customHeight="1">
      <c r="A3" s="22" t="inlineStr">
        <is>
          <t>eBay</t>
        </is>
      </c>
      <c r="B3" s="22" t="inlineStr">
        <is>
          <t>Refurbished homelab gear, discontinued hardware, Japanese audio, used GPUs</t>
        </is>
      </c>
      <c r="C3" s="22" t="inlineStr">
        <is>
          <t>Mid (30-50% below Saudi retail)</t>
        </is>
      </c>
      <c r="D3" s="22" t="inlineStr">
        <is>
          <t>Genuine used gear auctions · fast EU/US shipping · buyer protection · niche items not on AliExpress</t>
        </is>
      </c>
      <c r="E3" s="22" t="inlineStr">
        <is>
          <t>Limited bulk quantities · shipping costs to KSA sometimes kill the deal · no API for price sync</t>
        </is>
      </c>
      <c r="F3" s="22" t="inlineStr">
        <is>
          <t>7-21 days via eBay Global Shipping Program; DHL Express option adds $20-40</t>
        </is>
      </c>
      <c r="G3" s="22" t="inlineStr">
        <is>
          <t>Great for homelab (Dell R730, used enterprise switches, refurb Synology NAS). Filter by 'Buy It Now' + 'Free shipping to Saudi Arabia'.</t>
        </is>
      </c>
    </row>
    <row r="4" ht="120" customHeight="1">
      <c r="A4" s="22" t="inlineStr">
        <is>
          <t>Amazon.sa</t>
        </is>
      </c>
      <c r="B4" s="22" t="inlineStr">
        <is>
          <t>Fast-moving consumer tech (chargers, peripherals, SBCs)</t>
        </is>
      </c>
      <c r="C4" s="22" t="inlineStr">
        <is>
          <t>High (within 10% of Noon)</t>
        </is>
      </c>
      <c r="D4" s="22" t="inlineStr">
        <is>
          <t>Prime 1-2 day shipping · warranty via Saudi returns · Arabic UI · Mada/Apple Pay</t>
        </is>
      </c>
      <c r="E4" s="22" t="inlineStr">
        <is>
          <t>Lowest margin (only 5-15% vs Saudi retail) · competitor — they sell direct too</t>
        </is>
      </c>
      <c r="F4" s="22" t="inlineStr">
        <is>
          <t>1-3 days (Prime) / 3-7 days (standard)</t>
        </is>
      </c>
      <c r="G4" s="22" t="inlineStr">
        <is>
          <t>Use as PRICE CEILING reference, not as supplier. Your price must beat Amazon for buyers to pick you.</t>
        </is>
      </c>
    </row>
    <row r="5" ht="120" customHeight="1">
      <c r="A5" s="22" t="inlineStr">
        <is>
          <t>Noon.com/saudi</t>
        </is>
      </c>
      <c r="B5" s="22" t="inlineStr">
        <is>
          <t>Mid-range brands, wearables, everyday tech</t>
        </is>
      </c>
      <c r="C5" s="22" t="inlineStr">
        <is>
          <t>High (Saudi retail benchmark)</t>
        </is>
      </c>
      <c r="D5" s="22" t="inlineStr">
        <is>
          <t>Same-day delivery in Riyadh/Jeddah · Noon Pay · strong customer trust</t>
        </is>
      </c>
      <c r="E5" s="22" t="inlineStr">
        <is>
          <t>Nearly impossible to undercut on price · they aggressively match · marketplace sellers copy listings</t>
        </is>
      </c>
      <c r="F5" s="22" t="inlineStr">
        <is>
          <t>Same-day (major cities) / 1-3 days (rest)</t>
        </is>
      </c>
      <c r="G5" s="22" t="inlineStr">
        <is>
          <t>Use as PRICE CEILING. Your suggested sell price auto-calculates 5% below Noon in Sheet 1.</t>
        </is>
      </c>
    </row>
    <row r="6" ht="120" customHeight="1">
      <c r="A6" s="22" t="inlineStr">
        <is>
          <t>Jarir Bookstore</t>
        </is>
      </c>
      <c r="B6" s="22" t="inlineStr">
        <is>
          <t>Apple products, premium laptops, printers, gaming peripherals</t>
        </is>
      </c>
      <c r="C6" s="22" t="inlineStr">
        <is>
          <t>Highest (premium positioning)</t>
        </is>
      </c>
      <c r="D6" s="22" t="inlineStr">
        <is>
          <t>Warranty + physical stores · installment via Tabby · brand trust · authorized distributor for many brands</t>
        </is>
      </c>
      <c r="E6" s="22" t="inlineStr">
        <is>
          <t>Very high prices · limited online selection for niche homelab/networking</t>
        </is>
      </c>
      <c r="F6" s="22" t="inlineStr">
        <is>
          <t>Same-day (if in-store) / 2-5 days online</t>
        </is>
      </c>
      <c r="G6" s="22" t="inlineStr">
        <is>
          <t>Rarely a real competitor for homelab/dropship niches. Use as aspirational price ceiling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3" t="inlineStr">
        <is>
          <t>NeoGen Store — Supplier Research Workbook v2 (with eBay + estimates + priority)</t>
        </is>
      </c>
    </row>
    <row r="3">
      <c r="A3" s="24" t="inlineStr"/>
    </row>
    <row r="4">
      <c r="A4" s="25" t="inlineStr">
        <is>
          <t>═══════════════════════════════════════════</t>
        </is>
      </c>
    </row>
    <row r="5">
      <c r="A5" s="26" t="inlineStr">
        <is>
          <t>WHAT'S NEW IN THIS VERSION</t>
        </is>
      </c>
    </row>
    <row r="6">
      <c r="A6" s="25" t="inlineStr">
        <is>
          <t>═══════════════════════════════════════════</t>
        </is>
      </c>
    </row>
    <row r="7">
      <c r="A7" s="24" t="inlineStr"/>
    </row>
    <row r="8">
      <c r="A8" s="24" t="inlineStr">
        <is>
          <t>1. ⭐ TOP 50 priority column — the 50 highest-price products are flagged.</t>
        </is>
      </c>
    </row>
    <row r="9">
      <c r="A9" s="24" t="inlineStr">
        <is>
          <t xml:space="preserve">   These generate ~80% of your revenue. Research them first.</t>
        </is>
      </c>
    </row>
    <row r="10">
      <c r="A10" s="24" t="inlineStr"/>
    </row>
    <row r="11">
      <c r="A11" s="24" t="inlineStr">
        <is>
          <t>2. 🔗 eBay added as a 5th supplier source.</t>
        </is>
      </c>
    </row>
    <row r="12">
      <c r="A12" s="24" t="inlineStr">
        <is>
          <t xml:space="preserve">   Especially useful for refurbished homelab gear (Dell, enterprise switches, used NAS).</t>
        </is>
      </c>
    </row>
    <row r="13">
      <c r="A13" s="24" t="inlineStr"/>
    </row>
    <row r="14">
      <c r="A14" s="24" t="inlineStr">
        <is>
          <t>3. Starter ESTIMATES pre-filled in peach cells.</t>
        </is>
      </c>
    </row>
    <row r="15">
      <c r="A15" s="24" t="inlineStr">
        <is>
          <t xml:space="preserve">   I've populated reasoned price estimates per product based on category + typical patterns.</t>
        </is>
      </c>
    </row>
    <row r="16">
      <c r="A16" s="24" t="inlineStr">
        <is>
          <t xml:space="preserve">   These are NOT scraped data. They're my best guess to give you a starting point.</t>
        </is>
      </c>
    </row>
    <row r="17">
      <c r="A17" s="24" t="inlineStr">
        <is>
          <t xml:space="preserve">   Replace with real prices as you research.</t>
        </is>
      </c>
    </row>
    <row r="18">
      <c r="A18" s="24" t="inlineStr"/>
    </row>
    <row r="19">
      <c r="A19" s="25" t="inlineStr">
        <is>
          <t>═══════════════════════════════════════════</t>
        </is>
      </c>
    </row>
    <row r="20">
      <c r="A20" s="26" t="inlineStr">
        <is>
          <t>HOW THE FORMULAS HANDLE ESTIMATES vs REAL PRICES</t>
        </is>
      </c>
    </row>
    <row r="21">
      <c r="A21" s="25" t="inlineStr">
        <is>
          <t>═══════════════════════════════════════════</t>
        </is>
      </c>
    </row>
    <row r="22">
      <c r="A22" s="24" t="inlineStr"/>
    </row>
    <row r="23">
      <c r="A23" s="24" t="inlineStr">
        <is>
          <t>Every cost formula works like this:</t>
        </is>
      </c>
    </row>
    <row r="24">
      <c r="A24" s="24" t="inlineStr"/>
    </row>
    <row r="25">
      <c r="A25" s="24" t="inlineStr">
        <is>
          <t xml:space="preserve">   IF(real_price_filled, use_real, ELSE use_estimate)</t>
        </is>
      </c>
    </row>
    <row r="26">
      <c r="A26" s="24" t="inlineStr"/>
    </row>
    <row r="27">
      <c r="A27" s="24" t="inlineStr">
        <is>
          <t>So from day 1, every row has a complete picture. As you fill in real prices,</t>
        </is>
      </c>
    </row>
    <row r="28">
      <c r="A28" s="24" t="inlineStr">
        <is>
          <t>the calculations get more accurate. No need to do all 210 before the sheet is useful.</t>
        </is>
      </c>
    </row>
    <row r="29">
      <c r="A29" s="24" t="inlineStr"/>
    </row>
    <row r="30">
      <c r="A30" s="25" t="inlineStr">
        <is>
          <t>═══════════════════════════════════════════</t>
        </is>
      </c>
    </row>
    <row r="31">
      <c r="A31" s="26" t="inlineStr">
        <is>
          <t>THE SHEETS</t>
        </is>
      </c>
    </row>
    <row r="32">
      <c r="A32" s="25" t="inlineStr">
        <is>
          <t>═══════════════════════════════════════════</t>
        </is>
      </c>
    </row>
    <row r="33">
      <c r="A33" s="24" t="inlineStr"/>
    </row>
    <row r="34">
      <c r="A34" s="24" t="inlineStr">
        <is>
          <t>Sheet 1 — Research (Top 50 first)</t>
        </is>
      </c>
    </row>
    <row r="35">
      <c r="A35" s="24" t="inlineStr">
        <is>
          <t xml:space="preserve">   Full 210-product research grid. Sorted by current sale price descending.</t>
        </is>
      </c>
    </row>
    <row r="36">
      <c r="A36" s="24" t="inlineStr">
        <is>
          <t xml:space="preserve">   Top 50 rows highlighted in peach with ⭐ marker.</t>
        </is>
      </c>
    </row>
    <row r="37">
      <c r="A37" s="24" t="inlineStr"/>
    </row>
    <row r="38">
      <c r="A38" s="24" t="inlineStr">
        <is>
          <t>Sheet 2 — Top 50 Shortlist</t>
        </is>
      </c>
    </row>
    <row r="39">
      <c r="A39" s="24" t="inlineStr">
        <is>
          <t xml:space="preserve">   Just the 50 products to research first. Quick links + estimated margin.</t>
        </is>
      </c>
    </row>
    <row r="40">
      <c r="A40" s="24" t="inlineStr"/>
    </row>
    <row r="41">
      <c r="A41" s="24" t="inlineStr">
        <is>
          <t>Sheet 3 — Supplier Strategy</t>
        </is>
      </c>
    </row>
    <row r="42">
      <c r="A42" s="24" t="inlineStr">
        <is>
          <t xml:space="preserve">   Cheatsheet on each of the 5 suppliers: what they're good for, price range, shipping, pros/cons.</t>
        </is>
      </c>
    </row>
    <row r="43">
      <c r="A43" s="24" t="inlineStr"/>
    </row>
    <row r="44">
      <c r="A44" s="24" t="inlineStr">
        <is>
          <t>README (this sheet)</t>
        </is>
      </c>
    </row>
    <row r="45">
      <c r="A45" s="24" t="inlineStr"/>
    </row>
    <row r="46">
      <c r="A46" s="25" t="inlineStr">
        <is>
          <t>═══════════════════════════════════════════</t>
        </is>
      </c>
    </row>
    <row r="47">
      <c r="A47" s="26" t="inlineStr">
        <is>
          <t>RECOMMENDED WORKFLOW</t>
        </is>
      </c>
    </row>
    <row r="48">
      <c r="A48" s="25" t="inlineStr">
        <is>
          <t>═══════════════════════════════════════════</t>
        </is>
      </c>
    </row>
    <row r="49">
      <c r="A49" s="24" t="inlineStr"/>
    </row>
    <row r="50">
      <c r="A50" s="26" t="inlineStr">
        <is>
          <t>DAY 1 (30 min):</t>
        </is>
      </c>
    </row>
    <row r="51">
      <c r="A51" s="24" t="inlineStr">
        <is>
          <t xml:space="preserve">   • Open Sheet 2. Review the 50 flagged products.</t>
        </is>
      </c>
    </row>
    <row r="52">
      <c r="A52" s="24" t="inlineStr">
        <is>
          <t xml:space="preserve">   • Delete any that are wrong category or you don't want to stock.</t>
        </is>
      </c>
    </row>
    <row r="53">
      <c r="A53" s="24" t="inlineStr"/>
    </row>
    <row r="54">
      <c r="A54" s="26" t="inlineStr">
        <is>
          <t>DAY 2-3 (2 hours):</t>
        </is>
      </c>
    </row>
    <row r="55">
      <c r="A55" s="24" t="inlineStr">
        <is>
          <t xml:space="preserve">   • Click the 🔗 AliExpress + eBay links for top 20 products.</t>
        </is>
      </c>
    </row>
    <row r="56">
      <c r="A56" s="24" t="inlineStr">
        <is>
          <t xml:space="preserve">   • Paste real prices into Sheet 1 columns Q and R.</t>
        </is>
      </c>
    </row>
    <row r="57">
      <c r="A57" s="24" t="inlineStr">
        <is>
          <t xml:space="preserve">   • Watch recommendations populate.</t>
        </is>
      </c>
    </row>
    <row r="58">
      <c r="A58" s="24" t="inlineStr"/>
    </row>
    <row r="59">
      <c r="A59" s="26" t="inlineStr">
        <is>
          <t>DAY 4 onwards:</t>
        </is>
      </c>
    </row>
    <row r="60">
      <c r="A60" s="24" t="inlineStr">
        <is>
          <t xml:space="preserve">   • When a high-margin product is confirmed, link it in DSers.</t>
        </is>
      </c>
    </row>
    <row r="61">
      <c r="A61" s="24" t="inlineStr">
        <is>
          <t xml:space="preserve">   • Repeat the research cycle quarterly.</t>
        </is>
      </c>
    </row>
    <row r="62">
      <c r="A62" s="24" t="inlineStr"/>
    </row>
    <row r="63">
      <c r="A63" s="25" t="inlineStr">
        <is>
          <t>═══════════════════════════════════════════</t>
        </is>
      </c>
    </row>
    <row r="64">
      <c r="A64" s="26" t="inlineStr">
        <is>
          <t>HONEST DISCLAIMERS</t>
        </is>
      </c>
    </row>
    <row r="65">
      <c r="A65" s="25" t="inlineStr">
        <is>
          <t>═══════════════════════════════════════════</t>
        </is>
      </c>
    </row>
    <row r="66">
      <c r="A66" s="24" t="inlineStr"/>
    </row>
    <row r="67">
      <c r="A67" s="24" t="inlineStr">
        <is>
          <t>• Estimates are modeled, not scraped. They may be off by ±25%.</t>
        </is>
      </c>
    </row>
    <row r="68">
      <c r="A68" s="24" t="inlineStr">
        <is>
          <t>• I cannot browse AliExpress/eBay/Amazon in bulk — anti-bot protection.</t>
        </is>
      </c>
    </row>
    <row r="69">
      <c r="A69" s="24" t="inlineStr">
        <is>
          <t>• Real prices change daily. Re-verify every quarter for top-20 products.</t>
        </is>
      </c>
    </row>
    <row r="70">
      <c r="A70" s="24" t="inlineStr">
        <is>
          <t>• Category-based estimates fail for special cases (e.g., limited-edition GPUs).</t>
        </is>
      </c>
    </row>
    <row r="71">
      <c r="A71" s="24" t="inlineStr"/>
    </row>
    <row r="72">
      <c r="A72" s="24" t="inlineStr">
        <is>
          <t>Catalog size: 210 products</t>
        </is>
      </c>
    </row>
    <row r="73">
      <c r="A73" s="24" t="inlineStr">
        <is>
          <t>Snapshot: 2026-04-21, data pulled from neogen.store live API</t>
        </is>
      </c>
    </row>
    <row r="74">
      <c r="A74" s="24" t="inlineStr">
        <is>
          <t>USD→SAR rate used: 3.75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2026-04-21T05:58:30Z</dcterms:created>
  <dcterms:modified xsi:type="dcterms:W3CDTF">2026-04-21T05:58:30Z</dcterms:modified>
</cp:coreProperties>
</file>