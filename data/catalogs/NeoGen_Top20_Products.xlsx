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Catalog" sheetId="1" r:id="rId1"/>
    <sheet name="SEO Keywords" sheetId="2" r:id="rId2"/>
    <sheet name="Upsell Strategy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<sst xmlns="http://schemas.openxmlformats.org/spreadsheetml/2006/main" count="298" uniqueCount="211">
  <si>
    <t>#</t>
  </si>
  <si>
    <t>Product Name (EN)</t>
  </si>
  <si>
    <t>اسم المنتج (AR)</t>
  </si>
  <si>
    <t>Category</t>
  </si>
  <si>
    <t>سعر الشراء (SAR)</t>
  </si>
  <si>
    <t>سعر البيع (SAR)</t>
  </si>
  <si>
    <t>هامش الربح (SAR)</t>
  </si>
  <si>
    <t>هامش الربح %</t>
  </si>
  <si>
    <t>المنافس الأقل</t>
  </si>
  <si>
    <t>مصدر التوريد</t>
  </si>
  <si>
    <t>حالة التوفر</t>
  </si>
  <si>
    <t>Dell PowerEdge R730 (Refurbished)</t>
  </si>
  <si>
    <t>سيرفر ديل R730 مجدد</t>
  </si>
  <si>
    <t>Enterprise</t>
  </si>
  <si>
    <t>ServerBasket 4599</t>
  </si>
  <si>
    <t>AliExpress/ServerBasket</t>
  </si>
  <si>
    <t>Pre-order</t>
  </si>
  <si>
    <t>Asustor Lockerstor 4 AS6604T</t>
  </si>
  <si>
    <t>جهاز ناس أسوستور 4 منافذ</t>
  </si>
  <si>
    <t>Amazon.sa 2150</t>
  </si>
  <si>
    <t>AliExpress/Asustor</t>
  </si>
  <si>
    <t>Ubiquiti UDM Pro</t>
  </si>
  <si>
    <t>بوابة يوبيكويتي الاحترافية</t>
  </si>
  <si>
    <t>Electroon 2295</t>
  </si>
  <si>
    <t>UI.com/Distributor</t>
  </si>
  <si>
    <t>UniFi 6 Long-Range AP (U6-LR)</t>
  </si>
  <si>
    <t>نقطة وصول واي فاي 6 طويلة المدى</t>
  </si>
  <si>
    <t>Amazon.sa 1135</t>
  </si>
  <si>
    <t>Asustor Flashstor 6 FS6706T</t>
  </si>
  <si>
    <t>ناس فلاشي 6 منافذ</t>
  </si>
  <si>
    <t>Amazon.sa 2207</t>
  </si>
  <si>
    <t>Aqara Smart Door Lock A100</t>
  </si>
  <si>
    <t>قفل باب ذكي أكارا A100</t>
  </si>
  <si>
    <t>Smart Home</t>
  </si>
  <si>
    <t>Noon 1117</t>
  </si>
  <si>
    <t>AliExpress/Aqara</t>
  </si>
  <si>
    <t>In Stock</t>
  </si>
  <si>
    <t>UniFi Protect G4 Pro Camera</t>
  </si>
  <si>
    <t>كاميرا يوبيكويتي G4 برو 4K</t>
  </si>
  <si>
    <t>Amazon.sa 1800</t>
  </si>
  <si>
    <t>Broadlink RM4 Pro IR Hub</t>
  </si>
  <si>
    <t>جهاز تحكم ذكي بالأشعة تحت الحمراء</t>
  </si>
  <si>
    <t>Noon 149</t>
  </si>
  <si>
    <t>AliExpress</t>
  </si>
  <si>
    <t>Aqara Water Leak Sensor</t>
  </si>
  <si>
    <t>حساس تسريب مياه ذكي</t>
  </si>
  <si>
    <t>Noon 95</t>
  </si>
  <si>
    <t>Sonoff TX Ultimate T5 Switch</t>
  </si>
  <si>
    <t>مفتاح إضاءة ذكي باللمس</t>
  </si>
  <si>
    <t>Amazon.sa 140</t>
  </si>
  <si>
    <t>AliExpress/Sonoff</t>
  </si>
  <si>
    <t>Raspberry Pi 5 8GB</t>
  </si>
  <si>
    <t>راسبيري باي 5 - 8 جيجا</t>
  </si>
  <si>
    <t>Enthusiasts</t>
  </si>
  <si>
    <t>Amazon.sa 545</t>
  </si>
  <si>
    <t>Official Distributor</t>
  </si>
  <si>
    <t>Raspberry Pi 5 Ultimate Kit</t>
  </si>
  <si>
    <t>باقة راسبري باي 5 الشاملة</t>
  </si>
  <si>
    <t>Amazon.sa 780</t>
  </si>
  <si>
    <t>Bundle Assembly</t>
  </si>
  <si>
    <t>Keychron Q1 Mechanical Keyboard</t>
  </si>
  <si>
    <t>كيبورد ميكانيكي كيكرون Q1</t>
  </si>
  <si>
    <t>Amazon.sa 899</t>
  </si>
  <si>
    <t>AliExpress/Keychron</t>
  </si>
  <si>
    <t>Meta Quest 3 128GB</t>
  </si>
  <si>
    <t>نظارة واقع افتراضي ميتا كويست 3</t>
  </si>
  <si>
    <t>Jarir 2799</t>
  </si>
  <si>
    <t>Amazon.ae</t>
  </si>
  <si>
    <t>Elgato Stream Deck MK.2</t>
  </si>
  <si>
    <t>جهاز ستريم ديك للمحترفين</t>
  </si>
  <si>
    <t>Amazon.sa 759</t>
  </si>
  <si>
    <t>Baseus Blade 100W Power Bank</t>
  </si>
  <si>
    <t>باور بانك 100 وات بيسوس</t>
  </si>
  <si>
    <t>Accessories</t>
  </si>
  <si>
    <t>Noon 245</t>
  </si>
  <si>
    <t>Anker 735 GaN 65W Charger</t>
  </si>
  <si>
    <t>شاحن انكر 65 وات GaN</t>
  </si>
  <si>
    <t>Amazon.sa 198</t>
  </si>
  <si>
    <t>Mark Ryden Anti-theft Backpack</t>
  </si>
  <si>
    <t>شنطة لابتوب ضد السرقة</t>
  </si>
  <si>
    <t>Noon 189</t>
  </si>
  <si>
    <t>Seagate IronWolf 18TB NAS HDD</t>
  </si>
  <si>
    <t>هاردسك سيرفرات 18 تيرا</t>
  </si>
  <si>
    <t>Noon 1650</t>
  </si>
  <si>
    <t>Flipper Zero</t>
  </si>
  <si>
    <t>جهاز فليبر زيرو</t>
  </si>
  <si>
    <t>Desertcart 950</t>
  </si>
  <si>
    <t>Official/Intl</t>
  </si>
  <si>
    <t>TOTAL</t>
  </si>
  <si>
    <t>Product</t>
  </si>
  <si>
    <t>Arabic Keywords (5 per product)</t>
  </si>
  <si>
    <t>English Keywords (5 per product)</t>
  </si>
  <si>
    <t>Search Volume Estimate</t>
  </si>
  <si>
    <t>Dell PowerEdge R730</t>
  </si>
  <si>
    <t>سيرفر ديل مجدد السعودية, سيرفرات ديل مستعملة الرياض, خادم ديل باور ادج R730, سيرفرات للبيع في جدة, قطع غيار سيرفرات ديل</t>
  </si>
  <si>
    <t>Refurbished Server Saudi Arabia, Dell PowerEdge R730 KSA price, Home Lab Server Saudi, Enterprise Server GCC, Cheap rack server Saudi</t>
  </si>
  <si>
    <t>High</t>
  </si>
  <si>
    <t>Asustor AS6604T</t>
  </si>
  <si>
    <t>جهاز ناس للتخزين, سحابة خاصة, تخزين شبكي ذكي, نسخ احتياطي للشركات, سيرفر منزلي</t>
  </si>
  <si>
    <t>NAS Saudi Arabia, Asustor Lockerstor 4 Price SAR, Best Home Media Server KSA, Network Attached Storage Saudi, Private Cloud Storage GCC</t>
  </si>
  <si>
    <t>Medium-High</t>
  </si>
  <si>
    <t>UDM Pro</t>
  </si>
  <si>
    <t>راوتر يوبيكويتي السعودية, جدار ناري للشركات الصغيرة, أفضل راوتر للألياف البصرية, يوبيكويتي دريم ماشين برو, تركيب شبكات واي فاي للمنازل</t>
  </si>
  <si>
    <t>Ubiquiti Saudi Arabia, UniFi Dream Machine Pro price KSA, 10G Router for STC Fiber, Ubiquiti enterprise gateway Saudi, Home networking solutions GCC</t>
  </si>
  <si>
    <t>UniFi U6-LR</t>
  </si>
  <si>
    <t>نقطة وصول واي فاي 6, مقوي واي فاي للفلل, أكسس بوينت يوبيكويتي, حلول شبكات منزلية متطورة, سعر UniFi U6-LR السعودية</t>
  </si>
  <si>
    <t>UniFi 6 LR Saudi Arabia, U6-LR Access Point price KSA, WiFi 6 Long Range Access Point, Enterprise WiFi for Villas, Ubiquiti Networking Saudi</t>
  </si>
  <si>
    <t>Asustor FS6706T</t>
  </si>
  <si>
    <t>ناس فلاشي, تخزين SSD شبكي, سيرفر منزلي صامت, جهاز تخزين Asustor, ناس بدون ضجيج</t>
  </si>
  <si>
    <t>Asustor Flashstor Saudi, all SSD NAS, silent home server, NVMe NAS storage, Flashstor 6 price KSA</t>
  </si>
  <si>
    <t>Medium</t>
  </si>
  <si>
    <t>Aqara A100</t>
  </si>
  <si>
    <t>قفل باب ذكي, قفل بصمة, أقفال ذكية السعودية, أكارا A100, قفل باب بدون مفتاح</t>
  </si>
  <si>
    <t>Smart Door Lock Saudi, Fingerprint Lock KSA, Aqara A100 Riyadh, Apple HomeKey Lock, Keyless Entry Saudi</t>
  </si>
  <si>
    <t>Very High</t>
  </si>
  <si>
    <t>UniFi G4 Pro</t>
  </si>
  <si>
    <t>كاميرا مراقبة 4K, كاميرا يوبيكويتي, كاميرات أمان للفلل, كاميرا خارجية مقاومة, نظام مراقبة ذكي</t>
  </si>
  <si>
    <t>4K Security Camera Saudi, UniFi G4 Pro KSA, Ubiquiti Camera Price, Villa Security System, IP Camera Riyadh</t>
  </si>
  <si>
    <t>Broadlink RM4 Pro</t>
  </si>
  <si>
    <t>تحكم ذكي بالمكيف, ريموت واي فاي, برودلينك RM4 برو, أتمتة التكييف, ريموت شامل ذكي</t>
  </si>
  <si>
    <t>Smart AC Control Saudi, Universal Remote Hub, Broadlink RM4 Pro KSA, WiFi IR Blaster, Smart Home Starter</t>
  </si>
  <si>
    <t>مستشعر تسريب المياه, كاشف الغرق, أجهزة ذكية للمطبخ, حماية المنزل من المياه, حساس مياه ذكي</t>
  </si>
  <si>
    <t>Water Leak Detector Saudi, Smart Flood Sensor KSA, Aqara Leak Sensor, Home Water Protection, Leak Alert Device</t>
  </si>
  <si>
    <t>Sonoff T5 Switch</t>
  </si>
  <si>
    <t>مفتاح كهرباء ذكي, مفتاح باللمس, سونوف T5, إنارة ذكية السعودية, مفتاح واي فاي</t>
  </si>
  <si>
    <t>Smart Light Switch Saudi, Sonoff T5 KSA, Touch Wall Switch, Alexa Light Switch, Smart Switch 220V</t>
  </si>
  <si>
    <t>راسبيري باي 5, سعر راسبري باي السعودية, كمبيوتر صغير للمشاريع, راسبري باي 8 جيجا, بورد تطوير</t>
  </si>
  <si>
    <t>Raspberry Pi 5 8GB KSA, Pi 5 price Saudi, Single board computer Riyadh, Raspberry Pi Projects, Pi 5 buy Saudi</t>
  </si>
  <si>
    <t>Raspberry Pi 5 Kit</t>
  </si>
  <si>
    <t>بكج راسبري باي 5, كيت راسبري باي كامل, ملحقات راسبري باي, باقة راسبري باي جاهزة, طقم راسبري باي</t>
  </si>
  <si>
    <t>Raspberry Pi 5 Starter Kit KSA, Pi 5 bundle Riyadh, Raspberry Pi accessories Saudi, Pi 5 complete kit, Pi beginner bundle</t>
  </si>
  <si>
    <t>Keychron Q1</t>
  </si>
  <si>
    <t>كيبورد ميكانيكي, كيكرون Q1 السعودية, كيبورد قيمنق احترافي, كيبورد هوت سواب, لوحة مفاتيح ميكانيكية</t>
  </si>
  <si>
    <t>Custom mechanical keyboard KSA, Keychron Q1 Saudi, Hot-swappable keyboard, Gaming keyboard Riyadh, Premium keyboard</t>
  </si>
  <si>
    <t>Meta Quest 3</t>
  </si>
  <si>
    <t>ميتا كويست 3, نظارة واقع افتراضي, سعر ميتا كويست السعودية, نظارة VR, ألعاب واقع افتراضي</t>
  </si>
  <si>
    <t>Meta Quest 3 KSA price, VR headset Saudi Arabia, Quest 3 Riyadh, Mixed Reality headset, VR Gaming Saudi</t>
  </si>
  <si>
    <t>Extremely High</t>
  </si>
  <si>
    <t>Stream Deck MK.2</t>
  </si>
  <si>
    <t>ستريم ديك, جهاز تحكم البث, الجاتو ستريم ديك, أداة البث المباشر, ستريم ديك السعودية</t>
  </si>
  <si>
    <t>Elgato Stream Deck MK.2 KSA, Stream Deck price Riyadh, Streaming gear Saudi, Content creator tools, Macro pad</t>
  </si>
  <si>
    <t>Baseus Blade 100W</t>
  </si>
  <si>
    <t>بنك طاقة 100 واط, شاحن متنقل للابتوب, بيسوس بليد, بطارية متنقلة قوية, باور بانك لابتوب</t>
  </si>
  <si>
    <t>100W Power Bank Saudi, Laptop Portable Charger, Baseus Blade KSA, PD Power Bank MacBook, Fast charge power bank</t>
  </si>
  <si>
    <t>Anker 735 GaN</t>
  </si>
  <si>
    <t>شاحن انكر 65 واط, شاحن غان ثلاثي, شاحن سريع انكر, شاحن لابتوب صغير, شاحن متعدد المنافذ</t>
  </si>
  <si>
    <t>Anker 65W GaN Saudi, 3-port fast charger, Anker 735 KSA price, GaN charger iPhone, Compact laptop charger</t>
  </si>
  <si>
    <t>Mark Ryden Backpack</t>
  </si>
  <si>
    <t>شنطة لابتوب ضد السرقة, حقيبة ظهر مارك رايدن, شنطة ظهر مقاومة للماء, حقيبة لابتوب 15.6, شنطة USB</t>
  </si>
  <si>
    <t>Anti-theft backpack KSA, Mark Ryden Saudi, Waterproof laptop bag, TSA lock backpack, Travel backpack USB</t>
  </si>
  <si>
    <t>IronWolf 18TB</t>
  </si>
  <si>
    <t>هاردسك ناس 18 تيرا, سيجيت ايرون ولف, تخزين سحابي منزلي, هاردسك سيرفرات, قرص صلب NAS</t>
  </si>
  <si>
    <t>Seagate IronWolf 18TB KSA, NAS HDD Saudi, 18TB Hard Drive Riyadh, NAS storage drive, IronWolf Pro price</t>
  </si>
  <si>
    <t>فليبر زيرو السعودية, جهاز فليبر, أداة اختبار أمان, فليبر زيرو سعر, جهاز بينتست</t>
  </si>
  <si>
    <t>Flipper Zero Saudi Arabia, Pentesting tool KSA, Flipper Zero price, Hacking tool Saudi, Security testing device</t>
  </si>
  <si>
    <t>المنتج الأساسي</t>
  </si>
  <si>
    <t>منتج مكمل 1</t>
  </si>
  <si>
    <t>منتج مكمل 2</t>
  </si>
  <si>
    <t>زيادة متوقعة في قيمة السلة</t>
  </si>
  <si>
    <t>Dell R730</t>
  </si>
  <si>
    <t>Seagate IronWolf 18TB</t>
  </si>
  <si>
    <t>KVM Console</t>
  </si>
  <si>
    <t>AS6604T</t>
  </si>
  <si>
    <t>UPS 1500VA</t>
  </si>
  <si>
    <t>U6-LR AP</t>
  </si>
  <si>
    <t>G4 Pro Camera</t>
  </si>
  <si>
    <t>U6-LR</t>
  </si>
  <si>
    <t>PoE Switch</t>
  </si>
  <si>
    <t>CAT7 Cables</t>
  </si>
  <si>
    <t>FS6706T</t>
  </si>
  <si>
    <t>NVMe SSD 2TB</t>
  </si>
  <si>
    <t>USB-C Hub</t>
  </si>
  <si>
    <t>Aqara Lock</t>
  </si>
  <si>
    <t>Water Leak Sensor</t>
  </si>
  <si>
    <t>Motion Sensor</t>
  </si>
  <si>
    <t>RM4 Pro</t>
  </si>
  <si>
    <t>Smart Switch T5</t>
  </si>
  <si>
    <t>Leak Sensor</t>
  </si>
  <si>
    <t>Smart Valve Controller</t>
  </si>
  <si>
    <t>LED Strip</t>
  </si>
  <si>
    <t>Pi 5</t>
  </si>
  <si>
    <t>Pi 5 Ultimate Kit</t>
  </si>
  <si>
    <t>Portable Monitor</t>
  </si>
  <si>
    <t>Pi 5 Kit</t>
  </si>
  <si>
    <t>Monitor Arm</t>
  </si>
  <si>
    <t>Desk Mat</t>
  </si>
  <si>
    <t>Wrist Rest</t>
  </si>
  <si>
    <t>Elite Strap</t>
  </si>
  <si>
    <t>Travel Case</t>
  </si>
  <si>
    <t>Stream Deck</t>
  </si>
  <si>
    <t>4K Webcam</t>
  </si>
  <si>
    <t>USB Mic</t>
  </si>
  <si>
    <t>Power Bank</t>
  </si>
  <si>
    <t>GaN Charger</t>
  </si>
  <si>
    <t>Braided Cable</t>
  </si>
  <si>
    <t>Travel Adapter</t>
  </si>
  <si>
    <t>Backpack</t>
  </si>
  <si>
    <t>Webcam Cover</t>
  </si>
  <si>
    <t>AS6604T NAS</t>
  </si>
  <si>
    <t>UPS</t>
  </si>
  <si>
    <t>Precision Tool Kit</t>
  </si>
  <si>
    <t>NEOGEN PRODUCT DASHBOARD</t>
  </si>
  <si>
    <t>Total Products</t>
  </si>
  <si>
    <t>Average Margin %</t>
  </si>
  <si>
    <t>Total Potential Revenue</t>
  </si>
  <si>
    <t>Total Potential Profit</t>
  </si>
  <si>
    <t>Count</t>
  </si>
  <si>
    <t>Top 5 Highest Margin Products</t>
  </si>
  <si>
    <t>Margin %</t>
  </si>
  <si>
    <t>Baseus Blade Power Bank</t>
  </si>
  <si>
    <t>Raspberry Pi 5</t>
  </si>
</sst>
</file>

<file path=xl/styles.xml><?xml version="1.0" encoding="utf-8"?>
<styleSheet xmlns="http://schemas.openxmlformats.org/spreadsheetml/2006/main">
  <numFmts count="2">
    <numFmt numFmtId="164" formatCode="#,##0 &quot;SAR&quot;"/>
    <numFmt numFmtId="165" formatCode="0.0%"/>
  </numFmts>
  <fonts count="8">
    <font>
      <sz val="11"/>
      <color theme="1"/>
      <name val="Calibri"/>
      <family val="2"/>
      <scheme val="minor"/>
    </font>
    <font>
      <b/>
      <sz val="11"/>
      <color rgb="FFFFFFFF"/>
      <name val="Tajawal"/>
      <family val="2"/>
    </font>
    <font>
      <sz val="11"/>
      <color theme="1"/>
      <name val="Tajawal"/>
      <family val="2"/>
    </font>
    <font>
      <b/>
      <sz val="11"/>
      <color theme="1"/>
      <name val="Tajawal"/>
      <family val="2"/>
    </font>
    <font>
      <b/>
      <sz val="11"/>
      <color theme="1"/>
      <name val="Calibri"/>
      <family val="2"/>
      <scheme val="minor"/>
    </font>
    <font>
      <b/>
      <sz val="20"/>
      <color rgb="FF00D2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0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Potential Revenue Uplift per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Upsell Strategy!$D$1</c:f>
              <c:strCache>
                <c:ptCount val="1"/>
                <c:pt idx="0">
                  <c:v>زيادة متوقعة في قيمة السلة</c:v>
                </c:pt>
              </c:strCache>
            </c:strRef>
          </c:tx>
          <c:spPr>
            <a:solidFill>
              <a:srgbClr val="00D2FF"/>
            </a:solidFill>
          </c:spPr>
          <c:cat>
            <c:strRef>
              <c:f>Upsell Strategy!$A$2:$A$21</c:f>
              <c:strCache>
                <c:ptCount val="20"/>
                <c:pt idx="0">
                  <c:v>Dell R730</c:v>
                </c:pt>
                <c:pt idx="1">
                  <c:v>AS6604T</c:v>
                </c:pt>
                <c:pt idx="2">
                  <c:v>UDM Pro</c:v>
                </c:pt>
                <c:pt idx="3">
                  <c:v>U6-LR</c:v>
                </c:pt>
                <c:pt idx="4">
                  <c:v>FS6706T</c:v>
                </c:pt>
                <c:pt idx="5">
                  <c:v>Aqara Lock</c:v>
                </c:pt>
                <c:pt idx="6">
                  <c:v>G4 Pro Camera</c:v>
                </c:pt>
                <c:pt idx="7">
                  <c:v>RM4 Pro</c:v>
                </c:pt>
                <c:pt idx="8">
                  <c:v>Water Leak Sensor</c:v>
                </c:pt>
                <c:pt idx="9">
                  <c:v>Sonoff T5 Switch</c:v>
                </c:pt>
                <c:pt idx="10">
                  <c:v>Pi 5</c:v>
                </c:pt>
                <c:pt idx="11">
                  <c:v>Pi 5 Kit</c:v>
                </c:pt>
                <c:pt idx="12">
                  <c:v>Keychron Q1</c:v>
                </c:pt>
                <c:pt idx="13">
                  <c:v>Meta Quest 3</c:v>
                </c:pt>
                <c:pt idx="14">
                  <c:v>Stream Deck</c:v>
                </c:pt>
                <c:pt idx="15">
                  <c:v>Power Bank</c:v>
                </c:pt>
                <c:pt idx="16">
                  <c:v>GaN Charger</c:v>
                </c:pt>
                <c:pt idx="17">
                  <c:v>Backpack</c:v>
                </c:pt>
                <c:pt idx="18">
                  <c:v>IronWolf 18TB</c:v>
                </c:pt>
                <c:pt idx="19">
                  <c:v>Flipper Zero</c:v>
                </c:pt>
              </c:strCache>
            </c:strRef>
          </c:cat>
          <c:val>
            <c:numRef>
              <c:f>Upsell Strategy!$D$2:$D$21</c:f>
              <c:numCache>
                <c:formatCode>General</c:formatCode>
                <c:ptCount val="20"/>
                <c:pt idx="0">
                  <c:v>2500</c:v>
                </c:pt>
                <c:pt idx="1">
                  <c:v>2200</c:v>
                </c:pt>
                <c:pt idx="2">
                  <c:v>3000</c:v>
                </c:pt>
                <c:pt idx="3">
                  <c:v>800</c:v>
                </c:pt>
                <c:pt idx="4">
                  <c:v>600</c:v>
                </c:pt>
                <c:pt idx="5">
                  <c:v>250</c:v>
                </c:pt>
                <c:pt idx="6">
                  <c:v>3950</c:v>
                </c:pt>
                <c:pt idx="7">
                  <c:v>240</c:v>
                </c:pt>
                <c:pt idx="8">
                  <c:v>350</c:v>
                </c:pt>
                <c:pt idx="9">
                  <c:v>300</c:v>
                </c:pt>
                <c:pt idx="10">
                  <c:v>900</c:v>
                </c:pt>
                <c:pt idx="11">
                  <c:v>1100</c:v>
                </c:pt>
                <c:pt idx="12">
                  <c:v>200</c:v>
                </c:pt>
                <c:pt idx="13">
                  <c:v>400</c:v>
                </c:pt>
                <c:pt idx="14">
                  <c:v>700</c:v>
                </c:pt>
                <c:pt idx="15">
                  <c:v>250</c:v>
                </c:pt>
                <c:pt idx="16">
                  <c:v>350</c:v>
                </c:pt>
                <c:pt idx="17">
                  <c:v>280</c:v>
                </c:pt>
                <c:pt idx="18">
                  <c:v>2700</c:v>
                </c:pt>
                <c:pt idx="19">
                  <c:v>700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Uplift (SAR)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5.7109375" customWidth="1"/>
    <col min="2" max="3" width="30.7109375" customWidth="1"/>
    <col min="4" max="8" width="15.7109375" customWidth="1"/>
    <col min="9" max="11" width="2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3" t="s">
        <v>12</v>
      </c>
      <c r="D2" s="2" t="s">
        <v>13</v>
      </c>
      <c r="E2" s="4">
        <v>3500</v>
      </c>
      <c r="F2" s="4">
        <v>5999</v>
      </c>
      <c r="G2" s="4">
        <f>F2-E2</f>
        <v>0</v>
      </c>
      <c r="H2" s="5">
        <f>G2/F2</f>
        <v>0</v>
      </c>
      <c r="I2" s="2" t="s">
        <v>14</v>
      </c>
      <c r="J2" s="2" t="s">
        <v>15</v>
      </c>
      <c r="K2" s="2" t="s">
        <v>16</v>
      </c>
    </row>
    <row r="3" spans="1:11">
      <c r="A3" s="2">
        <v>2</v>
      </c>
      <c r="B3" s="2" t="s">
        <v>17</v>
      </c>
      <c r="C3" s="3" t="s">
        <v>18</v>
      </c>
      <c r="D3" s="2" t="s">
        <v>13</v>
      </c>
      <c r="E3" s="4">
        <v>1500</v>
      </c>
      <c r="F3" s="4">
        <v>2199</v>
      </c>
      <c r="G3" s="4">
        <f>F3-E3</f>
        <v>0</v>
      </c>
      <c r="H3" s="5">
        <f>G3/F3</f>
        <v>0</v>
      </c>
      <c r="I3" s="2" t="s">
        <v>19</v>
      </c>
      <c r="J3" s="2" t="s">
        <v>20</v>
      </c>
      <c r="K3" s="2" t="s">
        <v>16</v>
      </c>
    </row>
    <row r="4" spans="1:11">
      <c r="A4" s="2">
        <v>3</v>
      </c>
      <c r="B4" s="2" t="s">
        <v>21</v>
      </c>
      <c r="C4" s="3" t="s">
        <v>22</v>
      </c>
      <c r="D4" s="2" t="s">
        <v>13</v>
      </c>
      <c r="E4" s="4">
        <v>1400</v>
      </c>
      <c r="F4" s="4">
        <v>2199</v>
      </c>
      <c r="G4" s="4">
        <f>F4-E4</f>
        <v>0</v>
      </c>
      <c r="H4" s="5">
        <f>G4/F4</f>
        <v>0</v>
      </c>
      <c r="I4" s="2" t="s">
        <v>23</v>
      </c>
      <c r="J4" s="2" t="s">
        <v>24</v>
      </c>
      <c r="K4" s="2" t="s">
        <v>16</v>
      </c>
    </row>
    <row r="5" spans="1:11">
      <c r="A5" s="2">
        <v>4</v>
      </c>
      <c r="B5" s="2" t="s">
        <v>25</v>
      </c>
      <c r="C5" s="3" t="s">
        <v>26</v>
      </c>
      <c r="D5" s="2" t="s">
        <v>13</v>
      </c>
      <c r="E5" s="4">
        <v>700</v>
      </c>
      <c r="F5" s="4">
        <v>1099</v>
      </c>
      <c r="G5" s="4">
        <f>F5-E5</f>
        <v>0</v>
      </c>
      <c r="H5" s="5">
        <f>G5/F5</f>
        <v>0</v>
      </c>
      <c r="I5" s="2" t="s">
        <v>27</v>
      </c>
      <c r="J5" s="2" t="s">
        <v>24</v>
      </c>
      <c r="K5" s="2" t="s">
        <v>16</v>
      </c>
    </row>
    <row r="6" spans="1:11">
      <c r="A6" s="2">
        <v>5</v>
      </c>
      <c r="B6" s="2" t="s">
        <v>28</v>
      </c>
      <c r="C6" s="3" t="s">
        <v>29</v>
      </c>
      <c r="D6" s="2" t="s">
        <v>13</v>
      </c>
      <c r="E6" s="4">
        <v>1400</v>
      </c>
      <c r="F6" s="4">
        <v>2199</v>
      </c>
      <c r="G6" s="4">
        <f>F6-E6</f>
        <v>0</v>
      </c>
      <c r="H6" s="5">
        <f>G6/F6</f>
        <v>0</v>
      </c>
      <c r="I6" s="2" t="s">
        <v>30</v>
      </c>
      <c r="J6" s="2" t="s">
        <v>20</v>
      </c>
      <c r="K6" s="2" t="s">
        <v>16</v>
      </c>
    </row>
    <row r="7" spans="1:11">
      <c r="A7" s="2">
        <v>6</v>
      </c>
      <c r="B7" s="2" t="s">
        <v>31</v>
      </c>
      <c r="C7" s="3" t="s">
        <v>32</v>
      </c>
      <c r="D7" s="2" t="s">
        <v>33</v>
      </c>
      <c r="E7" s="4">
        <v>700</v>
      </c>
      <c r="F7" s="4">
        <v>1099</v>
      </c>
      <c r="G7" s="4">
        <f>F7-E7</f>
        <v>0</v>
      </c>
      <c r="H7" s="5">
        <f>G7/F7</f>
        <v>0</v>
      </c>
      <c r="I7" s="2" t="s">
        <v>34</v>
      </c>
      <c r="J7" s="2" t="s">
        <v>35</v>
      </c>
      <c r="K7" s="2" t="s">
        <v>36</v>
      </c>
    </row>
    <row r="8" spans="1:11">
      <c r="A8" s="2">
        <v>7</v>
      </c>
      <c r="B8" s="2" t="s">
        <v>37</v>
      </c>
      <c r="C8" s="3" t="s">
        <v>38</v>
      </c>
      <c r="D8" s="2" t="s">
        <v>33</v>
      </c>
      <c r="E8" s="4">
        <v>1200</v>
      </c>
      <c r="F8" s="4">
        <v>1899</v>
      </c>
      <c r="G8" s="4">
        <f>F8-E8</f>
        <v>0</v>
      </c>
      <c r="H8" s="5">
        <f>G8/F8</f>
        <v>0</v>
      </c>
      <c r="I8" s="2" t="s">
        <v>39</v>
      </c>
      <c r="J8" s="2" t="s">
        <v>24</v>
      </c>
      <c r="K8" s="2" t="s">
        <v>16</v>
      </c>
    </row>
    <row r="9" spans="1:11">
      <c r="A9" s="2">
        <v>8</v>
      </c>
      <c r="B9" s="2" t="s">
        <v>40</v>
      </c>
      <c r="C9" s="3" t="s">
        <v>41</v>
      </c>
      <c r="D9" s="2" t="s">
        <v>33</v>
      </c>
      <c r="E9" s="4">
        <v>80</v>
      </c>
      <c r="F9" s="4">
        <v>185</v>
      </c>
      <c r="G9" s="4">
        <f>F9-E9</f>
        <v>0</v>
      </c>
      <c r="H9" s="5">
        <f>G9/F9</f>
        <v>0</v>
      </c>
      <c r="I9" s="2" t="s">
        <v>42</v>
      </c>
      <c r="J9" s="2" t="s">
        <v>43</v>
      </c>
      <c r="K9" s="2" t="s">
        <v>36</v>
      </c>
    </row>
    <row r="10" spans="1:11">
      <c r="A10" s="2">
        <v>9</v>
      </c>
      <c r="B10" s="2" t="s">
        <v>44</v>
      </c>
      <c r="C10" s="3" t="s">
        <v>45</v>
      </c>
      <c r="D10" s="2" t="s">
        <v>33</v>
      </c>
      <c r="E10" s="4">
        <v>40</v>
      </c>
      <c r="F10" s="4">
        <v>99</v>
      </c>
      <c r="G10" s="4">
        <f>F10-E10</f>
        <v>0</v>
      </c>
      <c r="H10" s="5">
        <f>G10/F10</f>
        <v>0</v>
      </c>
      <c r="I10" s="2" t="s">
        <v>46</v>
      </c>
      <c r="J10" s="2" t="s">
        <v>35</v>
      </c>
      <c r="K10" s="2" t="s">
        <v>36</v>
      </c>
    </row>
    <row r="11" spans="1:11">
      <c r="A11" s="2">
        <v>10</v>
      </c>
      <c r="B11" s="2" t="s">
        <v>47</v>
      </c>
      <c r="C11" s="3" t="s">
        <v>48</v>
      </c>
      <c r="D11" s="2" t="s">
        <v>33</v>
      </c>
      <c r="E11" s="4">
        <v>50</v>
      </c>
      <c r="F11" s="4">
        <v>139</v>
      </c>
      <c r="G11" s="4">
        <f>F11-E11</f>
        <v>0</v>
      </c>
      <c r="H11" s="5">
        <f>G11/F11</f>
        <v>0</v>
      </c>
      <c r="I11" s="2" t="s">
        <v>49</v>
      </c>
      <c r="J11" s="2" t="s">
        <v>50</v>
      </c>
      <c r="K11" s="2" t="s">
        <v>36</v>
      </c>
    </row>
    <row r="12" spans="1:11">
      <c r="A12" s="2">
        <v>11</v>
      </c>
      <c r="B12" s="2" t="s">
        <v>51</v>
      </c>
      <c r="C12" s="3" t="s">
        <v>52</v>
      </c>
      <c r="D12" s="2" t="s">
        <v>53</v>
      </c>
      <c r="E12" s="4">
        <v>300</v>
      </c>
      <c r="F12" s="4">
        <v>549</v>
      </c>
      <c r="G12" s="4">
        <f>F12-E12</f>
        <v>0</v>
      </c>
      <c r="H12" s="5">
        <f>G12/F12</f>
        <v>0</v>
      </c>
      <c r="I12" s="2" t="s">
        <v>54</v>
      </c>
      <c r="J12" s="2" t="s">
        <v>55</v>
      </c>
      <c r="K12" s="2" t="s">
        <v>36</v>
      </c>
    </row>
    <row r="13" spans="1:11">
      <c r="A13" s="2">
        <v>12</v>
      </c>
      <c r="B13" s="2" t="s">
        <v>56</v>
      </c>
      <c r="C13" s="3" t="s">
        <v>57</v>
      </c>
      <c r="D13" s="2" t="s">
        <v>53</v>
      </c>
      <c r="E13" s="4">
        <v>400</v>
      </c>
      <c r="F13" s="4">
        <v>699</v>
      </c>
      <c r="G13" s="4">
        <f>F13-E13</f>
        <v>0</v>
      </c>
      <c r="H13" s="5">
        <f>G13/F13</f>
        <v>0</v>
      </c>
      <c r="I13" s="2" t="s">
        <v>58</v>
      </c>
      <c r="J13" s="2" t="s">
        <v>59</v>
      </c>
      <c r="K13" s="2" t="s">
        <v>36</v>
      </c>
    </row>
    <row r="14" spans="1:11">
      <c r="A14" s="2">
        <v>13</v>
      </c>
      <c r="B14" s="2" t="s">
        <v>60</v>
      </c>
      <c r="C14" s="3" t="s">
        <v>61</v>
      </c>
      <c r="D14" s="2" t="s">
        <v>53</v>
      </c>
      <c r="E14" s="4">
        <v>500</v>
      </c>
      <c r="F14" s="4">
        <v>899</v>
      </c>
      <c r="G14" s="4">
        <f>F14-E14</f>
        <v>0</v>
      </c>
      <c r="H14" s="5">
        <f>G14/F14</f>
        <v>0</v>
      </c>
      <c r="I14" s="2" t="s">
        <v>62</v>
      </c>
      <c r="J14" s="2" t="s">
        <v>63</v>
      </c>
      <c r="K14" s="2" t="s">
        <v>16</v>
      </c>
    </row>
    <row r="15" spans="1:11">
      <c r="A15" s="2">
        <v>14</v>
      </c>
      <c r="B15" s="2" t="s">
        <v>64</v>
      </c>
      <c r="C15" s="3" t="s">
        <v>65</v>
      </c>
      <c r="D15" s="2" t="s">
        <v>53</v>
      </c>
      <c r="E15" s="4">
        <v>1500</v>
      </c>
      <c r="F15" s="4">
        <v>2299</v>
      </c>
      <c r="G15" s="4">
        <f>F15-E15</f>
        <v>0</v>
      </c>
      <c r="H15" s="5">
        <f>G15/F15</f>
        <v>0</v>
      </c>
      <c r="I15" s="2" t="s">
        <v>66</v>
      </c>
      <c r="J15" s="2" t="s">
        <v>67</v>
      </c>
      <c r="K15" s="2" t="s">
        <v>36</v>
      </c>
    </row>
    <row r="16" spans="1:11">
      <c r="A16" s="2">
        <v>15</v>
      </c>
      <c r="B16" s="2" t="s">
        <v>68</v>
      </c>
      <c r="C16" s="3" t="s">
        <v>69</v>
      </c>
      <c r="D16" s="2" t="s">
        <v>53</v>
      </c>
      <c r="E16" s="4">
        <v>450</v>
      </c>
      <c r="F16" s="4">
        <v>759</v>
      </c>
      <c r="G16" s="4">
        <f>F16-E16</f>
        <v>0</v>
      </c>
      <c r="H16" s="5">
        <f>G16/F16</f>
        <v>0</v>
      </c>
      <c r="I16" s="2" t="s">
        <v>70</v>
      </c>
      <c r="J16" s="2" t="s">
        <v>67</v>
      </c>
      <c r="K16" s="2" t="s">
        <v>36</v>
      </c>
    </row>
    <row r="17" spans="1:11">
      <c r="A17" s="2">
        <v>16</v>
      </c>
      <c r="B17" s="2" t="s">
        <v>71</v>
      </c>
      <c r="C17" s="3" t="s">
        <v>72</v>
      </c>
      <c r="D17" s="2" t="s">
        <v>73</v>
      </c>
      <c r="E17" s="4">
        <v>120</v>
      </c>
      <c r="F17" s="4">
        <v>259</v>
      </c>
      <c r="G17" s="4">
        <f>F17-E17</f>
        <v>0</v>
      </c>
      <c r="H17" s="5">
        <f>G17/F17</f>
        <v>0</v>
      </c>
      <c r="I17" s="2" t="s">
        <v>74</v>
      </c>
      <c r="J17" s="2" t="s">
        <v>43</v>
      </c>
      <c r="K17" s="2" t="s">
        <v>36</v>
      </c>
    </row>
    <row r="18" spans="1:11">
      <c r="A18" s="2">
        <v>17</v>
      </c>
      <c r="B18" s="2" t="s">
        <v>75</v>
      </c>
      <c r="C18" s="3" t="s">
        <v>76</v>
      </c>
      <c r="D18" s="2" t="s">
        <v>73</v>
      </c>
      <c r="E18" s="4">
        <v>80</v>
      </c>
      <c r="F18" s="4">
        <v>198</v>
      </c>
      <c r="G18" s="4">
        <f>F18-E18</f>
        <v>0</v>
      </c>
      <c r="H18" s="5">
        <f>G18/F18</f>
        <v>0</v>
      </c>
      <c r="I18" s="2" t="s">
        <v>77</v>
      </c>
      <c r="J18" s="2" t="s">
        <v>67</v>
      </c>
      <c r="K18" s="2" t="s">
        <v>36</v>
      </c>
    </row>
    <row r="19" spans="1:11">
      <c r="A19" s="2">
        <v>18</v>
      </c>
      <c r="B19" s="2" t="s">
        <v>78</v>
      </c>
      <c r="C19" s="3" t="s">
        <v>79</v>
      </c>
      <c r="D19" s="2" t="s">
        <v>73</v>
      </c>
      <c r="E19" s="4">
        <v>70</v>
      </c>
      <c r="F19" s="4">
        <v>215</v>
      </c>
      <c r="G19" s="4">
        <f>F19-E19</f>
        <v>0</v>
      </c>
      <c r="H19" s="5">
        <f>G19/F19</f>
        <v>0</v>
      </c>
      <c r="I19" s="2" t="s">
        <v>80</v>
      </c>
      <c r="J19" s="2" t="s">
        <v>43</v>
      </c>
      <c r="K19" s="2" t="s">
        <v>36</v>
      </c>
    </row>
    <row r="20" spans="1:11">
      <c r="A20" s="2">
        <v>19</v>
      </c>
      <c r="B20" s="2" t="s">
        <v>81</v>
      </c>
      <c r="C20" s="3" t="s">
        <v>82</v>
      </c>
      <c r="D20" s="2" t="s">
        <v>73</v>
      </c>
      <c r="E20" s="4">
        <v>1100</v>
      </c>
      <c r="F20" s="4">
        <v>1750</v>
      </c>
      <c r="G20" s="4">
        <f>F20-E20</f>
        <v>0</v>
      </c>
      <c r="H20" s="5">
        <f>G20/F20</f>
        <v>0</v>
      </c>
      <c r="I20" s="2" t="s">
        <v>83</v>
      </c>
      <c r="J20" s="2" t="s">
        <v>67</v>
      </c>
      <c r="K20" s="2" t="s">
        <v>16</v>
      </c>
    </row>
    <row r="21" spans="1:11">
      <c r="A21" s="2">
        <v>20</v>
      </c>
      <c r="B21" s="2" t="s">
        <v>84</v>
      </c>
      <c r="C21" s="3" t="s">
        <v>85</v>
      </c>
      <c r="D21" s="2" t="s">
        <v>73</v>
      </c>
      <c r="E21" s="4">
        <v>600</v>
      </c>
      <c r="F21" s="4">
        <v>1199</v>
      </c>
      <c r="G21" s="4">
        <f>F21-E21</f>
        <v>0</v>
      </c>
      <c r="H21" s="5">
        <f>G21/F21</f>
        <v>0</v>
      </c>
      <c r="I21" s="2" t="s">
        <v>86</v>
      </c>
      <c r="J21" s="2" t="s">
        <v>87</v>
      </c>
      <c r="K21" s="2" t="s">
        <v>16</v>
      </c>
    </row>
    <row r="22" spans="1:11">
      <c r="A22" s="6" t="s">
        <v>88</v>
      </c>
      <c r="B22" s="6"/>
      <c r="C22" s="6"/>
      <c r="D22" s="6"/>
      <c r="E22" s="7">
        <f>SUM(E2:E21)</f>
        <v>0</v>
      </c>
      <c r="F22" s="7">
        <f>SUM(F2:F21)</f>
        <v>0</v>
      </c>
      <c r="G22" s="7">
        <f>SUM(G2:G21)</f>
        <v>0</v>
      </c>
      <c r="H22" s="6"/>
      <c r="I22" s="6"/>
      <c r="J22" s="6"/>
      <c r="K22" s="6"/>
    </row>
  </sheetData>
  <conditionalFormatting sqref="H2:H21">
    <cfRule type="cellIs" dxfId="0" priority="1" operator="greaterThan">
      <formula>0.3</formula>
    </cfRule>
    <cfRule type="cellIs" dxfId="1" priority="2" operator="between">
      <formula>0.2</formula>
      <formula>0.3</formula>
    </cfRule>
    <cfRule type="cellIs" dxfId="2" priority="3" operator="less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30.7109375" customWidth="1"/>
    <col min="2" max="3" width="60.7109375" customWidth="1"/>
    <col min="4" max="4" width="25.7109375" customWidth="1"/>
  </cols>
  <sheetData>
    <row r="1" spans="1:4">
      <c r="A1" s="1" t="s">
        <v>89</v>
      </c>
      <c r="B1" s="1" t="s">
        <v>90</v>
      </c>
      <c r="C1" s="1" t="s">
        <v>91</v>
      </c>
      <c r="D1" s="1" t="s">
        <v>92</v>
      </c>
    </row>
    <row r="2" spans="1:4">
      <c r="A2" s="2" t="s">
        <v>93</v>
      </c>
      <c r="B2" s="3" t="s">
        <v>94</v>
      </c>
      <c r="C2" s="2" t="s">
        <v>95</v>
      </c>
      <c r="D2" s="2" t="s">
        <v>96</v>
      </c>
    </row>
    <row r="3" spans="1:4">
      <c r="A3" s="2" t="s">
        <v>97</v>
      </c>
      <c r="B3" s="3" t="s">
        <v>98</v>
      </c>
      <c r="C3" s="2" t="s">
        <v>99</v>
      </c>
      <c r="D3" s="2" t="s">
        <v>100</v>
      </c>
    </row>
    <row r="4" spans="1:4">
      <c r="A4" s="2" t="s">
        <v>101</v>
      </c>
      <c r="B4" s="3" t="s">
        <v>102</v>
      </c>
      <c r="C4" s="2" t="s">
        <v>103</v>
      </c>
      <c r="D4" s="2" t="s">
        <v>96</v>
      </c>
    </row>
    <row r="5" spans="1:4">
      <c r="A5" s="2" t="s">
        <v>104</v>
      </c>
      <c r="B5" s="3" t="s">
        <v>105</v>
      </c>
      <c r="C5" s="2" t="s">
        <v>106</v>
      </c>
      <c r="D5" s="2" t="s">
        <v>96</v>
      </c>
    </row>
    <row r="6" spans="1:4">
      <c r="A6" s="2" t="s">
        <v>107</v>
      </c>
      <c r="B6" s="3" t="s">
        <v>108</v>
      </c>
      <c r="C6" s="2" t="s">
        <v>109</v>
      </c>
      <c r="D6" s="2" t="s">
        <v>110</v>
      </c>
    </row>
    <row r="7" spans="1:4">
      <c r="A7" s="2" t="s">
        <v>111</v>
      </c>
      <c r="B7" s="3" t="s">
        <v>112</v>
      </c>
      <c r="C7" s="2" t="s">
        <v>113</v>
      </c>
      <c r="D7" s="2" t="s">
        <v>114</v>
      </c>
    </row>
    <row r="8" spans="1:4">
      <c r="A8" s="2" t="s">
        <v>115</v>
      </c>
      <c r="B8" s="3" t="s">
        <v>116</v>
      </c>
      <c r="C8" s="2" t="s">
        <v>117</v>
      </c>
      <c r="D8" s="2" t="s">
        <v>96</v>
      </c>
    </row>
    <row r="9" spans="1:4">
      <c r="A9" s="2" t="s">
        <v>118</v>
      </c>
      <c r="B9" s="3" t="s">
        <v>119</v>
      </c>
      <c r="C9" s="2" t="s">
        <v>120</v>
      </c>
      <c r="D9" s="2" t="s">
        <v>96</v>
      </c>
    </row>
    <row r="10" spans="1:4">
      <c r="A10" s="2" t="s">
        <v>44</v>
      </c>
      <c r="B10" s="3" t="s">
        <v>121</v>
      </c>
      <c r="C10" s="2" t="s">
        <v>122</v>
      </c>
      <c r="D10" s="2" t="s">
        <v>100</v>
      </c>
    </row>
    <row r="11" spans="1:4">
      <c r="A11" s="2" t="s">
        <v>123</v>
      </c>
      <c r="B11" s="3" t="s">
        <v>124</v>
      </c>
      <c r="C11" s="2" t="s">
        <v>125</v>
      </c>
      <c r="D11" s="2" t="s">
        <v>96</v>
      </c>
    </row>
    <row r="12" spans="1:4">
      <c r="A12" s="2" t="s">
        <v>51</v>
      </c>
      <c r="B12" s="3" t="s">
        <v>126</v>
      </c>
      <c r="C12" s="2" t="s">
        <v>127</v>
      </c>
      <c r="D12" s="2" t="s">
        <v>114</v>
      </c>
    </row>
    <row r="13" spans="1:4">
      <c r="A13" s="2" t="s">
        <v>128</v>
      </c>
      <c r="B13" s="3" t="s">
        <v>129</v>
      </c>
      <c r="C13" s="2" t="s">
        <v>130</v>
      </c>
      <c r="D13" s="2" t="s">
        <v>96</v>
      </c>
    </row>
    <row r="14" spans="1:4">
      <c r="A14" s="2" t="s">
        <v>131</v>
      </c>
      <c r="B14" s="3" t="s">
        <v>132</v>
      </c>
      <c r="C14" s="2" t="s">
        <v>133</v>
      </c>
      <c r="D14" s="2" t="s">
        <v>96</v>
      </c>
    </row>
    <row r="15" spans="1:4">
      <c r="A15" s="2" t="s">
        <v>134</v>
      </c>
      <c r="B15" s="3" t="s">
        <v>135</v>
      </c>
      <c r="C15" s="2" t="s">
        <v>136</v>
      </c>
      <c r="D15" s="2" t="s">
        <v>137</v>
      </c>
    </row>
    <row r="16" spans="1:4">
      <c r="A16" s="2" t="s">
        <v>138</v>
      </c>
      <c r="B16" s="3" t="s">
        <v>139</v>
      </c>
      <c r="C16" s="2" t="s">
        <v>140</v>
      </c>
      <c r="D16" s="2" t="s">
        <v>96</v>
      </c>
    </row>
    <row r="17" spans="1:4">
      <c r="A17" s="2" t="s">
        <v>141</v>
      </c>
      <c r="B17" s="3" t="s">
        <v>142</v>
      </c>
      <c r="C17" s="2" t="s">
        <v>143</v>
      </c>
      <c r="D17" s="2" t="s">
        <v>96</v>
      </c>
    </row>
    <row r="18" spans="1:4">
      <c r="A18" s="2" t="s">
        <v>144</v>
      </c>
      <c r="B18" s="3" t="s">
        <v>145</v>
      </c>
      <c r="C18" s="2" t="s">
        <v>146</v>
      </c>
      <c r="D18" s="2" t="s">
        <v>114</v>
      </c>
    </row>
    <row r="19" spans="1:4">
      <c r="A19" s="2" t="s">
        <v>147</v>
      </c>
      <c r="B19" s="3" t="s">
        <v>148</v>
      </c>
      <c r="C19" s="2" t="s">
        <v>149</v>
      </c>
      <c r="D19" s="2" t="s">
        <v>100</v>
      </c>
    </row>
    <row r="20" spans="1:4">
      <c r="A20" s="2" t="s">
        <v>150</v>
      </c>
      <c r="B20" s="3" t="s">
        <v>151</v>
      </c>
      <c r="C20" s="2" t="s">
        <v>152</v>
      </c>
      <c r="D20" s="2" t="s">
        <v>110</v>
      </c>
    </row>
    <row r="21" spans="1:4">
      <c r="A21" s="2" t="s">
        <v>84</v>
      </c>
      <c r="B21" s="3" t="s">
        <v>153</v>
      </c>
      <c r="C21" s="2" t="s">
        <v>154</v>
      </c>
      <c r="D21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3" width="35.7109375" customWidth="1"/>
    <col min="4" max="4" width="25.7109375" customWidth="1"/>
  </cols>
  <sheetData>
    <row r="1" spans="1:4">
      <c r="A1" s="1" t="s">
        <v>155</v>
      </c>
      <c r="B1" s="1" t="s">
        <v>156</v>
      </c>
      <c r="C1" s="1" t="s">
        <v>157</v>
      </c>
      <c r="D1" s="1" t="s">
        <v>158</v>
      </c>
    </row>
    <row r="2" spans="1:4">
      <c r="A2" s="3" t="s">
        <v>159</v>
      </c>
      <c r="B2" s="3" t="s">
        <v>160</v>
      </c>
      <c r="C2" s="3" t="s">
        <v>161</v>
      </c>
      <c r="D2" s="4">
        <v>2500</v>
      </c>
    </row>
    <row r="3" spans="1:4">
      <c r="A3" s="3" t="s">
        <v>162</v>
      </c>
      <c r="B3" s="3" t="s">
        <v>160</v>
      </c>
      <c r="C3" s="3" t="s">
        <v>163</v>
      </c>
      <c r="D3" s="4">
        <v>2200</v>
      </c>
    </row>
    <row r="4" spans="1:4">
      <c r="A4" s="3" t="s">
        <v>101</v>
      </c>
      <c r="B4" s="3" t="s">
        <v>164</v>
      </c>
      <c r="C4" s="3" t="s">
        <v>165</v>
      </c>
      <c r="D4" s="4">
        <v>3000</v>
      </c>
    </row>
    <row r="5" spans="1:4">
      <c r="A5" s="3" t="s">
        <v>166</v>
      </c>
      <c r="B5" s="3" t="s">
        <v>167</v>
      </c>
      <c r="C5" s="3" t="s">
        <v>168</v>
      </c>
      <c r="D5" s="4">
        <v>800</v>
      </c>
    </row>
    <row r="6" spans="1:4">
      <c r="A6" s="3" t="s">
        <v>169</v>
      </c>
      <c r="B6" s="3" t="s">
        <v>170</v>
      </c>
      <c r="C6" s="3" t="s">
        <v>171</v>
      </c>
      <c r="D6" s="4">
        <v>600</v>
      </c>
    </row>
    <row r="7" spans="1:4">
      <c r="A7" s="3" t="s">
        <v>172</v>
      </c>
      <c r="B7" s="3" t="s">
        <v>173</v>
      </c>
      <c r="C7" s="3" t="s">
        <v>174</v>
      </c>
      <c r="D7" s="4">
        <v>250</v>
      </c>
    </row>
    <row r="8" spans="1:4">
      <c r="A8" s="3" t="s">
        <v>165</v>
      </c>
      <c r="B8" s="3" t="s">
        <v>101</v>
      </c>
      <c r="C8" s="3" t="s">
        <v>150</v>
      </c>
      <c r="D8" s="4">
        <v>3950</v>
      </c>
    </row>
    <row r="9" spans="1:4">
      <c r="A9" s="3" t="s">
        <v>175</v>
      </c>
      <c r="B9" s="3" t="s">
        <v>176</v>
      </c>
      <c r="C9" s="3" t="s">
        <v>177</v>
      </c>
      <c r="D9" s="4">
        <v>240</v>
      </c>
    </row>
    <row r="10" spans="1:4">
      <c r="A10" s="3" t="s">
        <v>173</v>
      </c>
      <c r="B10" s="3" t="s">
        <v>178</v>
      </c>
      <c r="C10" s="3" t="s">
        <v>175</v>
      </c>
      <c r="D10" s="4">
        <v>350</v>
      </c>
    </row>
    <row r="11" spans="1:4">
      <c r="A11" s="3" t="s">
        <v>123</v>
      </c>
      <c r="B11" s="3" t="s">
        <v>179</v>
      </c>
      <c r="C11" s="3" t="s">
        <v>175</v>
      </c>
      <c r="D11" s="4">
        <v>300</v>
      </c>
    </row>
    <row r="12" spans="1:4">
      <c r="A12" s="3" t="s">
        <v>180</v>
      </c>
      <c r="B12" s="3" t="s">
        <v>181</v>
      </c>
      <c r="C12" s="3" t="s">
        <v>182</v>
      </c>
      <c r="D12" s="4">
        <v>900</v>
      </c>
    </row>
    <row r="13" spans="1:4">
      <c r="A13" s="3" t="s">
        <v>183</v>
      </c>
      <c r="B13" s="3" t="s">
        <v>131</v>
      </c>
      <c r="C13" s="3" t="s">
        <v>184</v>
      </c>
      <c r="D13" s="4">
        <v>1100</v>
      </c>
    </row>
    <row r="14" spans="1:4">
      <c r="A14" s="3" t="s">
        <v>131</v>
      </c>
      <c r="B14" s="3" t="s">
        <v>185</v>
      </c>
      <c r="C14" s="3" t="s">
        <v>186</v>
      </c>
      <c r="D14" s="4">
        <v>200</v>
      </c>
    </row>
    <row r="15" spans="1:4">
      <c r="A15" s="3" t="s">
        <v>134</v>
      </c>
      <c r="B15" s="3" t="s">
        <v>187</v>
      </c>
      <c r="C15" s="3" t="s">
        <v>188</v>
      </c>
      <c r="D15" s="4">
        <v>400</v>
      </c>
    </row>
    <row r="16" spans="1:4">
      <c r="A16" s="3" t="s">
        <v>189</v>
      </c>
      <c r="B16" s="3" t="s">
        <v>190</v>
      </c>
      <c r="C16" s="3" t="s">
        <v>191</v>
      </c>
      <c r="D16" s="4">
        <v>700</v>
      </c>
    </row>
    <row r="17" spans="1:4">
      <c r="A17" s="3" t="s">
        <v>192</v>
      </c>
      <c r="B17" s="3" t="s">
        <v>193</v>
      </c>
      <c r="C17" s="3" t="s">
        <v>194</v>
      </c>
      <c r="D17" s="4">
        <v>250</v>
      </c>
    </row>
    <row r="18" spans="1:4">
      <c r="A18" s="3" t="s">
        <v>193</v>
      </c>
      <c r="B18" s="3" t="s">
        <v>192</v>
      </c>
      <c r="C18" s="3" t="s">
        <v>195</v>
      </c>
      <c r="D18" s="4">
        <v>350</v>
      </c>
    </row>
    <row r="19" spans="1:4">
      <c r="A19" s="3" t="s">
        <v>196</v>
      </c>
      <c r="B19" s="3" t="s">
        <v>192</v>
      </c>
      <c r="C19" s="3" t="s">
        <v>197</v>
      </c>
      <c r="D19" s="4">
        <v>280</v>
      </c>
    </row>
    <row r="20" spans="1:4">
      <c r="A20" s="3" t="s">
        <v>150</v>
      </c>
      <c r="B20" s="3" t="s">
        <v>198</v>
      </c>
      <c r="C20" s="3" t="s">
        <v>199</v>
      </c>
      <c r="D20" s="4">
        <v>2700</v>
      </c>
    </row>
    <row r="21" spans="1:4">
      <c r="A21" s="3" t="s">
        <v>84</v>
      </c>
      <c r="B21" s="3" t="s">
        <v>180</v>
      </c>
      <c r="C21" s="3" t="s">
        <v>200</v>
      </c>
      <c r="D21" s="4">
        <v>700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3" width="30.7109375" customWidth="1"/>
  </cols>
  <sheetData>
    <row r="1" spans="1:3">
      <c r="A1" s="8" t="s">
        <v>201</v>
      </c>
      <c r="B1" s="8"/>
      <c r="C1" s="8"/>
    </row>
    <row r="2" spans="1:3">
      <c r="A2" s="8"/>
      <c r="B2" s="8"/>
      <c r="C2" s="8"/>
    </row>
    <row r="4" spans="1:3">
      <c r="A4" s="9" t="s">
        <v>202</v>
      </c>
      <c r="B4" s="10">
        <v>20</v>
      </c>
    </row>
    <row r="5" spans="1:3">
      <c r="A5" s="9" t="s">
        <v>203</v>
      </c>
      <c r="B5" s="11">
        <f>AVERAGE('Product Catalog'!H2:H21)</f>
        <v>0</v>
      </c>
    </row>
    <row r="6" spans="1:3">
      <c r="A6" s="9" t="s">
        <v>204</v>
      </c>
      <c r="B6" s="12">
        <f>'Product Catalog'!F22</f>
        <v>0</v>
      </c>
    </row>
    <row r="7" spans="1:3">
      <c r="A7" s="9" t="s">
        <v>205</v>
      </c>
      <c r="B7" s="12">
        <f>'Product Catalog'!G22</f>
        <v>0</v>
      </c>
    </row>
    <row r="9" spans="1:3">
      <c r="A9" s="1" t="s">
        <v>3</v>
      </c>
      <c r="B9" s="1" t="s">
        <v>206</v>
      </c>
    </row>
    <row r="10" spans="1:3">
      <c r="A10" s="2" t="s">
        <v>13</v>
      </c>
      <c r="B10" s="2">
        <v>5</v>
      </c>
    </row>
    <row r="11" spans="1:3">
      <c r="A11" s="2" t="s">
        <v>33</v>
      </c>
      <c r="B11" s="2">
        <v>5</v>
      </c>
    </row>
    <row r="12" spans="1:3">
      <c r="A12" s="2" t="s">
        <v>53</v>
      </c>
      <c r="B12" s="2">
        <v>5</v>
      </c>
    </row>
    <row r="13" spans="1:3">
      <c r="A13" s="2" t="s">
        <v>73</v>
      </c>
      <c r="B13" s="2">
        <v>5</v>
      </c>
    </row>
    <row r="15" spans="1:3">
      <c r="A15" s="1" t="s">
        <v>207</v>
      </c>
      <c r="B15" s="1" t="s">
        <v>208</v>
      </c>
    </row>
    <row r="16" spans="1:3">
      <c r="A16" s="2" t="s">
        <v>147</v>
      </c>
      <c r="B16" s="11">
        <v>0.674</v>
      </c>
    </row>
    <row r="17" spans="1:2">
      <c r="A17" s="2" t="s">
        <v>209</v>
      </c>
      <c r="B17" s="11">
        <v>0.536</v>
      </c>
    </row>
    <row r="18" spans="1:2">
      <c r="A18" s="2" t="s">
        <v>84</v>
      </c>
      <c r="B18" s="11">
        <v>0.499</v>
      </c>
    </row>
    <row r="19" spans="1:2">
      <c r="A19" s="2" t="s">
        <v>118</v>
      </c>
      <c r="B19" s="11">
        <v>0.5669999999999999</v>
      </c>
    </row>
    <row r="20" spans="1:2">
      <c r="A20" s="2" t="s">
        <v>210</v>
      </c>
      <c r="B20" s="11">
        <v>0.453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Catalog</vt:lpstr>
      <vt:lpstr>SEO Keywords</vt:lpstr>
      <vt:lpstr>Upsell Strategy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2026-04-12T01:42:12Z</dcterms:created>
  <dcterms:modified xsi:type="dcterms:W3CDTF">2026-04-12T01:42:12Z</dcterms:modified>
</cp:coreProperties>
</file>